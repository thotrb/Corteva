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https://agcompany-my.sharepoint.com/personal/pascal_h_minault_corteva_com/Documents/PECA OLE/MEDAN/OLE quaterly follow up/2021Q2 OLE/"/>
    </mc:Choice>
  </mc:AlternateContent>
  <xr:revisionPtr revIDLastSave="4" documentId="13_ncr:1_{2D98C49B-C7EE-404B-A964-AE58051F54B1}" xr6:coauthVersionLast="46" xr6:coauthVersionMax="46" xr10:uidLastSave="{31F5BE60-068E-4B19-ABD8-03EC3E757752}"/>
  <bookViews>
    <workbookView xWindow="28680" yWindow="-120" windowWidth="29040" windowHeight="15840" tabRatio="635" xr2:uid="{00000000-000D-0000-FFFF-FFFF00000000}"/>
  </bookViews>
  <sheets>
    <sheet name="Form" sheetId="4" r:id="rId1"/>
    <sheet name="Monthly Summary" sheetId="56" r:id="rId2"/>
    <sheet name="Recall Form" sheetId="57" r:id="rId3"/>
    <sheet name="Master Log" sheetId="46" r:id="rId4"/>
    <sheet name="Monthly Chart Data" sheetId="28" state="hidden" r:id="rId5"/>
    <sheet name="Weekly Chart Data" sheetId="47" state="hidden" r:id="rId6"/>
    <sheet name="Setup Sheet" sheetId="7" r:id="rId7"/>
    <sheet name="Transfer Sheet" sheetId="16" r:id="rId8"/>
    <sheet name="Sheet1" sheetId="59" r:id="rId9"/>
  </sheets>
  <definedNames>
    <definedName name="_xlnm._FilterDatabase" localSheetId="0" hidden="1">Form!#REF!</definedName>
    <definedName name="_xlnm._FilterDatabase" localSheetId="3" hidden="1">'Master Log'!$A$1:$IQ$333</definedName>
    <definedName name="_xlnm._FilterDatabase" localSheetId="2" hidden="1">'Recall Form'!#REF!</definedName>
    <definedName name="_xlnm._FilterDatabase" localSheetId="6" hidden="1">'Setup Sheet'!$C$7:$G$59</definedName>
    <definedName name="AVAIL">'Setup Sheet'!$A:$A</definedName>
    <definedName name="BEFORE" localSheetId="1">#REF!</definedName>
    <definedName name="BEFORE" localSheetId="2">#REF!</definedName>
    <definedName name="BEFORE">#REF!</definedName>
    <definedName name="BEFOREAFTER" localSheetId="2">#REF!</definedName>
    <definedName name="BEFOREAFTER" localSheetId="5">#REF!</definedName>
    <definedName name="BEFOREAFTER">#REF!</definedName>
    <definedName name="COTYPE" localSheetId="2">#REF!</definedName>
    <definedName name="COTYPE" localSheetId="5">#REF!</definedName>
    <definedName name="COTYPE">#REF!</definedName>
    <definedName name="detail" localSheetId="1">'Setup Sheet'!$I$8:$I$47</definedName>
    <definedName name="detail">'Setup Sheet'!$I$8:$I$47</definedName>
    <definedName name="FLUSHRINSE" localSheetId="1">#REF!</definedName>
    <definedName name="FLUSHRINSE" localSheetId="2">#REF!</definedName>
    <definedName name="FLUSHRINSE" localSheetId="5">#REF!</definedName>
    <definedName name="FLUSHRINSE">#REF!</definedName>
    <definedName name="FORM_INPUT" localSheetId="5">Form!$C$5:$C$6,Form!$H$5:$H$6,Form!#REF!,Form!$B$20:$B$21,Form!#REF!,Form!$B$32:$I$43,Form!$C$45:$C$46,Form!$B$50:$H$55,Form!#REF!,Form!$B$62:$G$67,Form!#REF!,Form!$C$47,Form!$C$58,Form!$C$70,Form!#REF!</definedName>
    <definedName name="GMID">'Setup Sheet'!$C:$C</definedName>
    <definedName name="GMIDTable" localSheetId="1">OFFSET('Setup Sheet'!$C$8,0,0,COUNTA('Setup Sheet'!$C:$C)-1,1)</definedName>
    <definedName name="GMIDTable">OFFSET('Setup Sheet'!$C$8,0,0,COUNTA('Setup Sheet'!$C:$C)-1,1)</definedName>
    <definedName name="Language" localSheetId="1">'Setup Sheet'!$O$8:$O$11</definedName>
    <definedName name="Language">'Setup Sheet'!$O$8:$O$11</definedName>
    <definedName name="Optional_Detail_Table" localSheetId="1">OFFSET('Setup Sheet'!$I$8,0,0,COUNTA('Setup Sheet'!$I:$I)-1,1)</definedName>
    <definedName name="Optional_Detail_Table">OFFSET('Setup Sheet'!$I$8,0,0,COUNTA('Setup Sheet'!$I:$I)-1,1)</definedName>
    <definedName name="Planned_Table" localSheetId="1">OFFSET('Setup Sheet'!$Q$8,0,0,COUNTA('Setup Sheet'!$Q:$Q)-1,1)</definedName>
    <definedName name="Planned_Table">OFFSET('Setup Sheet'!$Q$8,0,0,COUNTA('Setup Sheet'!$Q:$Q)-1,1)</definedName>
    <definedName name="PRODUCTS">'Setup Sheet'!$D:$D</definedName>
    <definedName name="Shifts" localSheetId="1">'Setup Sheet'!$K$8:$K$15</definedName>
    <definedName name="Shifts">'Setup Sheet'!$K$8:$K$15</definedName>
    <definedName name="Size" localSheetId="1">#REF!</definedName>
    <definedName name="Size" localSheetId="2">#REF!</definedName>
    <definedName name="Size" localSheetId="5">#REF!</definedName>
    <definedName name="Size">#REF!</definedName>
    <definedName name="SL3s" localSheetId="1">'Setup Sheet'!$M$8:$M$41</definedName>
    <definedName name="SL3s">'Setup Sheet'!$M$8:$M$41</definedName>
    <definedName name="Unplanned">'Setup Sheet'!$A$8:$A$165</definedName>
    <definedName name="UnplannedTable" localSheetId="1">OFFSET('Setup Sheet'!$A$45,0,0,COUNTA('Setup Sheet'!$A:$A)-1,1)</definedName>
    <definedName name="UnplannedTable">OFFSET('Setup Sheet'!$A$45,0,0,COUNTA('Setup Sheet'!$A:$A)-5,1)</definedName>
    <definedName name="YESNO" localSheetId="1">#REF!</definedName>
    <definedName name="YESNO" localSheetId="2">#REF!</definedName>
    <definedName name="YESNO" localSheetId="5">#REF!</definedName>
    <definedName name="YESN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0" i="4" l="1"/>
  <c r="O67" i="57" l="1"/>
  <c r="N67" i="57"/>
  <c r="M67" i="57"/>
  <c r="L67" i="57"/>
  <c r="K67" i="57"/>
  <c r="J67" i="57"/>
  <c r="I67" i="57"/>
  <c r="H67" i="57"/>
  <c r="G67" i="57"/>
  <c r="F67" i="57"/>
  <c r="E67" i="57"/>
  <c r="D67" i="57"/>
  <c r="C67" i="57"/>
  <c r="B67" i="57"/>
  <c r="O66" i="57"/>
  <c r="N66" i="57"/>
  <c r="M66" i="57"/>
  <c r="L66" i="57"/>
  <c r="K66" i="57"/>
  <c r="J66" i="57"/>
  <c r="I66" i="57"/>
  <c r="H66" i="57"/>
  <c r="G66" i="57"/>
  <c r="F66" i="57"/>
  <c r="E66" i="57"/>
  <c r="D66" i="57"/>
  <c r="C66" i="57"/>
  <c r="B66" i="57"/>
  <c r="O65" i="57"/>
  <c r="N65" i="57"/>
  <c r="M65" i="57"/>
  <c r="L65" i="57"/>
  <c r="K65" i="57"/>
  <c r="J65" i="57"/>
  <c r="I65" i="57"/>
  <c r="H65" i="57"/>
  <c r="G65" i="57"/>
  <c r="F65" i="57"/>
  <c r="E65" i="57"/>
  <c r="D65" i="57"/>
  <c r="C65" i="57"/>
  <c r="B65" i="57"/>
  <c r="O64" i="57"/>
  <c r="N64" i="57"/>
  <c r="M64" i="57"/>
  <c r="L64" i="57"/>
  <c r="K64" i="57"/>
  <c r="J64" i="57"/>
  <c r="I64" i="57"/>
  <c r="H64" i="57"/>
  <c r="G64" i="57"/>
  <c r="F64" i="57"/>
  <c r="E64" i="57"/>
  <c r="D64" i="57"/>
  <c r="C64" i="57"/>
  <c r="B64" i="57"/>
  <c r="N63" i="57"/>
  <c r="M63" i="57"/>
  <c r="L63" i="57"/>
  <c r="K63" i="57"/>
  <c r="J63" i="57"/>
  <c r="I63" i="57"/>
  <c r="H63" i="57"/>
  <c r="G63" i="57"/>
  <c r="F63" i="57"/>
  <c r="E63" i="57"/>
  <c r="D63" i="57"/>
  <c r="C63" i="57"/>
  <c r="B63" i="57"/>
  <c r="J55" i="57"/>
  <c r="I55" i="57"/>
  <c r="H55" i="57"/>
  <c r="G55" i="57"/>
  <c r="F55" i="57"/>
  <c r="E55" i="57"/>
  <c r="D55" i="57"/>
  <c r="C55" i="57"/>
  <c r="B55" i="57"/>
  <c r="J54" i="57"/>
  <c r="I54" i="57"/>
  <c r="H54" i="57"/>
  <c r="G54" i="57"/>
  <c r="F54" i="57"/>
  <c r="E54" i="57"/>
  <c r="D54" i="57"/>
  <c r="C54" i="57"/>
  <c r="B54" i="57"/>
  <c r="J53" i="57"/>
  <c r="I53" i="57"/>
  <c r="H53" i="57"/>
  <c r="G53" i="57"/>
  <c r="F53" i="57"/>
  <c r="E53" i="57"/>
  <c r="D53" i="57"/>
  <c r="C53" i="57"/>
  <c r="B53" i="57"/>
  <c r="J52" i="57"/>
  <c r="I52" i="57"/>
  <c r="H52" i="57"/>
  <c r="G52" i="57"/>
  <c r="F52" i="57"/>
  <c r="E52" i="57"/>
  <c r="D52" i="57"/>
  <c r="C52" i="57"/>
  <c r="B52" i="57"/>
  <c r="J51" i="57"/>
  <c r="I51" i="57"/>
  <c r="H51" i="57"/>
  <c r="G51" i="57"/>
  <c r="F51" i="57"/>
  <c r="E51" i="57"/>
  <c r="D51" i="57"/>
  <c r="C51" i="57"/>
  <c r="B51" i="57"/>
  <c r="J50" i="57"/>
  <c r="I50" i="57"/>
  <c r="H50" i="57"/>
  <c r="G50" i="57"/>
  <c r="F50" i="57"/>
  <c r="E50" i="57"/>
  <c r="D50" i="57"/>
  <c r="C50" i="57"/>
  <c r="B50" i="57"/>
  <c r="I43" i="57"/>
  <c r="G43" i="57"/>
  <c r="D43" i="57"/>
  <c r="C43" i="57"/>
  <c r="B43" i="57"/>
  <c r="I42" i="57"/>
  <c r="G42" i="57"/>
  <c r="D42" i="57"/>
  <c r="C42" i="57"/>
  <c r="B42" i="57"/>
  <c r="I41" i="57"/>
  <c r="G41" i="57"/>
  <c r="D41" i="57"/>
  <c r="C41" i="57"/>
  <c r="B41" i="57"/>
  <c r="I40" i="57"/>
  <c r="G40" i="57"/>
  <c r="D40" i="57"/>
  <c r="C40" i="57"/>
  <c r="B40" i="57"/>
  <c r="I39" i="57"/>
  <c r="G39" i="57"/>
  <c r="D39" i="57"/>
  <c r="C39" i="57"/>
  <c r="B39" i="57"/>
  <c r="I38" i="57"/>
  <c r="G38" i="57"/>
  <c r="D38" i="57"/>
  <c r="C38" i="57"/>
  <c r="B38" i="57"/>
  <c r="I37" i="57"/>
  <c r="G37" i="57"/>
  <c r="D37" i="57"/>
  <c r="C37" i="57"/>
  <c r="B37" i="57"/>
  <c r="I36" i="57"/>
  <c r="G36" i="57"/>
  <c r="D36" i="57"/>
  <c r="C36" i="57"/>
  <c r="B36" i="57"/>
  <c r="I35" i="57"/>
  <c r="G35" i="57"/>
  <c r="D35" i="57"/>
  <c r="C35" i="57"/>
  <c r="B35" i="57"/>
  <c r="I34" i="57"/>
  <c r="G34" i="57"/>
  <c r="D34" i="57"/>
  <c r="C34" i="57"/>
  <c r="B34" i="57"/>
  <c r="I33" i="57"/>
  <c r="G33" i="57"/>
  <c r="D33" i="57"/>
  <c r="C33" i="57"/>
  <c r="B33" i="57"/>
  <c r="I32" i="57"/>
  <c r="G32" i="57"/>
  <c r="D32" i="57"/>
  <c r="C32" i="57"/>
  <c r="B32" i="57"/>
  <c r="E16" i="57"/>
  <c r="D16" i="57"/>
  <c r="C16" i="57"/>
  <c r="B16" i="57"/>
  <c r="E15" i="57"/>
  <c r="D15" i="57"/>
  <c r="C15" i="57"/>
  <c r="B15" i="57"/>
  <c r="E14" i="57"/>
  <c r="D14" i="57"/>
  <c r="C14" i="57"/>
  <c r="B14" i="57"/>
  <c r="E13" i="57"/>
  <c r="D13" i="57"/>
  <c r="C13" i="57"/>
  <c r="B13" i="57"/>
  <c r="E12" i="57"/>
  <c r="D12" i="57"/>
  <c r="C12" i="57"/>
  <c r="B12" i="57"/>
  <c r="E11" i="57"/>
  <c r="D11" i="57"/>
  <c r="C11" i="57"/>
  <c r="B11" i="57"/>
  <c r="H28" i="57"/>
  <c r="F28" i="57"/>
  <c r="E28" i="57"/>
  <c r="D28" i="57"/>
  <c r="C28" i="57"/>
  <c r="B28" i="57"/>
  <c r="H27" i="57"/>
  <c r="H26" i="57"/>
  <c r="F27" i="57"/>
  <c r="E27" i="57"/>
  <c r="D27" i="57"/>
  <c r="C27" i="57"/>
  <c r="B27" i="57"/>
  <c r="F26" i="57"/>
  <c r="E26" i="57"/>
  <c r="D26" i="57"/>
  <c r="C26" i="57"/>
  <c r="B26" i="57"/>
  <c r="H25" i="57"/>
  <c r="F25" i="57"/>
  <c r="E25" i="57"/>
  <c r="D25" i="57"/>
  <c r="C25" i="57"/>
  <c r="B25" i="57"/>
  <c r="H24" i="57"/>
  <c r="F24" i="57"/>
  <c r="E24" i="57"/>
  <c r="D24" i="57"/>
  <c r="C24" i="57"/>
  <c r="B24" i="57"/>
  <c r="H23" i="57"/>
  <c r="F23" i="57"/>
  <c r="E23" i="57"/>
  <c r="D23" i="57"/>
  <c r="C23" i="57"/>
  <c r="B23" i="57"/>
  <c r="H22" i="57"/>
  <c r="F22" i="57"/>
  <c r="E22" i="57"/>
  <c r="D22" i="57"/>
  <c r="C22" i="57"/>
  <c r="B22" i="57"/>
  <c r="H21" i="57"/>
  <c r="F21" i="57"/>
  <c r="E21" i="57"/>
  <c r="D21" i="57"/>
  <c r="C21" i="57"/>
  <c r="B21" i="57"/>
  <c r="H20" i="57"/>
  <c r="F20" i="57"/>
  <c r="V2" i="16"/>
  <c r="E20" i="57"/>
  <c r="D20" i="57"/>
  <c r="C20" i="57"/>
  <c r="B20" i="57"/>
  <c r="C69" i="57"/>
  <c r="C68" i="57"/>
  <c r="C56" i="57"/>
  <c r="C46" i="57"/>
  <c r="C45" i="57"/>
  <c r="C44" i="57"/>
  <c r="L6" i="57"/>
  <c r="E6" i="57"/>
  <c r="C6" i="57"/>
  <c r="H6" i="57"/>
  <c r="H5" i="57"/>
  <c r="C73" i="57"/>
  <c r="C70" i="57"/>
  <c r="C58" i="57"/>
  <c r="C47" i="57"/>
  <c r="L5" i="57"/>
  <c r="C5" i="57"/>
  <c r="GU2" i="16" l="1"/>
  <c r="GL2" i="16"/>
  <c r="GC2" i="16"/>
  <c r="FT2" i="16"/>
  <c r="FK2" i="16"/>
  <c r="FB2" i="16"/>
  <c r="BR2" i="16" l="1"/>
  <c r="BL2" i="16"/>
  <c r="BF2" i="16"/>
  <c r="AZ2" i="16"/>
  <c r="AT2" i="16"/>
  <c r="AN2" i="16"/>
  <c r="AH2" i="16"/>
  <c r="AB2" i="16"/>
  <c r="E1" i="57" l="1"/>
  <c r="E73" i="57"/>
  <c r="B73" i="57"/>
  <c r="B70" i="57"/>
  <c r="B69" i="57"/>
  <c r="B68" i="57"/>
  <c r="J81" i="57"/>
  <c r="N80" i="57"/>
  <c r="J79" i="57"/>
  <c r="N78" i="57"/>
  <c r="S63" i="57"/>
  <c r="S62" i="57"/>
  <c r="O61" i="57"/>
  <c r="N61" i="57"/>
  <c r="M61" i="57"/>
  <c r="L61" i="57"/>
  <c r="K61" i="57"/>
  <c r="J61" i="57"/>
  <c r="I61" i="57"/>
  <c r="H61" i="57"/>
  <c r="G61" i="57"/>
  <c r="F61" i="57"/>
  <c r="E61" i="57"/>
  <c r="D61" i="57"/>
  <c r="B61" i="57"/>
  <c r="N60" i="57"/>
  <c r="L60" i="57"/>
  <c r="J60" i="57"/>
  <c r="H60" i="57"/>
  <c r="F60" i="57"/>
  <c r="D60" i="57"/>
  <c r="C60" i="57"/>
  <c r="B59" i="57"/>
  <c r="D58" i="57"/>
  <c r="B58" i="57"/>
  <c r="B57" i="57"/>
  <c r="D56" i="57"/>
  <c r="B56" i="57"/>
  <c r="J49" i="57"/>
  <c r="I49" i="57"/>
  <c r="H49" i="57"/>
  <c r="G49" i="57"/>
  <c r="F49" i="57"/>
  <c r="E49" i="57"/>
  <c r="D49" i="57"/>
  <c r="C49" i="57"/>
  <c r="B49" i="57"/>
  <c r="E48" i="57"/>
  <c r="D47" i="57"/>
  <c r="B47" i="57"/>
  <c r="C57" i="57"/>
  <c r="B46" i="57"/>
  <c r="B45" i="57"/>
  <c r="B44" i="57"/>
  <c r="Q43" i="57"/>
  <c r="P43" i="57"/>
  <c r="P42" i="57"/>
  <c r="S41" i="57"/>
  <c r="P41" i="57"/>
  <c r="P40" i="57"/>
  <c r="P39" i="57"/>
  <c r="Q38" i="57"/>
  <c r="P38" i="57"/>
  <c r="Q37" i="57"/>
  <c r="P37" i="57"/>
  <c r="Q36" i="57"/>
  <c r="P36" i="57"/>
  <c r="Q35" i="57"/>
  <c r="P35" i="57"/>
  <c r="Q34" i="57"/>
  <c r="P34" i="57"/>
  <c r="Q33" i="57"/>
  <c r="P33" i="57"/>
  <c r="Q32" i="57"/>
  <c r="P32" i="57"/>
  <c r="I31" i="57"/>
  <c r="G31" i="57"/>
  <c r="D31" i="57"/>
  <c r="C31" i="57"/>
  <c r="B31" i="57"/>
  <c r="D30" i="57"/>
  <c r="F29" i="57"/>
  <c r="H19" i="57"/>
  <c r="F19" i="57"/>
  <c r="E19" i="57"/>
  <c r="D19" i="57"/>
  <c r="C19" i="57"/>
  <c r="B19" i="57"/>
  <c r="H18" i="57"/>
  <c r="B18" i="57"/>
  <c r="D17" i="57"/>
  <c r="E10" i="57"/>
  <c r="D10" i="57"/>
  <c r="C10" i="57"/>
  <c r="B10" i="57"/>
  <c r="D9" i="57"/>
  <c r="F8" i="57"/>
  <c r="I6" i="57"/>
  <c r="B6" i="57"/>
  <c r="J5" i="57"/>
  <c r="E5" i="57"/>
  <c r="B5" i="57"/>
  <c r="D79" i="57" l="1"/>
  <c r="H80" i="57"/>
  <c r="D81" i="57"/>
  <c r="L81" i="57"/>
  <c r="L79" i="57"/>
  <c r="I48" i="57"/>
  <c r="H78" i="57"/>
  <c r="D44" i="57"/>
  <c r="B48" i="57"/>
  <c r="J77" i="57"/>
  <c r="J78" i="57"/>
  <c r="F79" i="57"/>
  <c r="N79" i="57"/>
  <c r="J80" i="57"/>
  <c r="F81" i="57"/>
  <c r="N81" i="57"/>
  <c r="D78" i="57"/>
  <c r="L78" i="57"/>
  <c r="H79" i="57"/>
  <c r="D80" i="57"/>
  <c r="L80" i="57"/>
  <c r="H81" i="57"/>
  <c r="F78" i="57"/>
  <c r="F80" i="57"/>
  <c r="D77" i="57" l="1"/>
  <c r="L77" i="57"/>
  <c r="N77" i="57"/>
  <c r="H77" i="57"/>
  <c r="F77" i="57"/>
  <c r="EX2" i="16"/>
  <c r="ES2" i="16"/>
  <c r="EN2" i="16"/>
  <c r="EI2" i="16"/>
  <c r="ED2" i="16"/>
  <c r="DY2" i="16"/>
  <c r="DT2" i="16"/>
  <c r="DO2" i="16"/>
  <c r="DJ2" i="16"/>
  <c r="DE2" i="16"/>
  <c r="CZ2" i="16"/>
  <c r="CU2" i="16"/>
  <c r="A14" i="28" l="1"/>
  <c r="KX2" i="16" l="1"/>
  <c r="KU2" i="16"/>
  <c r="KR2" i="16"/>
  <c r="KO2" i="16"/>
  <c r="KL2" i="16"/>
  <c r="KI2" i="16"/>
  <c r="KH2" i="16"/>
  <c r="KG2" i="16"/>
  <c r="KF2" i="16"/>
  <c r="KE2" i="16"/>
  <c r="KD2" i="16"/>
  <c r="KC2" i="16"/>
  <c r="KB2" i="16"/>
  <c r="KA2" i="16"/>
  <c r="JZ2" i="16"/>
  <c r="JY2" i="16"/>
  <c r="JX2" i="16"/>
  <c r="JW2" i="16"/>
  <c r="JV2" i="16"/>
  <c r="JS2" i="16"/>
  <c r="JR2" i="16"/>
  <c r="JQ2" i="16"/>
  <c r="JP2" i="16"/>
  <c r="JO2" i="16"/>
  <c r="JN2" i="16"/>
  <c r="JM2" i="16"/>
  <c r="JL2" i="16"/>
  <c r="JK2" i="16"/>
  <c r="JJ2" i="16"/>
  <c r="JI2" i="16"/>
  <c r="JH2" i="16"/>
  <c r="JE2" i="16"/>
  <c r="JD2" i="16"/>
  <c r="JC2" i="16"/>
  <c r="JB2" i="16"/>
  <c r="JA2" i="16"/>
  <c r="IZ2" i="16"/>
  <c r="IY2" i="16"/>
  <c r="IX2" i="16"/>
  <c r="IW2" i="16"/>
  <c r="IV2" i="16"/>
  <c r="IU2" i="16"/>
  <c r="IT2" i="16"/>
  <c r="IQ2" i="16"/>
  <c r="IP2" i="16"/>
  <c r="IO2" i="16"/>
  <c r="IN2" i="16"/>
  <c r="IM2" i="16"/>
  <c r="IL2" i="16"/>
  <c r="IK2" i="16"/>
  <c r="IJ2" i="16"/>
  <c r="II2" i="16"/>
  <c r="IH2" i="16"/>
  <c r="IG2" i="16"/>
  <c r="IF2" i="16"/>
  <c r="IC2" i="16"/>
  <c r="IB2" i="16"/>
  <c r="IA2" i="16"/>
  <c r="HZ2" i="16"/>
  <c r="HY2" i="16"/>
  <c r="HX2" i="16"/>
  <c r="HW2" i="16"/>
  <c r="HV2" i="16"/>
  <c r="HU2" i="16"/>
  <c r="HT2" i="16"/>
  <c r="HS2" i="16"/>
  <c r="HR2" i="16"/>
  <c r="HO2" i="16"/>
  <c r="O62" i="57" s="1"/>
  <c r="HN2" i="16"/>
  <c r="N62" i="57" s="1"/>
  <c r="HM2" i="16"/>
  <c r="M62" i="57" s="1"/>
  <c r="HL2" i="16"/>
  <c r="L62" i="57" s="1"/>
  <c r="HK2" i="16"/>
  <c r="K62" i="57" s="1"/>
  <c r="HJ2" i="16"/>
  <c r="J62" i="57" s="1"/>
  <c r="HI2" i="16"/>
  <c r="I62" i="57" s="1"/>
  <c r="HH2" i="16"/>
  <c r="H62" i="57" s="1"/>
  <c r="HG2" i="16"/>
  <c r="G62" i="57" s="1"/>
  <c r="HF2" i="16"/>
  <c r="F62" i="57" s="1"/>
  <c r="HE2" i="16"/>
  <c r="E62" i="57" s="1"/>
  <c r="HA2" i="16"/>
  <c r="GX2" i="16"/>
  <c r="GR2" i="16"/>
  <c r="GO2" i="16"/>
  <c r="GI2" i="16"/>
  <c r="GF2" i="16"/>
  <c r="FZ2" i="16"/>
  <c r="FW2" i="16"/>
  <c r="FQ2" i="16"/>
  <c r="FN2" i="16"/>
  <c r="FH2" i="16"/>
  <c r="FE2" i="16"/>
  <c r="EY2" i="16"/>
  <c r="EW2" i="16"/>
  <c r="EV2" i="16"/>
  <c r="EU2" i="16"/>
  <c r="ET2" i="16"/>
  <c r="ER2" i="16"/>
  <c r="EQ2" i="16"/>
  <c r="EP2" i="16"/>
  <c r="EO2" i="16"/>
  <c r="EM2" i="16"/>
  <c r="EL2" i="16"/>
  <c r="EK2" i="16"/>
  <c r="EJ2" i="16"/>
  <c r="EH2" i="16"/>
  <c r="EG2" i="16"/>
  <c r="EF2" i="16"/>
  <c r="EE2" i="16"/>
  <c r="EC2" i="16"/>
  <c r="EB2" i="16"/>
  <c r="EA2" i="16"/>
  <c r="DZ2" i="16"/>
  <c r="DX2" i="16"/>
  <c r="DW2" i="16"/>
  <c r="DV2" i="16"/>
  <c r="DU2" i="16"/>
  <c r="DS2" i="16"/>
  <c r="DR2" i="16"/>
  <c r="DQ2" i="16"/>
  <c r="DP2" i="16"/>
  <c r="DN2" i="16"/>
  <c r="DM2" i="16"/>
  <c r="DL2" i="16"/>
  <c r="DK2" i="16"/>
  <c r="DI2" i="16"/>
  <c r="DH2" i="16"/>
  <c r="DG2" i="16"/>
  <c r="DF2" i="16"/>
  <c r="DD2" i="16"/>
  <c r="DC2" i="16"/>
  <c r="DB2" i="16"/>
  <c r="DA2" i="16"/>
  <c r="CY2" i="16"/>
  <c r="CX2" i="16"/>
  <c r="CW2" i="16"/>
  <c r="CV2" i="16"/>
  <c r="CT2" i="16"/>
  <c r="CS2" i="16"/>
  <c r="CR2" i="16"/>
  <c r="CQ2" i="16"/>
  <c r="CP2" i="16"/>
  <c r="CN2" i="16"/>
  <c r="CM2" i="16"/>
  <c r="CL2" i="16"/>
  <c r="CJ2" i="16"/>
  <c r="CI2" i="16"/>
  <c r="CH2" i="16"/>
  <c r="CF2" i="16"/>
  <c r="CE2" i="16"/>
  <c r="CD2" i="16"/>
  <c r="CB2" i="16"/>
  <c r="CA2" i="16"/>
  <c r="BZ2" i="16"/>
  <c r="BX2" i="16"/>
  <c r="BW2" i="16"/>
  <c r="BV2" i="16"/>
  <c r="BT2" i="16"/>
  <c r="BS2" i="16"/>
  <c r="BP2" i="16"/>
  <c r="BO2" i="16"/>
  <c r="BN2" i="16"/>
  <c r="BM2" i="16"/>
  <c r="BJ2" i="16"/>
  <c r="BI2" i="16"/>
  <c r="BH2" i="16"/>
  <c r="BG2" i="16"/>
  <c r="BD2" i="16"/>
  <c r="BC2" i="16"/>
  <c r="BB2" i="16"/>
  <c r="BA2" i="16"/>
  <c r="AX2" i="16"/>
  <c r="AW2" i="16"/>
  <c r="AV2" i="16"/>
  <c r="AU2" i="16"/>
  <c r="AR2" i="16"/>
  <c r="AQ2" i="16"/>
  <c r="AP2" i="16"/>
  <c r="AO2" i="16"/>
  <c r="AL2" i="16"/>
  <c r="AK2" i="16"/>
  <c r="AJ2" i="16"/>
  <c r="AI2" i="16"/>
  <c r="AF2" i="16"/>
  <c r="AE2" i="16"/>
  <c r="AD2" i="16"/>
  <c r="AC2" i="16"/>
  <c r="Z2" i="16"/>
  <c r="Y2" i="16"/>
  <c r="X2" i="16"/>
  <c r="W2" i="16"/>
  <c r="T2" i="16"/>
  <c r="S2" i="16"/>
  <c r="R2" i="16"/>
  <c r="I2" i="16"/>
  <c r="H2" i="16"/>
  <c r="G2" i="16"/>
  <c r="B2" i="16"/>
  <c r="A2" i="16"/>
  <c r="A6" i="7"/>
  <c r="A5" i="7"/>
  <c r="A4" i="7"/>
  <c r="A3" i="7"/>
  <c r="A2" i="7"/>
  <c r="A1" i="7"/>
  <c r="C109" i="47"/>
  <c r="C108" i="47" s="1"/>
  <c r="A53" i="47" s="1"/>
  <c r="A15" i="28"/>
  <c r="A13" i="28"/>
  <c r="A12" i="28"/>
  <c r="A11" i="28"/>
  <c r="A10" i="28"/>
  <c r="A9" i="28"/>
  <c r="A8" i="28"/>
  <c r="A7" i="28"/>
  <c r="A6" i="28"/>
  <c r="A5" i="28"/>
  <c r="A4" i="28"/>
  <c r="K3" i="28" s="1"/>
  <c r="A3" i="28"/>
  <c r="K2" i="28" s="1"/>
  <c r="A2" i="28"/>
  <c r="B100" i="56"/>
  <c r="B99" i="56"/>
  <c r="B98" i="56"/>
  <c r="B97" i="56"/>
  <c r="B96" i="56"/>
  <c r="B95" i="56"/>
  <c r="B94" i="56"/>
  <c r="B93" i="56"/>
  <c r="B92" i="56"/>
  <c r="B91" i="56"/>
  <c r="B90" i="56"/>
  <c r="B89" i="56"/>
  <c r="B88" i="56"/>
  <c r="B87" i="56"/>
  <c r="B86" i="56"/>
  <c r="B85" i="56"/>
  <c r="B84" i="56"/>
  <c r="B83" i="56"/>
  <c r="B82" i="56"/>
  <c r="B81" i="56"/>
  <c r="B80" i="56"/>
  <c r="B79" i="56"/>
  <c r="B78" i="56"/>
  <c r="B77" i="56"/>
  <c r="B76" i="56"/>
  <c r="B75" i="56"/>
  <c r="B74" i="56"/>
  <c r="B73" i="56"/>
  <c r="B72" i="56"/>
  <c r="B71" i="56"/>
  <c r="B70" i="56"/>
  <c r="D70" i="56" s="1"/>
  <c r="B69" i="56"/>
  <c r="D69" i="56" s="1"/>
  <c r="B68" i="56"/>
  <c r="B35" i="56"/>
  <c r="B33" i="56"/>
  <c r="B67" i="56"/>
  <c r="B29" i="56"/>
  <c r="D29" i="56" s="1"/>
  <c r="B34" i="56"/>
  <c r="D34" i="56" s="1"/>
  <c r="B66" i="56"/>
  <c r="D66" i="56" s="1"/>
  <c r="B65" i="56"/>
  <c r="C65" i="56" s="1"/>
  <c r="B64" i="56"/>
  <c r="D64" i="56" s="1"/>
  <c r="B63" i="56"/>
  <c r="D63" i="56" s="1"/>
  <c r="B62" i="56"/>
  <c r="D62" i="56" s="1"/>
  <c r="B61" i="56"/>
  <c r="C61" i="56" s="1"/>
  <c r="B32" i="56"/>
  <c r="D32" i="56" s="1"/>
  <c r="B60" i="56"/>
  <c r="D60" i="56" s="1"/>
  <c r="B59" i="56"/>
  <c r="D59" i="56" s="1"/>
  <c r="B58" i="56"/>
  <c r="C58" i="56" s="1"/>
  <c r="B57" i="56"/>
  <c r="D57" i="56" s="1"/>
  <c r="B31" i="56"/>
  <c r="C31" i="56" s="1"/>
  <c r="B56" i="56"/>
  <c r="D56" i="56" s="1"/>
  <c r="B55" i="56"/>
  <c r="C55" i="56" s="1"/>
  <c r="B54" i="56"/>
  <c r="C54" i="56" s="1"/>
  <c r="B40" i="56"/>
  <c r="D40" i="56" s="1"/>
  <c r="B53" i="56"/>
  <c r="D53" i="56" s="1"/>
  <c r="B52" i="56"/>
  <c r="C52" i="56" s="1"/>
  <c r="B51" i="56"/>
  <c r="D51" i="56" s="1"/>
  <c r="B36" i="56"/>
  <c r="D36" i="56" s="1"/>
  <c r="B50" i="56"/>
  <c r="D50" i="56" s="1"/>
  <c r="B39" i="56"/>
  <c r="C39" i="56" s="1"/>
  <c r="B49" i="56"/>
  <c r="D49" i="56" s="1"/>
  <c r="B48" i="56"/>
  <c r="C48" i="56" s="1"/>
  <c r="N38" i="56"/>
  <c r="G38" i="56"/>
  <c r="B47" i="56"/>
  <c r="C47" i="56" s="1"/>
  <c r="N37" i="56"/>
  <c r="G37" i="56"/>
  <c r="B46" i="56"/>
  <c r="N36" i="56"/>
  <c r="G36" i="56"/>
  <c r="B45" i="56"/>
  <c r="N35" i="56"/>
  <c r="G35" i="56"/>
  <c r="B44" i="56"/>
  <c r="D44" i="56" s="1"/>
  <c r="N34" i="56"/>
  <c r="G34" i="56"/>
  <c r="B37" i="56"/>
  <c r="C37" i="56" s="1"/>
  <c r="N33" i="56"/>
  <c r="G33" i="56"/>
  <c r="B43" i="56"/>
  <c r="N32" i="56"/>
  <c r="G32" i="56"/>
  <c r="B28" i="56"/>
  <c r="N31" i="56"/>
  <c r="G31" i="56"/>
  <c r="B27" i="56"/>
  <c r="D27" i="56" s="1"/>
  <c r="N30" i="56"/>
  <c r="G30" i="56"/>
  <c r="B41" i="56"/>
  <c r="C41" i="56" s="1"/>
  <c r="N29" i="56"/>
  <c r="G29" i="56"/>
  <c r="B42" i="56"/>
  <c r="N28" i="56"/>
  <c r="G28" i="56"/>
  <c r="D38" i="56"/>
  <c r="C38" i="56"/>
  <c r="N27" i="56"/>
  <c r="M27" i="56"/>
  <c r="G27" i="56"/>
  <c r="B30" i="56"/>
  <c r="D30" i="56" s="1"/>
  <c r="E73" i="4"/>
  <c r="B73" i="4"/>
  <c r="B70" i="4"/>
  <c r="B69" i="4"/>
  <c r="B68" i="4"/>
  <c r="C67" i="4"/>
  <c r="JU2" i="16" s="1"/>
  <c r="C66" i="4"/>
  <c r="JG2" i="16" s="1"/>
  <c r="C65" i="4"/>
  <c r="IS2" i="16" s="1"/>
  <c r="C64" i="4"/>
  <c r="IE2" i="16" s="1"/>
  <c r="S63" i="4"/>
  <c r="C63" i="4"/>
  <c r="HQ2" i="16" s="1"/>
  <c r="S62" i="4"/>
  <c r="O61" i="4"/>
  <c r="N61" i="4"/>
  <c r="M61" i="4"/>
  <c r="L61" i="4"/>
  <c r="K61" i="4"/>
  <c r="J61" i="4"/>
  <c r="I61" i="4"/>
  <c r="H61" i="4"/>
  <c r="G61" i="4"/>
  <c r="F61" i="4"/>
  <c r="E61" i="4"/>
  <c r="D61" i="4"/>
  <c r="B61" i="4"/>
  <c r="N60" i="4"/>
  <c r="L60" i="4"/>
  <c r="J60" i="4"/>
  <c r="H60" i="4"/>
  <c r="F60" i="4"/>
  <c r="D60" i="4"/>
  <c r="C60" i="4"/>
  <c r="B59" i="4"/>
  <c r="D58" i="4"/>
  <c r="B58" i="4"/>
  <c r="B57" i="4"/>
  <c r="D56" i="4"/>
  <c r="B56" i="4"/>
  <c r="C55" i="4"/>
  <c r="B55" i="4"/>
  <c r="C54" i="4"/>
  <c r="B54" i="4"/>
  <c r="GJ2" i="16" s="1"/>
  <c r="C53" i="4"/>
  <c r="B53" i="4"/>
  <c r="C52" i="4"/>
  <c r="B52" i="4"/>
  <c r="FR2" i="16" s="1"/>
  <c r="C51" i="4"/>
  <c r="B51" i="4"/>
  <c r="FA2" i="16"/>
  <c r="B50" i="4"/>
  <c r="F50" i="4" s="1"/>
  <c r="J49" i="4"/>
  <c r="I49" i="4"/>
  <c r="H49" i="4"/>
  <c r="G49" i="4"/>
  <c r="F49" i="4"/>
  <c r="E49" i="4"/>
  <c r="D49" i="4"/>
  <c r="C49" i="4"/>
  <c r="B49" i="4"/>
  <c r="E48" i="4"/>
  <c r="D47" i="4"/>
  <c r="B47" i="4"/>
  <c r="B46" i="4"/>
  <c r="B45" i="4"/>
  <c r="B44" i="4"/>
  <c r="Q43" i="4"/>
  <c r="P43" i="4"/>
  <c r="P42" i="4"/>
  <c r="S41" i="4"/>
  <c r="P41" i="4"/>
  <c r="P40" i="4"/>
  <c r="P39" i="4"/>
  <c r="Q38" i="4"/>
  <c r="P38" i="4"/>
  <c r="Q37" i="4"/>
  <c r="P37" i="4"/>
  <c r="Q36" i="4"/>
  <c r="P36" i="4"/>
  <c r="Q35" i="4"/>
  <c r="P35" i="4"/>
  <c r="Q34" i="4"/>
  <c r="P34" i="4"/>
  <c r="Q33" i="4"/>
  <c r="P33" i="4"/>
  <c r="Q32" i="4"/>
  <c r="P32" i="4"/>
  <c r="I31" i="4"/>
  <c r="G31" i="4"/>
  <c r="D31" i="4"/>
  <c r="C31" i="4"/>
  <c r="B31" i="4"/>
  <c r="D30" i="4"/>
  <c r="F29" i="4"/>
  <c r="E28" i="4"/>
  <c r="BQ2" i="16" s="1"/>
  <c r="BK2" i="16"/>
  <c r="BE2" i="16"/>
  <c r="AY2" i="16"/>
  <c r="AS2" i="16"/>
  <c r="AM2" i="16"/>
  <c r="AG2" i="16"/>
  <c r="AA2" i="16"/>
  <c r="U2" i="16"/>
  <c r="H19" i="4"/>
  <c r="F19" i="4"/>
  <c r="E19" i="4"/>
  <c r="D19" i="4"/>
  <c r="C19" i="4"/>
  <c r="B19" i="4"/>
  <c r="H18" i="4"/>
  <c r="B18" i="4"/>
  <c r="D17" i="4"/>
  <c r="C16" i="4"/>
  <c r="CO2" i="16" s="1"/>
  <c r="C15" i="4"/>
  <c r="CK2" i="16" s="1"/>
  <c r="C14" i="4"/>
  <c r="CG2" i="16" s="1"/>
  <c r="C13" i="4"/>
  <c r="CC2" i="16" s="1"/>
  <c r="C12" i="4"/>
  <c r="BY2" i="16" s="1"/>
  <c r="C11" i="4"/>
  <c r="BU2" i="16" s="1"/>
  <c r="E10" i="4"/>
  <c r="D10" i="4"/>
  <c r="C10" i="4"/>
  <c r="B10" i="4"/>
  <c r="D9" i="4"/>
  <c r="F8" i="4"/>
  <c r="L6" i="4"/>
  <c r="J2" i="16" s="1"/>
  <c r="I6" i="4"/>
  <c r="E6" i="4"/>
  <c r="B6" i="4"/>
  <c r="J5" i="4"/>
  <c r="E5" i="4"/>
  <c r="B5" i="4"/>
  <c r="E1" i="4"/>
  <c r="D71" i="56" l="1"/>
  <c r="E71" i="56"/>
  <c r="C71" i="56"/>
  <c r="D75" i="56"/>
  <c r="E75" i="56"/>
  <c r="C75" i="56"/>
  <c r="D79" i="56"/>
  <c r="E79" i="56"/>
  <c r="C79" i="56"/>
  <c r="D83" i="56"/>
  <c r="C83" i="56"/>
  <c r="E83" i="56"/>
  <c r="D87" i="56"/>
  <c r="E87" i="56"/>
  <c r="C87" i="56"/>
  <c r="D91" i="56"/>
  <c r="C91" i="56"/>
  <c r="E91" i="56"/>
  <c r="D95" i="56"/>
  <c r="E95" i="56"/>
  <c r="C95" i="56"/>
  <c r="D99" i="56"/>
  <c r="E99" i="56"/>
  <c r="C99" i="56"/>
  <c r="C29" i="56"/>
  <c r="E72" i="56"/>
  <c r="C72" i="56"/>
  <c r="D72" i="56"/>
  <c r="E76" i="56"/>
  <c r="C76" i="56"/>
  <c r="D76" i="56"/>
  <c r="E80" i="56"/>
  <c r="D80" i="56"/>
  <c r="C80" i="56"/>
  <c r="C84" i="56"/>
  <c r="D84" i="56"/>
  <c r="E84" i="56"/>
  <c r="E88" i="56"/>
  <c r="D88" i="56"/>
  <c r="C88" i="56"/>
  <c r="E92" i="56"/>
  <c r="C92" i="56"/>
  <c r="D92" i="56"/>
  <c r="E96" i="56"/>
  <c r="C96" i="56"/>
  <c r="D96" i="56"/>
  <c r="E100" i="56"/>
  <c r="D100" i="56"/>
  <c r="C100" i="56"/>
  <c r="D67" i="56"/>
  <c r="C67" i="56"/>
  <c r="E69" i="56"/>
  <c r="C69" i="56"/>
  <c r="E73" i="56"/>
  <c r="C73" i="56"/>
  <c r="D73" i="56"/>
  <c r="E77" i="56"/>
  <c r="C77" i="56"/>
  <c r="D77" i="56"/>
  <c r="E81" i="56"/>
  <c r="C81" i="56"/>
  <c r="D81" i="56"/>
  <c r="E85" i="56"/>
  <c r="C85" i="56"/>
  <c r="D85" i="56"/>
  <c r="E89" i="56"/>
  <c r="C89" i="56"/>
  <c r="D89" i="56"/>
  <c r="E93" i="56"/>
  <c r="C93" i="56"/>
  <c r="D93" i="56"/>
  <c r="E97" i="56"/>
  <c r="C97" i="56"/>
  <c r="D97" i="56"/>
  <c r="D33" i="56"/>
  <c r="C33" i="56"/>
  <c r="E70" i="56"/>
  <c r="C70" i="56"/>
  <c r="D74" i="56"/>
  <c r="E74" i="56"/>
  <c r="C74" i="56"/>
  <c r="D78" i="56"/>
  <c r="E78" i="56"/>
  <c r="C78" i="56"/>
  <c r="E82" i="56"/>
  <c r="C82" i="56"/>
  <c r="D82" i="56"/>
  <c r="D86" i="56"/>
  <c r="E86" i="56"/>
  <c r="C86" i="56"/>
  <c r="E90" i="56"/>
  <c r="C90" i="56"/>
  <c r="D90" i="56"/>
  <c r="D94" i="56"/>
  <c r="E94" i="56"/>
  <c r="C94" i="56"/>
  <c r="D98" i="56"/>
  <c r="E98" i="56"/>
  <c r="C98" i="56"/>
  <c r="F55" i="4"/>
  <c r="GS2" i="16"/>
  <c r="B65" i="4"/>
  <c r="IR2" i="16" s="1"/>
  <c r="GA2" i="16"/>
  <c r="B63" i="4"/>
  <c r="HP2" i="16" s="1"/>
  <c r="FI2" i="16"/>
  <c r="EZ2" i="16"/>
  <c r="KQ2" i="16"/>
  <c r="GB2" i="16"/>
  <c r="KW2" i="16"/>
  <c r="GT2" i="16"/>
  <c r="KK2" i="16"/>
  <c r="FJ2" i="16"/>
  <c r="KN2" i="16"/>
  <c r="FS2" i="16"/>
  <c r="KT2" i="16"/>
  <c r="GK2" i="16"/>
  <c r="D68" i="56"/>
  <c r="C68" i="56"/>
  <c r="E68" i="56" s="1"/>
  <c r="D35" i="56"/>
  <c r="C35" i="56"/>
  <c r="L81" i="4"/>
  <c r="N81" i="4"/>
  <c r="J81" i="4"/>
  <c r="J79" i="4"/>
  <c r="N79" i="4"/>
  <c r="L79" i="4"/>
  <c r="N80" i="4"/>
  <c r="J80" i="4"/>
  <c r="L80" i="4"/>
  <c r="D39" i="56"/>
  <c r="C51" i="56"/>
  <c r="D54" i="56"/>
  <c r="C32" i="56"/>
  <c r="B62" i="4"/>
  <c r="H81" i="4"/>
  <c r="D81" i="4"/>
  <c r="F81" i="4"/>
  <c r="D78" i="4"/>
  <c r="L78" i="4"/>
  <c r="F78" i="4"/>
  <c r="N78" i="4"/>
  <c r="H78" i="4"/>
  <c r="J78" i="4"/>
  <c r="H77" i="4"/>
  <c r="J77" i="4"/>
  <c r="N77" i="4"/>
  <c r="D77" i="4"/>
  <c r="L77" i="4"/>
  <c r="F77" i="4"/>
  <c r="D80" i="4"/>
  <c r="F80" i="4"/>
  <c r="H80" i="4"/>
  <c r="H79" i="4"/>
  <c r="D79" i="4"/>
  <c r="F79" i="4"/>
  <c r="D58" i="56"/>
  <c r="D61" i="56"/>
  <c r="C64" i="56"/>
  <c r="J5" i="28"/>
  <c r="K5" i="28"/>
  <c r="K9" i="28"/>
  <c r="J4" i="28"/>
  <c r="K4" i="28"/>
  <c r="J6" i="28"/>
  <c r="K6" i="28"/>
  <c r="K8" i="28"/>
  <c r="J7" i="28"/>
  <c r="K7" i="28"/>
  <c r="J3" i="28"/>
  <c r="J2" i="28"/>
  <c r="I5" i="28"/>
  <c r="I4" i="28"/>
  <c r="I6" i="28"/>
  <c r="I7" i="28"/>
  <c r="I3" i="28"/>
  <c r="I2" i="28"/>
  <c r="C49" i="56"/>
  <c r="D41" i="56"/>
  <c r="C27" i="56"/>
  <c r="D55" i="56"/>
  <c r="C57" i="56"/>
  <c r="E57" i="56" s="1"/>
  <c r="C34" i="56"/>
  <c r="D52" i="56"/>
  <c r="D65" i="56"/>
  <c r="F5" i="28"/>
  <c r="G5" i="28"/>
  <c r="F6" i="28"/>
  <c r="G6" i="28"/>
  <c r="F4" i="28"/>
  <c r="G4" i="28"/>
  <c r="F7" i="28"/>
  <c r="G7" i="28"/>
  <c r="F3" i="28"/>
  <c r="G3" i="28"/>
  <c r="F2" i="28"/>
  <c r="G2" i="28"/>
  <c r="G8" i="28" s="1"/>
  <c r="C36" i="56"/>
  <c r="C60" i="56"/>
  <c r="C40" i="56"/>
  <c r="C63" i="56"/>
  <c r="C30" i="56"/>
  <c r="D37" i="56"/>
  <c r="C44" i="56"/>
  <c r="D48" i="56"/>
  <c r="C50" i="56"/>
  <c r="C53" i="56"/>
  <c r="E53" i="56" s="1"/>
  <c r="C56" i="56"/>
  <c r="D31" i="56"/>
  <c r="C59" i="56"/>
  <c r="E54" i="56" s="1"/>
  <c r="C62" i="56"/>
  <c r="C66" i="56"/>
  <c r="D47" i="56"/>
  <c r="C45" i="4"/>
  <c r="L2" i="16" s="1"/>
  <c r="P38" i="56"/>
  <c r="O30" i="56"/>
  <c r="Q30" i="56" s="1"/>
  <c r="B4" i="28"/>
  <c r="D4" i="28" s="1"/>
  <c r="C3" i="28"/>
  <c r="B5" i="28"/>
  <c r="D5" i="28" s="1"/>
  <c r="C5" i="28"/>
  <c r="O35" i="56"/>
  <c r="O31" i="56"/>
  <c r="Q31" i="56" s="1"/>
  <c r="C7" i="28"/>
  <c r="A54" i="47"/>
  <c r="O34" i="56"/>
  <c r="E53" i="4"/>
  <c r="GD2" i="16" s="1"/>
  <c r="B67" i="4"/>
  <c r="JT2" i="16" s="1"/>
  <c r="E51" i="4"/>
  <c r="FL2" i="16" s="1"/>
  <c r="E55" i="4"/>
  <c r="GV2" i="16" s="1"/>
  <c r="D42" i="56"/>
  <c r="C42" i="56"/>
  <c r="O38" i="56"/>
  <c r="Q38" i="56" s="1"/>
  <c r="B48" i="4"/>
  <c r="F51" i="4"/>
  <c r="E52" i="4"/>
  <c r="B66" i="4"/>
  <c r="JF2" i="16" s="1"/>
  <c r="F54" i="4"/>
  <c r="I54" i="4"/>
  <c r="GQ2" i="16" s="1"/>
  <c r="P30" i="56"/>
  <c r="D43" i="56"/>
  <c r="C43" i="56"/>
  <c r="P34" i="56"/>
  <c r="D46" i="56"/>
  <c r="C46" i="56"/>
  <c r="P36" i="56"/>
  <c r="P32" i="56"/>
  <c r="P28" i="56"/>
  <c r="P27" i="56"/>
  <c r="P35" i="56"/>
  <c r="P31" i="56"/>
  <c r="O28" i="56"/>
  <c r="Q28" i="56" s="1"/>
  <c r="O29" i="56"/>
  <c r="Q29" i="56" s="1"/>
  <c r="D45" i="56"/>
  <c r="O37" i="56"/>
  <c r="D28" i="56"/>
  <c r="O33" i="56"/>
  <c r="I48" i="4"/>
  <c r="E50" i="4"/>
  <c r="FC2" i="16" s="1"/>
  <c r="B64" i="4"/>
  <c r="ID2" i="16" s="1"/>
  <c r="F52" i="4"/>
  <c r="I52" i="4"/>
  <c r="FY2" i="16" s="1"/>
  <c r="F53" i="4"/>
  <c r="E54" i="4"/>
  <c r="O27" i="56"/>
  <c r="Q27" i="56" s="1"/>
  <c r="P29" i="56"/>
  <c r="C28" i="56"/>
  <c r="O32" i="56"/>
  <c r="P33" i="56"/>
  <c r="C45" i="56"/>
  <c r="O36" i="56"/>
  <c r="P37" i="56"/>
  <c r="C44" i="4"/>
  <c r="K2" i="16" s="1"/>
  <c r="I51" i="4"/>
  <c r="FP2" i="16" s="1"/>
  <c r="I53" i="4"/>
  <c r="GH2" i="16" s="1"/>
  <c r="I55" i="4"/>
  <c r="GZ2" i="16" s="1"/>
  <c r="P2" i="28"/>
  <c r="B3" i="28"/>
  <c r="C4" i="28"/>
  <c r="B7" i="28"/>
  <c r="B2" i="28"/>
  <c r="B6" i="28"/>
  <c r="C2" i="28"/>
  <c r="C6" i="28"/>
  <c r="C107" i="47"/>
  <c r="F8" i="28" l="1"/>
  <c r="F9" i="28" s="1"/>
  <c r="F10" i="28" s="1"/>
  <c r="F11" i="28" s="1"/>
  <c r="F12" i="28" s="1"/>
  <c r="F13" i="28" s="1"/>
  <c r="F14" i="28" s="1"/>
  <c r="I8" i="28"/>
  <c r="I9" i="28" s="1"/>
  <c r="I10" i="28" s="1"/>
  <c r="I11" i="28" s="1"/>
  <c r="I12" i="28" s="1"/>
  <c r="I13" i="28" s="1"/>
  <c r="I14" i="28" s="1"/>
  <c r="B8" i="28"/>
  <c r="B9" i="28" s="1"/>
  <c r="B10" i="28" s="1"/>
  <c r="Q32" i="56"/>
  <c r="M4" i="28"/>
  <c r="J8" i="28"/>
  <c r="L8" i="28" s="1"/>
  <c r="J32" i="56" s="1"/>
  <c r="C8" i="28"/>
  <c r="D8" i="28" s="1"/>
  <c r="G9" i="28"/>
  <c r="G10" i="28" s="1"/>
  <c r="G11" i="28" s="1"/>
  <c r="G12" i="28" s="1"/>
  <c r="G13" i="28" s="1"/>
  <c r="G14" i="28" s="1"/>
  <c r="Q33" i="56"/>
  <c r="E40" i="56"/>
  <c r="E60" i="56"/>
  <c r="E51" i="56"/>
  <c r="E49" i="56"/>
  <c r="E64" i="56"/>
  <c r="E46" i="56"/>
  <c r="E32" i="56"/>
  <c r="E27" i="56"/>
  <c r="E4" i="28"/>
  <c r="N4" i="28"/>
  <c r="Q4" i="28"/>
  <c r="E56" i="56"/>
  <c r="E58" i="56"/>
  <c r="E62" i="56"/>
  <c r="E33" i="56"/>
  <c r="E63" i="56"/>
  <c r="E41" i="56"/>
  <c r="E55" i="56"/>
  <c r="E65" i="56"/>
  <c r="E59" i="56"/>
  <c r="E52" i="56"/>
  <c r="E50" i="56"/>
  <c r="E61" i="56"/>
  <c r="E66" i="56"/>
  <c r="E48" i="56"/>
  <c r="E36" i="56"/>
  <c r="E47" i="56"/>
  <c r="HB2" i="16"/>
  <c r="B62" i="57" s="1"/>
  <c r="C62" i="4"/>
  <c r="H50" i="4" s="1"/>
  <c r="E67" i="56"/>
  <c r="E42" i="56"/>
  <c r="E35" i="56"/>
  <c r="E44" i="56"/>
  <c r="E45" i="56"/>
  <c r="E37" i="56"/>
  <c r="E31" i="56"/>
  <c r="E38" i="56"/>
  <c r="E43" i="56"/>
  <c r="E30" i="56"/>
  <c r="E34" i="56"/>
  <c r="E39" i="56"/>
  <c r="H53" i="4"/>
  <c r="GG2" i="16" s="1"/>
  <c r="H55" i="4"/>
  <c r="GY2" i="16" s="1"/>
  <c r="KY2" i="16"/>
  <c r="GW2" i="16"/>
  <c r="KV2" i="16"/>
  <c r="GN2" i="16"/>
  <c r="GM2" i="16"/>
  <c r="H54" i="4"/>
  <c r="GP2" i="16" s="1"/>
  <c r="KS2" i="16"/>
  <c r="GE2" i="16"/>
  <c r="KP2" i="16"/>
  <c r="FV2" i="16"/>
  <c r="KM2" i="16"/>
  <c r="FM2" i="16"/>
  <c r="KJ2" i="16"/>
  <c r="FD2" i="16"/>
  <c r="K10" i="28"/>
  <c r="K11" i="28" s="1"/>
  <c r="Q34" i="56"/>
  <c r="Q35" i="56"/>
  <c r="Q37" i="56"/>
  <c r="FU2" i="16"/>
  <c r="H52" i="4"/>
  <c r="FX2" i="16" s="1"/>
  <c r="O5" i="28"/>
  <c r="L5" i="28"/>
  <c r="J29" i="56" s="1"/>
  <c r="H6" i="28"/>
  <c r="I30" i="56" s="1"/>
  <c r="L6" i="28"/>
  <c r="J30" i="56" s="1"/>
  <c r="O4" i="28"/>
  <c r="L4" i="28"/>
  <c r="J28" i="56" s="1"/>
  <c r="H7" i="28"/>
  <c r="I31" i="56" s="1"/>
  <c r="L7" i="28"/>
  <c r="J31" i="56" s="1"/>
  <c r="H3" i="28"/>
  <c r="I27" i="56" s="1"/>
  <c r="L3" i="28"/>
  <c r="H2" i="28"/>
  <c r="L2" i="28"/>
  <c r="M2" i="28" s="1"/>
  <c r="E28" i="56"/>
  <c r="M5" i="28"/>
  <c r="Q5" i="28"/>
  <c r="H5" i="28"/>
  <c r="I29" i="56" s="1"/>
  <c r="H4" i="28"/>
  <c r="I28" i="56" s="1"/>
  <c r="E29" i="56"/>
  <c r="Q36" i="56"/>
  <c r="H29" i="56"/>
  <c r="C46" i="4"/>
  <c r="H51" i="4"/>
  <c r="FO2" i="16" s="1"/>
  <c r="N5" i="28"/>
  <c r="E5" i="28"/>
  <c r="C106" i="47"/>
  <c r="A52" i="47"/>
  <c r="N2" i="28"/>
  <c r="O2" i="28" s="1"/>
  <c r="Q2" i="28"/>
  <c r="D2" i="28"/>
  <c r="E2" i="28" s="1"/>
  <c r="D3" i="28"/>
  <c r="N3" i="28"/>
  <c r="O3" i="28" s="1"/>
  <c r="Q3" i="28"/>
  <c r="E3" i="28"/>
  <c r="H28" i="56"/>
  <c r="O7" i="28"/>
  <c r="D7" i="28"/>
  <c r="N7" i="28"/>
  <c r="Q7" i="28"/>
  <c r="M7" i="28"/>
  <c r="E7" i="28"/>
  <c r="P3" i="28"/>
  <c r="P4" i="28" s="1"/>
  <c r="P5" i="28" s="1"/>
  <c r="N6" i="28"/>
  <c r="Q6" i="28"/>
  <c r="M6" i="28"/>
  <c r="E6" i="28"/>
  <c r="O6" i="28"/>
  <c r="D6" i="28"/>
  <c r="H8" i="28" l="1"/>
  <c r="I32" i="56" s="1"/>
  <c r="M8" i="28"/>
  <c r="E8" i="28"/>
  <c r="H32" i="56"/>
  <c r="K32" i="56" s="1"/>
  <c r="N8" i="28"/>
  <c r="C9" i="28"/>
  <c r="E9" i="28" s="1"/>
  <c r="J9" i="28"/>
  <c r="J10" i="28" s="1"/>
  <c r="J11" i="28" s="1"/>
  <c r="H9" i="28"/>
  <c r="I33" i="56" s="1"/>
  <c r="M9" i="28"/>
  <c r="FF2" i="16"/>
  <c r="HD2" i="16"/>
  <c r="D62" i="57" s="1"/>
  <c r="HC2" i="16"/>
  <c r="C62" i="57" s="1"/>
  <c r="L76" i="4"/>
  <c r="L82" i="4" s="1"/>
  <c r="Q2" i="16"/>
  <c r="F76" i="4"/>
  <c r="F82" i="4" s="1"/>
  <c r="I50" i="4"/>
  <c r="N76" i="4"/>
  <c r="N82" i="4" s="1"/>
  <c r="C68" i="4"/>
  <c r="O2" i="16" s="1"/>
  <c r="H76" i="4"/>
  <c r="H82" i="4" s="1"/>
  <c r="J76" i="4"/>
  <c r="J82" i="4" s="1"/>
  <c r="C57" i="4"/>
  <c r="C47" i="4"/>
  <c r="C2" i="16" s="1"/>
  <c r="K12" i="28"/>
  <c r="K13" i="28" s="1"/>
  <c r="K14" i="28" s="1"/>
  <c r="H10" i="28"/>
  <c r="I34" i="56" s="1"/>
  <c r="M10" i="28"/>
  <c r="B11" i="28"/>
  <c r="B12" i="28" s="1"/>
  <c r="M2" i="16"/>
  <c r="K28" i="56"/>
  <c r="R4" i="28"/>
  <c r="D44" i="4"/>
  <c r="K29" i="56"/>
  <c r="R5" i="28"/>
  <c r="P6" i="28"/>
  <c r="R3" i="28"/>
  <c r="H27" i="56"/>
  <c r="R2" i="28"/>
  <c r="R6" i="28"/>
  <c r="H30" i="56"/>
  <c r="K30" i="56" s="1"/>
  <c r="R7" i="28"/>
  <c r="H31" i="56"/>
  <c r="K31" i="56" s="1"/>
  <c r="M3" i="28"/>
  <c r="J27" i="56"/>
  <c r="C105" i="47"/>
  <c r="A51" i="47"/>
  <c r="O8" i="28" l="1"/>
  <c r="O9" i="28"/>
  <c r="J12" i="28"/>
  <c r="J13" i="28" s="1"/>
  <c r="L9" i="28"/>
  <c r="J33" i="56" s="1"/>
  <c r="L10" i="28"/>
  <c r="J34" i="56" s="1"/>
  <c r="C10" i="28"/>
  <c r="D9" i="28"/>
  <c r="D76" i="4"/>
  <c r="G68" i="4" s="1"/>
  <c r="FG2" i="16"/>
  <c r="C56" i="4"/>
  <c r="N2" i="16" s="1"/>
  <c r="F76" i="57"/>
  <c r="F82" i="57" s="1"/>
  <c r="N76" i="57"/>
  <c r="N82" i="57" s="1"/>
  <c r="L76" i="57"/>
  <c r="L82" i="57" s="1"/>
  <c r="J76" i="57"/>
  <c r="J82" i="57" s="1"/>
  <c r="D76" i="57"/>
  <c r="H76" i="57"/>
  <c r="H82" i="57" s="1"/>
  <c r="D12" i="28"/>
  <c r="E12" i="28"/>
  <c r="B13" i="28"/>
  <c r="L13" i="28" s="1"/>
  <c r="J37" i="56" s="1"/>
  <c r="L12" i="28"/>
  <c r="J36" i="56" s="1"/>
  <c r="H11" i="28"/>
  <c r="I35" i="56" s="1"/>
  <c r="L11" i="28"/>
  <c r="J35" i="56" s="1"/>
  <c r="M11" i="28"/>
  <c r="D11" i="28"/>
  <c r="H35" i="56" s="1"/>
  <c r="E11" i="28"/>
  <c r="H12" i="28"/>
  <c r="I36" i="56" s="1"/>
  <c r="M12" i="28"/>
  <c r="P7" i="28"/>
  <c r="P8" i="28" s="1"/>
  <c r="K27" i="56"/>
  <c r="C104" i="47"/>
  <c r="A50" i="47"/>
  <c r="J14" i="28" l="1"/>
  <c r="C11" i="28"/>
  <c r="C12" i="28" s="1"/>
  <c r="C13" i="28" s="1"/>
  <c r="D10" i="28"/>
  <c r="N9" i="28"/>
  <c r="H33" i="56"/>
  <c r="K33" i="56" s="1"/>
  <c r="P9" i="28"/>
  <c r="Q8" i="28"/>
  <c r="R8" i="28" s="1"/>
  <c r="E10" i="28"/>
  <c r="O10" i="28" s="1"/>
  <c r="O11" i="28"/>
  <c r="N11" i="28"/>
  <c r="C1" i="4"/>
  <c r="B1" i="4" s="1"/>
  <c r="D82" i="4"/>
  <c r="C69" i="4" s="1"/>
  <c r="P2" i="16" s="1"/>
  <c r="C58" i="4"/>
  <c r="D2" i="16" s="1"/>
  <c r="D82" i="57"/>
  <c r="G68" i="57"/>
  <c r="C1" i="57" s="1"/>
  <c r="O12" i="28"/>
  <c r="H13" i="28"/>
  <c r="I37" i="56" s="1"/>
  <c r="K35" i="56"/>
  <c r="E13" i="28"/>
  <c r="B14" i="28"/>
  <c r="L14" i="28" s="1"/>
  <c r="J38" i="56" s="1"/>
  <c r="M13" i="28"/>
  <c r="D13" i="28"/>
  <c r="H37" i="56" s="1"/>
  <c r="N12" i="28"/>
  <c r="C103" i="47"/>
  <c r="A49" i="47"/>
  <c r="C14" i="28" l="1"/>
  <c r="P10" i="28"/>
  <c r="Q9" i="28"/>
  <c r="R9" i="28" s="1"/>
  <c r="H34" i="56"/>
  <c r="K34" i="56" s="1"/>
  <c r="N10" i="28"/>
  <c r="Q11" i="28"/>
  <c r="R11" i="28" s="1"/>
  <c r="C70" i="4"/>
  <c r="E2" i="16" s="1"/>
  <c r="O13" i="28"/>
  <c r="N13" i="28"/>
  <c r="K37" i="56"/>
  <c r="D14" i="28"/>
  <c r="M14" i="28"/>
  <c r="H14" i="28"/>
  <c r="I38" i="56" s="1"/>
  <c r="E14" i="28"/>
  <c r="H36" i="56"/>
  <c r="K36" i="56" s="1"/>
  <c r="C102" i="47"/>
  <c r="A48" i="47"/>
  <c r="Q10" i="28" l="1"/>
  <c r="R10" i="28" s="1"/>
  <c r="P11" i="28"/>
  <c r="P12" i="28" s="1"/>
  <c r="Q12" i="28" s="1"/>
  <c r="R12" i="28" s="1"/>
  <c r="C73" i="4"/>
  <c r="F2" i="16" s="1"/>
  <c r="N14" i="28"/>
  <c r="O14" i="28"/>
  <c r="H38" i="56"/>
  <c r="K38" i="56" s="1"/>
  <c r="C101" i="47"/>
  <c r="A47" i="47"/>
  <c r="P13" i="28" l="1"/>
  <c r="Q13" i="28" s="1"/>
  <c r="R13" i="28" s="1"/>
  <c r="C100" i="47"/>
  <c r="A46" i="47"/>
  <c r="P14" i="28" l="1"/>
  <c r="Q14" i="28" s="1"/>
  <c r="R14" i="28" s="1"/>
  <c r="C99" i="47"/>
  <c r="A45" i="47"/>
  <c r="C98" i="47" l="1"/>
  <c r="A44" i="47"/>
  <c r="C97" i="47" l="1"/>
  <c r="A43" i="47"/>
  <c r="C96" i="47" l="1"/>
  <c r="A42" i="47"/>
  <c r="C95" i="47" l="1"/>
  <c r="A41" i="47"/>
  <c r="C94" i="47" l="1"/>
  <c r="A40" i="47"/>
  <c r="C93" i="47" l="1"/>
  <c r="A39" i="47"/>
  <c r="C92" i="47" l="1"/>
  <c r="A38" i="47"/>
  <c r="C91" i="47" l="1"/>
  <c r="A37" i="47"/>
  <c r="C90" i="47" l="1"/>
  <c r="I36" i="47"/>
  <c r="A36" i="47"/>
  <c r="C89" i="47" l="1"/>
  <c r="I35" i="47"/>
  <c r="A35" i="47"/>
  <c r="C88" i="47" l="1"/>
  <c r="I34" i="47"/>
  <c r="A34" i="47"/>
  <c r="C87" i="47" l="1"/>
  <c r="I33" i="47"/>
  <c r="A33" i="47"/>
  <c r="C86" i="47" l="1"/>
  <c r="I32" i="47"/>
  <c r="A32" i="47"/>
  <c r="C85" i="47" l="1"/>
  <c r="I31" i="47"/>
  <c r="A31" i="47"/>
  <c r="C84" i="47" l="1"/>
  <c r="I30" i="47"/>
  <c r="A30" i="47"/>
  <c r="C83" i="47" l="1"/>
  <c r="A29" i="47"/>
  <c r="I29" i="47"/>
  <c r="C82" i="47" l="1"/>
  <c r="A28" i="47"/>
  <c r="I28" i="47"/>
  <c r="C81" i="47" l="1"/>
  <c r="F27" i="47"/>
  <c r="B27" i="47"/>
  <c r="I27" i="47"/>
  <c r="C27" i="47"/>
  <c r="G27" i="47"/>
  <c r="A27" i="47"/>
  <c r="C80" i="47" l="1"/>
  <c r="F26" i="47"/>
  <c r="B26" i="47"/>
  <c r="I26" i="47"/>
  <c r="C26" i="47"/>
  <c r="G26" i="47"/>
  <c r="A26" i="47"/>
  <c r="M27" i="47"/>
  <c r="N27" i="47"/>
  <c r="J27" i="47"/>
  <c r="K27" i="47"/>
  <c r="E27" i="47"/>
  <c r="P27" i="47"/>
  <c r="D27" i="47"/>
  <c r="O27" i="47"/>
  <c r="H27" i="47"/>
  <c r="L27" i="47"/>
  <c r="N26" i="47" l="1"/>
  <c r="J26" i="47"/>
  <c r="P26" i="47"/>
  <c r="K26" i="47"/>
  <c r="E26" i="47"/>
  <c r="O26" i="47"/>
  <c r="D26" i="47"/>
  <c r="M26" i="47"/>
  <c r="H26" i="47"/>
  <c r="L26" i="47"/>
  <c r="C79" i="47"/>
  <c r="F25" i="47"/>
  <c r="B25" i="47"/>
  <c r="I25" i="47"/>
  <c r="C25" i="47"/>
  <c r="G25" i="47"/>
  <c r="A25" i="47"/>
  <c r="C78" i="47" l="1"/>
  <c r="F24" i="47"/>
  <c r="B24" i="47"/>
  <c r="I24" i="47"/>
  <c r="C24" i="47"/>
  <c r="G24" i="47"/>
  <c r="A24" i="47"/>
  <c r="N25" i="47"/>
  <c r="J25" i="47"/>
  <c r="P25" i="47"/>
  <c r="K25" i="47"/>
  <c r="E25" i="47"/>
  <c r="O25" i="47"/>
  <c r="D25" i="47"/>
  <c r="M25" i="47"/>
  <c r="H25" i="47"/>
  <c r="L25" i="47"/>
  <c r="N24" i="47" l="1"/>
  <c r="J24" i="47"/>
  <c r="P24" i="47"/>
  <c r="K24" i="47"/>
  <c r="E24" i="47"/>
  <c r="O24" i="47"/>
  <c r="D24" i="47"/>
  <c r="M24" i="47"/>
  <c r="H24" i="47"/>
  <c r="L24" i="47"/>
  <c r="C77" i="47"/>
  <c r="F23" i="47"/>
  <c r="B23" i="47"/>
  <c r="I23" i="47"/>
  <c r="C23" i="47"/>
  <c r="G23" i="47"/>
  <c r="A23" i="47"/>
  <c r="C76" i="47" l="1"/>
  <c r="F22" i="47"/>
  <c r="B22" i="47"/>
  <c r="I22" i="47"/>
  <c r="C22" i="47"/>
  <c r="G22" i="47"/>
  <c r="A22" i="47"/>
  <c r="N23" i="47"/>
  <c r="J23" i="47"/>
  <c r="P23" i="47"/>
  <c r="K23" i="47"/>
  <c r="E23" i="47"/>
  <c r="O23" i="47"/>
  <c r="D23" i="47"/>
  <c r="M23" i="47"/>
  <c r="H23" i="47"/>
  <c r="L23" i="47"/>
  <c r="N22" i="47" l="1"/>
  <c r="J22" i="47"/>
  <c r="P22" i="47"/>
  <c r="K22" i="47"/>
  <c r="E22" i="47"/>
  <c r="O22" i="47"/>
  <c r="D22" i="47"/>
  <c r="M22" i="47"/>
  <c r="H22" i="47"/>
  <c r="L22" i="47"/>
  <c r="C75" i="47"/>
  <c r="F21" i="47"/>
  <c r="A21" i="47"/>
  <c r="I21" i="47"/>
  <c r="C21" i="47"/>
  <c r="G21" i="47"/>
  <c r="B21" i="47"/>
  <c r="C74" i="47" l="1"/>
  <c r="I20" i="47"/>
  <c r="A20" i="47"/>
  <c r="G20" i="47"/>
  <c r="C20" i="47"/>
  <c r="F20" i="47"/>
  <c r="B20" i="47"/>
  <c r="N21" i="47"/>
  <c r="J21" i="47"/>
  <c r="P21" i="47"/>
  <c r="K21" i="47"/>
  <c r="E21" i="47"/>
  <c r="O21" i="47"/>
  <c r="D21" i="47"/>
  <c r="M21" i="47"/>
  <c r="H21" i="47"/>
  <c r="L21" i="47"/>
  <c r="M20" i="47" l="1"/>
  <c r="E20" i="47"/>
  <c r="P20" i="47"/>
  <c r="L20" i="47"/>
  <c r="H20" i="47"/>
  <c r="D20" i="47"/>
  <c r="O20" i="47"/>
  <c r="K20" i="47"/>
  <c r="N20" i="47"/>
  <c r="J20" i="47"/>
  <c r="C73" i="47"/>
  <c r="I19" i="47"/>
  <c r="A19" i="47"/>
  <c r="G19" i="47"/>
  <c r="C19" i="47"/>
  <c r="F19" i="47"/>
  <c r="B19" i="47"/>
  <c r="C72" i="47" l="1"/>
  <c r="I18" i="47"/>
  <c r="A18" i="47"/>
  <c r="G18" i="47"/>
  <c r="C18" i="47"/>
  <c r="F18" i="47"/>
  <c r="B18" i="47"/>
  <c r="M19" i="47"/>
  <c r="E19" i="47"/>
  <c r="P19" i="47"/>
  <c r="L19" i="47"/>
  <c r="H19" i="47"/>
  <c r="D19" i="47"/>
  <c r="O19" i="47"/>
  <c r="K19" i="47"/>
  <c r="N19" i="47"/>
  <c r="J19" i="47"/>
  <c r="M18" i="47" l="1"/>
  <c r="E18" i="47"/>
  <c r="P18" i="47"/>
  <c r="L18" i="47"/>
  <c r="H18" i="47"/>
  <c r="D18" i="47"/>
  <c r="O18" i="47"/>
  <c r="K18" i="47"/>
  <c r="N18" i="47"/>
  <c r="J18" i="47"/>
  <c r="C71" i="47"/>
  <c r="I17" i="47"/>
  <c r="A17" i="47"/>
  <c r="G17" i="47"/>
  <c r="C17" i="47"/>
  <c r="F17" i="47"/>
  <c r="B17" i="47"/>
  <c r="C70" i="47" l="1"/>
  <c r="I16" i="47"/>
  <c r="A16" i="47"/>
  <c r="G16" i="47"/>
  <c r="C16" i="47"/>
  <c r="F16" i="47"/>
  <c r="B16" i="47"/>
  <c r="M17" i="47"/>
  <c r="E17" i="47"/>
  <c r="P17" i="47"/>
  <c r="L17" i="47"/>
  <c r="H17" i="47"/>
  <c r="D17" i="47"/>
  <c r="O17" i="47"/>
  <c r="K17" i="47"/>
  <c r="N17" i="47"/>
  <c r="J17" i="47"/>
  <c r="M16" i="47" l="1"/>
  <c r="E16" i="47"/>
  <c r="P16" i="47"/>
  <c r="L16" i="47"/>
  <c r="H16" i="47"/>
  <c r="D16" i="47"/>
  <c r="O16" i="47"/>
  <c r="K16" i="47"/>
  <c r="N16" i="47"/>
  <c r="J16" i="47"/>
  <c r="C69" i="47"/>
  <c r="I15" i="47"/>
  <c r="A15" i="47"/>
  <c r="G15" i="47"/>
  <c r="C15" i="47"/>
  <c r="F15" i="47"/>
  <c r="B15" i="47"/>
  <c r="C68" i="47" l="1"/>
  <c r="I14" i="47"/>
  <c r="A14" i="47"/>
  <c r="G14" i="47"/>
  <c r="C14" i="47"/>
  <c r="F14" i="47"/>
  <c r="B14" i="47"/>
  <c r="M15" i="47"/>
  <c r="E15" i="47"/>
  <c r="P15" i="47"/>
  <c r="L15" i="47"/>
  <c r="H15" i="47"/>
  <c r="D15" i="47"/>
  <c r="O15" i="47"/>
  <c r="K15" i="47"/>
  <c r="N15" i="47"/>
  <c r="J15" i="47"/>
  <c r="M14" i="47" l="1"/>
  <c r="E14" i="47"/>
  <c r="P14" i="47"/>
  <c r="L14" i="47"/>
  <c r="H14" i="47"/>
  <c r="D14" i="47"/>
  <c r="O14" i="47"/>
  <c r="K14" i="47"/>
  <c r="N14" i="47"/>
  <c r="J14" i="47"/>
  <c r="C67" i="47"/>
  <c r="I13" i="47"/>
  <c r="A13" i="47"/>
  <c r="G13" i="47"/>
  <c r="C13" i="47"/>
  <c r="F13" i="47"/>
  <c r="B13" i="47"/>
  <c r="C66" i="47" l="1"/>
  <c r="I12" i="47"/>
  <c r="A12" i="47"/>
  <c r="G12" i="47"/>
  <c r="C12" i="47"/>
  <c r="F12" i="47"/>
  <c r="B12" i="47"/>
  <c r="M13" i="47"/>
  <c r="E13" i="47"/>
  <c r="P13" i="47"/>
  <c r="L13" i="47"/>
  <c r="H13" i="47"/>
  <c r="D13" i="47"/>
  <c r="O13" i="47"/>
  <c r="K13" i="47"/>
  <c r="N13" i="47"/>
  <c r="J13" i="47"/>
  <c r="M12" i="47" l="1"/>
  <c r="E12" i="47"/>
  <c r="P12" i="47"/>
  <c r="L12" i="47"/>
  <c r="H12" i="47"/>
  <c r="D12" i="47"/>
  <c r="O12" i="47"/>
  <c r="K12" i="47"/>
  <c r="N12" i="47"/>
  <c r="J12" i="47"/>
  <c r="C65" i="47"/>
  <c r="I11" i="47"/>
  <c r="A11" i="47"/>
  <c r="G11" i="47"/>
  <c r="C11" i="47"/>
  <c r="F11" i="47"/>
  <c r="B11" i="47"/>
  <c r="C64" i="47" l="1"/>
  <c r="I10" i="47"/>
  <c r="A10" i="47"/>
  <c r="G10" i="47"/>
  <c r="C10" i="47"/>
  <c r="F10" i="47"/>
  <c r="B10" i="47"/>
  <c r="M11" i="47"/>
  <c r="E11" i="47"/>
  <c r="P11" i="47"/>
  <c r="L11" i="47"/>
  <c r="H11" i="47"/>
  <c r="D11" i="47"/>
  <c r="O11" i="47"/>
  <c r="K11" i="47"/>
  <c r="N11" i="47"/>
  <c r="J11" i="47"/>
  <c r="M10" i="47" l="1"/>
  <c r="E10" i="47"/>
  <c r="P10" i="47"/>
  <c r="L10" i="47"/>
  <c r="H10" i="47"/>
  <c r="D10" i="47"/>
  <c r="O10" i="47"/>
  <c r="K10" i="47"/>
  <c r="N10" i="47"/>
  <c r="J10" i="47"/>
  <c r="C63" i="47"/>
  <c r="I9" i="47"/>
  <c r="A9" i="47"/>
  <c r="G9" i="47"/>
  <c r="C9" i="47"/>
  <c r="F9" i="47"/>
  <c r="B9" i="47"/>
  <c r="C62" i="47" l="1"/>
  <c r="I8" i="47"/>
  <c r="A8" i="47"/>
  <c r="G8" i="47"/>
  <c r="C8" i="47"/>
  <c r="F8" i="47"/>
  <c r="B8" i="47"/>
  <c r="M9" i="47"/>
  <c r="E9" i="47"/>
  <c r="P9" i="47"/>
  <c r="L9" i="47"/>
  <c r="H9" i="47"/>
  <c r="D9" i="47"/>
  <c r="O9" i="47"/>
  <c r="K9" i="47"/>
  <c r="N9" i="47"/>
  <c r="J9" i="47"/>
  <c r="M8" i="47" l="1"/>
  <c r="E8" i="47"/>
  <c r="P8" i="47"/>
  <c r="L8" i="47"/>
  <c r="H8" i="47"/>
  <c r="D8" i="47"/>
  <c r="O8" i="47"/>
  <c r="K8" i="47"/>
  <c r="N8" i="47"/>
  <c r="J8" i="47"/>
  <c r="C61" i="47"/>
  <c r="I7" i="47"/>
  <c r="A7" i="47"/>
  <c r="G7" i="47"/>
  <c r="C7" i="47"/>
  <c r="F7" i="47"/>
  <c r="B7" i="47"/>
  <c r="C60" i="47" l="1"/>
  <c r="I6" i="47"/>
  <c r="A6" i="47"/>
  <c r="G6" i="47"/>
  <c r="C6" i="47"/>
  <c r="F6" i="47"/>
  <c r="B6" i="47"/>
  <c r="M7" i="47"/>
  <c r="E7" i="47"/>
  <c r="P7" i="47"/>
  <c r="L7" i="47"/>
  <c r="H7" i="47"/>
  <c r="D7" i="47"/>
  <c r="O7" i="47"/>
  <c r="K7" i="47"/>
  <c r="J7" i="47"/>
  <c r="N7" i="47"/>
  <c r="M6" i="47" l="1"/>
  <c r="E6" i="47"/>
  <c r="P6" i="47"/>
  <c r="L6" i="47"/>
  <c r="H6" i="47"/>
  <c r="D6" i="47"/>
  <c r="O6" i="47"/>
  <c r="K6" i="47"/>
  <c r="J6" i="47"/>
  <c r="N6" i="47"/>
  <c r="C59" i="47"/>
  <c r="I5" i="47"/>
  <c r="A5" i="47"/>
  <c r="F5" i="47"/>
  <c r="C5" i="47"/>
  <c r="G5" i="47"/>
  <c r="B5" i="47"/>
  <c r="C58" i="47" l="1"/>
  <c r="I4" i="47"/>
  <c r="A4" i="47"/>
  <c r="F4" i="47"/>
  <c r="C4" i="47"/>
  <c r="G4" i="47"/>
  <c r="B4" i="47"/>
  <c r="M5" i="47"/>
  <c r="E5" i="47"/>
  <c r="P5" i="47"/>
  <c r="L5" i="47"/>
  <c r="H5" i="47"/>
  <c r="N5" i="47"/>
  <c r="K5" i="47"/>
  <c r="D5" i="47"/>
  <c r="J5" i="47"/>
  <c r="O5" i="47"/>
  <c r="M4" i="47" l="1"/>
  <c r="E4" i="47"/>
  <c r="P4" i="47"/>
  <c r="K4" i="47"/>
  <c r="O4" i="47"/>
  <c r="J4" i="47"/>
  <c r="D4" i="47"/>
  <c r="N4" i="47"/>
  <c r="H4" i="47"/>
  <c r="L4" i="47"/>
  <c r="C57" i="47"/>
  <c r="G3" i="47"/>
  <c r="C3" i="47"/>
  <c r="F3" i="47"/>
  <c r="B3" i="47"/>
  <c r="I3" i="47"/>
  <c r="A3" i="47"/>
  <c r="M3" i="47" l="1"/>
  <c r="P3" i="47"/>
  <c r="K3" i="47"/>
  <c r="O3" i="47"/>
  <c r="J3" i="47"/>
  <c r="N3" i="47"/>
  <c r="E3" i="47"/>
  <c r="L3" i="47"/>
  <c r="H3" i="47"/>
  <c r="D3" i="47"/>
  <c r="G2" i="47"/>
  <c r="C2" i="47"/>
  <c r="F2" i="47"/>
  <c r="B2" i="47"/>
  <c r="I2" i="47"/>
  <c r="A2" i="47"/>
  <c r="C28" i="47" l="1"/>
  <c r="G28" i="47"/>
  <c r="G29" i="47" s="1"/>
  <c r="B28" i="47"/>
  <c r="F28" i="47"/>
  <c r="F29" i="47" s="1"/>
  <c r="I37" i="47"/>
  <c r="O2" i="47"/>
  <c r="P2" i="47" s="1"/>
  <c r="K2" i="47"/>
  <c r="J2" i="47"/>
  <c r="M2" i="47"/>
  <c r="N2" i="47" s="1"/>
  <c r="L2" i="47"/>
  <c r="H2" i="47"/>
  <c r="D2" i="47"/>
  <c r="E2" i="47" s="1"/>
  <c r="G30" i="47" l="1"/>
  <c r="G31" i="47" s="1"/>
  <c r="G32" i="47" s="1"/>
  <c r="C29" i="47"/>
  <c r="C30" i="47" s="1"/>
  <c r="C31" i="47" s="1"/>
  <c r="E28" i="47"/>
  <c r="D28" i="47"/>
  <c r="H28" i="47"/>
  <c r="M28" i="47"/>
  <c r="N28" i="47"/>
  <c r="J28" i="47"/>
  <c r="L28" i="47"/>
  <c r="F30" i="47"/>
  <c r="F31" i="47" s="1"/>
  <c r="B29" i="47"/>
  <c r="B30" i="47" s="1"/>
  <c r="I38" i="47"/>
  <c r="I39" i="47" s="1"/>
  <c r="P28" i="47" l="1"/>
  <c r="K28" i="47"/>
  <c r="O28" i="47" s="1"/>
  <c r="B31" i="47"/>
  <c r="E31" i="47" s="1"/>
  <c r="G33" i="47"/>
  <c r="G34" i="47" s="1"/>
  <c r="C32" i="47"/>
  <c r="C33" i="47" s="1"/>
  <c r="M29" i="47"/>
  <c r="N29" i="47"/>
  <c r="L29" i="47"/>
  <c r="H29" i="47"/>
  <c r="J29" i="47"/>
  <c r="E29" i="47"/>
  <c r="D29" i="47"/>
  <c r="E30" i="47"/>
  <c r="H30" i="47"/>
  <c r="N30" i="47"/>
  <c r="L30" i="47"/>
  <c r="J30" i="47"/>
  <c r="M30" i="47"/>
  <c r="D30" i="47"/>
  <c r="F32" i="47"/>
  <c r="F33" i="47" s="1"/>
  <c r="I40" i="47"/>
  <c r="P31" i="47" l="1"/>
  <c r="N31" i="47"/>
  <c r="K31" i="47"/>
  <c r="M31" i="47"/>
  <c r="H31" i="47"/>
  <c r="K30" i="47"/>
  <c r="O30" i="47" s="1"/>
  <c r="J31" i="47"/>
  <c r="O31" i="47"/>
  <c r="P29" i="47"/>
  <c r="P30" i="47"/>
  <c r="K29" i="47"/>
  <c r="O29" i="47" s="1"/>
  <c r="B32" i="47"/>
  <c r="E32" i="47" s="1"/>
  <c r="D31" i="47"/>
  <c r="L31" i="47"/>
  <c r="F34" i="47"/>
  <c r="F35" i="47" s="1"/>
  <c r="G35" i="47"/>
  <c r="C34" i="47"/>
  <c r="I41" i="47"/>
  <c r="I42" i="47" s="1"/>
  <c r="L32" i="47" l="1"/>
  <c r="B33" i="47"/>
  <c r="D32" i="47"/>
  <c r="N32" i="47"/>
  <c r="F36" i="47"/>
  <c r="M32" i="47"/>
  <c r="J32" i="47"/>
  <c r="H32" i="47"/>
  <c r="K32" i="47" s="1"/>
  <c r="F37" i="47"/>
  <c r="F38" i="47" s="1"/>
  <c r="G36" i="47"/>
  <c r="C35" i="47"/>
  <c r="I43" i="47"/>
  <c r="P32" i="47" l="1"/>
  <c r="O32" i="47"/>
  <c r="E33" i="47"/>
  <c r="D33" i="47"/>
  <c r="H33" i="47"/>
  <c r="J33" i="47"/>
  <c r="N33" i="47"/>
  <c r="M33" i="47"/>
  <c r="L33" i="47"/>
  <c r="B34" i="47"/>
  <c r="F39" i="47"/>
  <c r="C36" i="47"/>
  <c r="G37" i="47"/>
  <c r="I44" i="47"/>
  <c r="K33" i="47" l="1"/>
  <c r="O33" i="47" s="1"/>
  <c r="P33" i="47"/>
  <c r="E34" i="47"/>
  <c r="L34" i="47"/>
  <c r="M34" i="47"/>
  <c r="K34" i="47"/>
  <c r="D34" i="47"/>
  <c r="O34" i="47"/>
  <c r="N34" i="47"/>
  <c r="J34" i="47"/>
  <c r="H34" i="47"/>
  <c r="P34" i="47"/>
  <c r="B35" i="47"/>
  <c r="C37" i="47"/>
  <c r="F40" i="47"/>
  <c r="F41" i="47" s="1"/>
  <c r="G38" i="47"/>
  <c r="I45" i="47"/>
  <c r="I46" i="47" s="1"/>
  <c r="I47" i="47" s="1"/>
  <c r="I48" i="47" s="1"/>
  <c r="I49" i="47" s="1"/>
  <c r="I50" i="47" s="1"/>
  <c r="I51" i="47" s="1"/>
  <c r="I52" i="47" s="1"/>
  <c r="N35" i="47" l="1"/>
  <c r="M35" i="47"/>
  <c r="H35" i="47"/>
  <c r="D35" i="47"/>
  <c r="L35" i="47"/>
  <c r="E35" i="47"/>
  <c r="J35" i="47"/>
  <c r="B36" i="47"/>
  <c r="B37" i="47" s="1"/>
  <c r="D37" i="47" s="1"/>
  <c r="C38" i="47"/>
  <c r="C39" i="47" s="1"/>
  <c r="F42" i="47"/>
  <c r="F43" i="47" s="1"/>
  <c r="G39" i="47"/>
  <c r="I53" i="47"/>
  <c r="I54" i="47" s="1"/>
  <c r="K35" i="47" l="1"/>
  <c r="O35" i="47" s="1"/>
  <c r="P35" i="47"/>
  <c r="H37" i="47"/>
  <c r="H36" i="47"/>
  <c r="D36" i="47"/>
  <c r="N36" i="47"/>
  <c r="J36" i="47"/>
  <c r="O36" i="47"/>
  <c r="L36" i="47"/>
  <c r="M36" i="47"/>
  <c r="E36" i="47"/>
  <c r="P36" i="47"/>
  <c r="K36" i="47"/>
  <c r="B38" i="47"/>
  <c r="B39" i="47" s="1"/>
  <c r="J37" i="47"/>
  <c r="K37" i="47" s="1"/>
  <c r="L37" i="47"/>
  <c r="N37" i="47"/>
  <c r="M37" i="47"/>
  <c r="E37" i="47"/>
  <c r="G40" i="47"/>
  <c r="C40" i="47"/>
  <c r="C41" i="47" s="1"/>
  <c r="F44" i="47"/>
  <c r="P37" i="47" l="1"/>
  <c r="O37" i="47"/>
  <c r="D39" i="47"/>
  <c r="E39" i="47"/>
  <c r="B40" i="47"/>
  <c r="B41" i="47" s="1"/>
  <c r="J39" i="47"/>
  <c r="L39" i="47"/>
  <c r="M39" i="47"/>
  <c r="N39" i="47"/>
  <c r="H39" i="47"/>
  <c r="O38" i="47"/>
  <c r="K38" i="47"/>
  <c r="J38" i="47"/>
  <c r="M38" i="47"/>
  <c r="D38" i="47"/>
  <c r="L38" i="47"/>
  <c r="P38" i="47"/>
  <c r="H38" i="47"/>
  <c r="E38" i="47"/>
  <c r="N38" i="47"/>
  <c r="F45" i="47"/>
  <c r="F46" i="47" s="1"/>
  <c r="C42" i="47"/>
  <c r="C43" i="47" s="1"/>
  <c r="C44" i="47" s="1"/>
  <c r="G41" i="47"/>
  <c r="P39" i="47" l="1"/>
  <c r="K39" i="47"/>
  <c r="O39" i="47" s="1"/>
  <c r="K41" i="47"/>
  <c r="E41" i="47"/>
  <c r="H41" i="47"/>
  <c r="N41" i="47"/>
  <c r="J41" i="47"/>
  <c r="L41" i="47"/>
  <c r="D41" i="47"/>
  <c r="O41" i="47"/>
  <c r="P41" i="47"/>
  <c r="M41" i="47"/>
  <c r="O40" i="47"/>
  <c r="P40" i="47"/>
  <c r="D40" i="47"/>
  <c r="H40" i="47"/>
  <c r="N40" i="47"/>
  <c r="J40" i="47"/>
  <c r="L40" i="47"/>
  <c r="E40" i="47"/>
  <c r="M40" i="47"/>
  <c r="K40" i="47"/>
  <c r="B42" i="47"/>
  <c r="B43" i="47" s="1"/>
  <c r="F47" i="47"/>
  <c r="F48" i="47" s="1"/>
  <c r="F49" i="47" s="1"/>
  <c r="F50" i="47" s="1"/>
  <c r="F51" i="47" s="1"/>
  <c r="F52" i="47" s="1"/>
  <c r="F53" i="47" s="1"/>
  <c r="G42" i="47"/>
  <c r="C45" i="47"/>
  <c r="C46" i="47" s="1"/>
  <c r="C47" i="47" s="1"/>
  <c r="C48" i="47" s="1"/>
  <c r="C49" i="47" s="1"/>
  <c r="C50" i="47" s="1"/>
  <c r="C51" i="47" s="1"/>
  <c r="C52" i="47" s="1"/>
  <c r="C53" i="47" s="1"/>
  <c r="C54" i="47" s="1"/>
  <c r="N42" i="47" l="1"/>
  <c r="H42" i="47"/>
  <c r="J42" i="47"/>
  <c r="M42" i="47"/>
  <c r="E42" i="47"/>
  <c r="L42" i="47"/>
  <c r="D42" i="47"/>
  <c r="P42" i="47"/>
  <c r="K42" i="47"/>
  <c r="O42" i="47" s="1"/>
  <c r="B44" i="47"/>
  <c r="H43" i="47"/>
  <c r="D43" i="47"/>
  <c r="N43" i="47"/>
  <c r="J43" i="47"/>
  <c r="L43" i="47"/>
  <c r="M43" i="47"/>
  <c r="E43" i="47"/>
  <c r="P43" i="47"/>
  <c r="K43" i="47"/>
  <c r="O43" i="47" s="1"/>
  <c r="G43" i="47"/>
  <c r="G44" i="47" s="1"/>
  <c r="G45" i="47" s="1"/>
  <c r="G46" i="47" s="1"/>
  <c r="F54" i="47"/>
  <c r="D44" i="47" l="1"/>
  <c r="N44" i="47"/>
  <c r="L44" i="47"/>
  <c r="M44" i="47"/>
  <c r="E44" i="47"/>
  <c r="H44" i="47"/>
  <c r="J44" i="47"/>
  <c r="P44" i="47"/>
  <c r="K44" i="47"/>
  <c r="O44" i="47" s="1"/>
  <c r="B45" i="47"/>
  <c r="G47" i="47"/>
  <c r="G48" i="47" s="1"/>
  <c r="G49" i="47" s="1"/>
  <c r="G50" i="47" s="1"/>
  <c r="G51" i="47" s="1"/>
  <c r="G52" i="47" s="1"/>
  <c r="G53" i="47" s="1"/>
  <c r="G54" i="47" s="1"/>
  <c r="H45" i="47" l="1"/>
  <c r="E45" i="47"/>
  <c r="D45" i="47"/>
  <c r="L45" i="47"/>
  <c r="N45" i="47"/>
  <c r="J45" i="47"/>
  <c r="M45" i="47"/>
  <c r="P45" i="47"/>
  <c r="K45" i="47"/>
  <c r="O45" i="47" s="1"/>
  <c r="B46" i="47"/>
  <c r="B47" i="47" s="1"/>
  <c r="B48" i="47" l="1"/>
  <c r="B49" i="47" s="1"/>
  <c r="L47" i="47"/>
  <c r="D47" i="47"/>
  <c r="J47" i="47"/>
  <c r="E47" i="47"/>
  <c r="H47" i="47"/>
  <c r="N47" i="47"/>
  <c r="M47" i="47"/>
  <c r="K47" i="47"/>
  <c r="O47" i="47" s="1"/>
  <c r="P47" i="47"/>
  <c r="N46" i="47"/>
  <c r="M46" i="47"/>
  <c r="L46" i="47"/>
  <c r="D46" i="47"/>
  <c r="J46" i="47"/>
  <c r="E46" i="47"/>
  <c r="H46" i="47"/>
  <c r="K46" i="47"/>
  <c r="O46" i="47" s="1"/>
  <c r="P46" i="47"/>
  <c r="B50" i="47" l="1"/>
  <c r="E49" i="47"/>
  <c r="H49" i="47"/>
  <c r="N49" i="47"/>
  <c r="M49" i="47"/>
  <c r="L49" i="47"/>
  <c r="D49" i="47"/>
  <c r="J49" i="47"/>
  <c r="P49" i="47"/>
  <c r="K49" i="47"/>
  <c r="O49" i="47" s="1"/>
  <c r="L48" i="47"/>
  <c r="D48" i="47"/>
  <c r="J48" i="47"/>
  <c r="E48" i="47"/>
  <c r="H48" i="47"/>
  <c r="N48" i="47"/>
  <c r="M48" i="47"/>
  <c r="P48" i="47"/>
  <c r="K48" i="47"/>
  <c r="O48" i="47" s="1"/>
  <c r="H50" i="47" l="1"/>
  <c r="N50" i="47"/>
  <c r="M50" i="47"/>
  <c r="L50" i="47"/>
  <c r="D50" i="47"/>
  <c r="J50" i="47"/>
  <c r="E50" i="47"/>
  <c r="K50" i="47"/>
  <c r="O50" i="47" s="1"/>
  <c r="P50" i="47"/>
  <c r="B51" i="47"/>
  <c r="B52" i="47" l="1"/>
  <c r="B53" i="47" s="1"/>
  <c r="E51" i="47"/>
  <c r="N51" i="47"/>
  <c r="J51" i="47"/>
  <c r="L51" i="47"/>
  <c r="H51" i="47"/>
  <c r="D51" i="47"/>
  <c r="M51" i="47"/>
  <c r="P51" i="47"/>
  <c r="K51" i="47"/>
  <c r="O51" i="47" s="1"/>
  <c r="B54" i="47" l="1"/>
  <c r="E53" i="47"/>
  <c r="H53" i="47"/>
  <c r="N53" i="47"/>
  <c r="M53" i="47"/>
  <c r="L53" i="47"/>
  <c r="D53" i="47"/>
  <c r="J53" i="47"/>
  <c r="P53" i="47"/>
  <c r="K53" i="47"/>
  <c r="O53" i="47" s="1"/>
  <c r="L52" i="47"/>
  <c r="M52" i="47"/>
  <c r="N52" i="47"/>
  <c r="E52" i="47"/>
  <c r="H52" i="47"/>
  <c r="J52" i="47"/>
  <c r="D52" i="47"/>
  <c r="P52" i="47"/>
  <c r="K52" i="47"/>
  <c r="O52" i="47" s="1"/>
  <c r="N54" i="47" l="1"/>
  <c r="E54" i="47"/>
  <c r="H54" i="47"/>
  <c r="J54" i="47"/>
  <c r="M54" i="47"/>
  <c r="L54" i="47"/>
  <c r="D54" i="47"/>
  <c r="K54" i="47"/>
  <c r="O54" i="47" s="1"/>
  <c r="P54" i="47"/>
</calcChain>
</file>

<file path=xl/sharedStrings.xml><?xml version="1.0" encoding="utf-8"?>
<sst xmlns="http://schemas.openxmlformats.org/spreadsheetml/2006/main" count="2118" uniqueCount="496">
  <si>
    <t>Availability</t>
  </si>
  <si>
    <t>Performance</t>
  </si>
  <si>
    <t>Quality</t>
  </si>
  <si>
    <t>Causes of Unplanned Downtime</t>
  </si>
  <si>
    <t>Date</t>
  </si>
  <si>
    <t>Size</t>
  </si>
  <si>
    <t>Shift</t>
  </si>
  <si>
    <t>Total Unplanned Downtime</t>
  </si>
  <si>
    <t>OEE (Actual) (Target = 70%+)</t>
  </si>
  <si>
    <t>YTD Running Average</t>
  </si>
  <si>
    <t>Avail YTD Running Average</t>
  </si>
  <si>
    <t>Perf YTD Running Average</t>
  </si>
  <si>
    <t>OEE</t>
  </si>
  <si>
    <t>Quality YTD Running Average</t>
  </si>
  <si>
    <t>bottles / case</t>
  </si>
  <si>
    <t>Ideal Rate (bpm)</t>
  </si>
  <si>
    <t>Total Planned Production Time</t>
  </si>
  <si>
    <t>Prod Start Time</t>
  </si>
  <si>
    <t>Prod End Time</t>
  </si>
  <si>
    <t>Crew Leader</t>
  </si>
  <si>
    <t>Total Shift Time</t>
  </si>
  <si>
    <t>Planned Downtime 1</t>
  </si>
  <si>
    <t>Planned Downtime Reason 1</t>
  </si>
  <si>
    <t>Actual Downtime 1</t>
  </si>
  <si>
    <t>Planned Downtime Reason 2</t>
  </si>
  <si>
    <t>Planned Downtime 2</t>
  </si>
  <si>
    <t>Actual Downtime 2</t>
  </si>
  <si>
    <t>Planned Downtime Reason 3</t>
  </si>
  <si>
    <t>Planned Downtime 3</t>
  </si>
  <si>
    <t>Actual Downtime 3</t>
  </si>
  <si>
    <t>Planned Downtime Reason 4</t>
  </si>
  <si>
    <t>Planned Downtime 4</t>
  </si>
  <si>
    <t>Actual Downtime 4</t>
  </si>
  <si>
    <t>Planned Downtime Reason 5</t>
  </si>
  <si>
    <t>Planned Downtime 5</t>
  </si>
  <si>
    <t>Actual Downtime 5</t>
  </si>
  <si>
    <t>Planned Downtime Reason 6</t>
  </si>
  <si>
    <t>Planned Downtime 6</t>
  </si>
  <si>
    <t>Actual Downtime 6</t>
  </si>
  <si>
    <t>Product 1 Changeover Time</t>
  </si>
  <si>
    <t>Product 1 Size</t>
  </si>
  <si>
    <t>Product 1</t>
  </si>
  <si>
    <t>Product 2</t>
  </si>
  <si>
    <t>Product 2 Size</t>
  </si>
  <si>
    <t>Product 2 Changeover Time</t>
  </si>
  <si>
    <t>Product 3</t>
  </si>
  <si>
    <t>Product 3 Size</t>
  </si>
  <si>
    <t>Product 3 Changeover Time</t>
  </si>
  <si>
    <t>Product 4</t>
  </si>
  <si>
    <t>Product 4 Size</t>
  </si>
  <si>
    <t>Product 4 Changeover Time</t>
  </si>
  <si>
    <t>Planned Downtime Over-run 1</t>
  </si>
  <si>
    <t>Planned Downtime Comment 1</t>
  </si>
  <si>
    <t>Planned Downtime Over-run 2</t>
  </si>
  <si>
    <t>Planned Downtime Comment 2</t>
  </si>
  <si>
    <t>Planned Downtime Over-run 3</t>
  </si>
  <si>
    <t>Planned Downtime Comment 3</t>
  </si>
  <si>
    <t>Planned Downtime Over-run 4</t>
  </si>
  <si>
    <t>Planned Downtime Comment 4</t>
  </si>
  <si>
    <t>Planned Downtime Over-run 5</t>
  </si>
  <si>
    <t>Planned Downtime Comment 5</t>
  </si>
  <si>
    <t>Planned Downtime Over-run 6</t>
  </si>
  <si>
    <t>Planned Downtime Comment 6</t>
  </si>
  <si>
    <t>Product 1 Changeover Comment</t>
  </si>
  <si>
    <t>Product 2 Changeover Comment</t>
  </si>
  <si>
    <t>Reason for Unplanned Downtime 1</t>
  </si>
  <si>
    <t>Duration of Unplanned Downtime 1</t>
  </si>
  <si>
    <t>Unplanned Downtime 1 Comment</t>
  </si>
  <si>
    <t>Detailed Desc. Of Unplanned Downtime 1</t>
  </si>
  <si>
    <t>Reason for Unplanned Downtime 2</t>
  </si>
  <si>
    <t>Duration of Unplanned Downtime 2</t>
  </si>
  <si>
    <t>Detailed Desc. Of Unplanned Downtime 2</t>
  </si>
  <si>
    <t>Unplanned Downtime 2 Comment</t>
  </si>
  <si>
    <t>Reason for Unplanned Downtime 3</t>
  </si>
  <si>
    <t>Duration of Unplanned Downtime 3</t>
  </si>
  <si>
    <t>Detailed Desc. Of Unplanned Downtime 3</t>
  </si>
  <si>
    <t>Unplanned Downtime 3 Comment</t>
  </si>
  <si>
    <t>Reason for Unplanned Downtime 4</t>
  </si>
  <si>
    <t>Duration of Unplanned Downtime 4</t>
  </si>
  <si>
    <t>Detailed Desc. Of Unplanned Downtime 4</t>
  </si>
  <si>
    <t>Unplanned Downtime 4 Comment</t>
  </si>
  <si>
    <t>Reason for Unplanned Downtime 5</t>
  </si>
  <si>
    <t>Duration of Unplanned Downtime 5</t>
  </si>
  <si>
    <t>Detailed Desc. Of Unplanned Downtime 5</t>
  </si>
  <si>
    <t>Unplanned Downtime 5 Comment</t>
  </si>
  <si>
    <t>Reason for Unplanned Downtime 6</t>
  </si>
  <si>
    <t>Duration of Unplanned Downtime 6</t>
  </si>
  <si>
    <t>Detailed Desc. Of Unplanned Downtime 6</t>
  </si>
  <si>
    <t>Unplanned Downtime 6 Comment</t>
  </si>
  <si>
    <t>Reason for Unplanned Downtime 7</t>
  </si>
  <si>
    <t>Duration of Unplanned Downtime 7</t>
  </si>
  <si>
    <t>Detailed Desc. Of Unplanned Downtime 7</t>
  </si>
  <si>
    <t>Unplanned Downtime 7 Comment</t>
  </si>
  <si>
    <t>Reason for Unplanned Downtime 9</t>
  </si>
  <si>
    <t>Duration of Unplanned Downtime 9</t>
  </si>
  <si>
    <t>Detailed Desc. Of Unplanned Downtime 9</t>
  </si>
  <si>
    <t>Unplanned Downtime 9 Comment</t>
  </si>
  <si>
    <t>Reason for Unplanned Downtime 10</t>
  </si>
  <si>
    <t>Duration of Unplanned Downtime 10</t>
  </si>
  <si>
    <t>Detailed Desc. Of Unplanned Downtime 10</t>
  </si>
  <si>
    <t>Unplanned Downtime 10 Comment</t>
  </si>
  <si>
    <t>Reason for Unplanned Downtime 11</t>
  </si>
  <si>
    <t>Duration of Unplanned Downtime 11</t>
  </si>
  <si>
    <t>Detailed Desc. Of Unplanned Downtime 11</t>
  </si>
  <si>
    <t>Unplanned Downtime 11 Comment</t>
  </si>
  <si>
    <t>Reason for Unplanned Downtime 12</t>
  </si>
  <si>
    <t>Duration of Unplanned Downtime 12</t>
  </si>
  <si>
    <t>Detailed Desc. Of Unplanned Downtime 12</t>
  </si>
  <si>
    <t>Unplanned Downtime 12 Comment</t>
  </si>
  <si>
    <t>Total Operating Time</t>
  </si>
  <si>
    <t>Total Pieces</t>
  </si>
  <si>
    <t>Product 1 Cases Run</t>
  </si>
  <si>
    <t>Product 2 Cases Run</t>
  </si>
  <si>
    <t>Product 3 Cases Run</t>
  </si>
  <si>
    <t>Product 4 Cases Run</t>
  </si>
  <si>
    <t>Product 1 Rate Comment</t>
  </si>
  <si>
    <t>Product 2 Rate Comment</t>
  </si>
  <si>
    <t>Product 3 Rate Comment</t>
  </si>
  <si>
    <t>Product 4 Rate Comment</t>
  </si>
  <si>
    <t>Product 3 Changeover Comment</t>
  </si>
  <si>
    <t>Product 4 Changeover Comment</t>
  </si>
  <si>
    <t>Product 1 Availability Losses</t>
  </si>
  <si>
    <t>Product 2 Availability Losses</t>
  </si>
  <si>
    <t>Product 3 Availability Losses</t>
  </si>
  <si>
    <t>Product 4 Availability Losses</t>
  </si>
  <si>
    <t>Monthly Performance</t>
  </si>
  <si>
    <t>Monthly Availability</t>
  </si>
  <si>
    <t>Week</t>
  </si>
  <si>
    <t>Weekly Serial #'s</t>
  </si>
  <si>
    <t>Week Ending</t>
  </si>
  <si>
    <t>Weekly
Total Good Packages</t>
  </si>
  <si>
    <t>Weekly
Total Packages</t>
  </si>
  <si>
    <t>Weekly Actual Rate</t>
  </si>
  <si>
    <t>Weekly Ideal Packages</t>
  </si>
  <si>
    <t>Weekly Ideal Rate</t>
  </si>
  <si>
    <t>Weekly Performance</t>
  </si>
  <si>
    <t>Weekly Availability</t>
  </si>
  <si>
    <t>Planned Downtime Reason 7</t>
  </si>
  <si>
    <t>Planned Downtime 7</t>
  </si>
  <si>
    <t>Actual Downtime 7</t>
  </si>
  <si>
    <t>Planned Downtime Over-run 7</t>
  </si>
  <si>
    <t>Planned Downtime Comment 7</t>
  </si>
  <si>
    <t>Planned Downtime Reason 8</t>
  </si>
  <si>
    <t>Planned Downtime 8</t>
  </si>
  <si>
    <t>Actual Downtime 8</t>
  </si>
  <si>
    <t>Planned Downtime Over-run 8</t>
  </si>
  <si>
    <t>Planned Downtime Comment 8</t>
  </si>
  <si>
    <t>Planned Downtime 9</t>
  </si>
  <si>
    <t>Planned Downtime Reason 9</t>
  </si>
  <si>
    <t>Actual Downtime 9</t>
  </si>
  <si>
    <t>Planned Downtime Over-run 9</t>
  </si>
  <si>
    <t>Planned Downtime Comment 9</t>
  </si>
  <si>
    <t>Product 1 Start Time</t>
  </si>
  <si>
    <t>Product 1 Stop Time</t>
  </si>
  <si>
    <t>Product 2 Start Time</t>
  </si>
  <si>
    <t>Product 2 Stop Time</t>
  </si>
  <si>
    <t>Product 3 Start Time</t>
  </si>
  <si>
    <t>Product 3 Stop Time</t>
  </si>
  <si>
    <t>Product 4 Start Time</t>
  </si>
  <si>
    <t>Product 4 Stop Time</t>
  </si>
  <si>
    <t>Product 1 Planned Downtime</t>
  </si>
  <si>
    <t>Product 2 Planned Downtime</t>
  </si>
  <si>
    <t>Product 3 Planned Downtime</t>
  </si>
  <si>
    <t>Product 4 Planned Downtime</t>
  </si>
  <si>
    <t>Reason for Unplanned Downtime 8</t>
  </si>
  <si>
    <t>Duration of Unplanned Downtime 8</t>
  </si>
  <si>
    <t>Detailed Desc. Of Unplanned Downtime 8</t>
  </si>
  <si>
    <t>Unplanned Downtime 8 Comment</t>
  </si>
  <si>
    <t>Start Date</t>
  </si>
  <si>
    <t>End Date</t>
  </si>
  <si>
    <t>Changeover</t>
  </si>
  <si>
    <t>Language:</t>
  </si>
  <si>
    <t>English</t>
  </si>
  <si>
    <t>Frequency</t>
  </si>
  <si>
    <t>Average Duration</t>
  </si>
  <si>
    <t>Monthly Quality</t>
  </si>
  <si>
    <t/>
  </si>
  <si>
    <t>Month</t>
  </si>
  <si>
    <t>20L</t>
  </si>
  <si>
    <t>Product</t>
    <phoneticPr fontId="26" type="noConversion"/>
  </si>
  <si>
    <t>2nd</t>
  </si>
  <si>
    <t>Product 5</t>
  </si>
  <si>
    <t>Product 5 Size</t>
  </si>
  <si>
    <t>Product 5 Changeover Time</t>
  </si>
  <si>
    <t>Product 5 Changeover Comment</t>
  </si>
  <si>
    <t>Product 6</t>
  </si>
  <si>
    <t>Product 6 Size</t>
  </si>
  <si>
    <t>Product 6 Changeover Time</t>
  </si>
  <si>
    <t>Product 6 Changeover Comment</t>
  </si>
  <si>
    <t>Product 5 Availability Losses</t>
  </si>
  <si>
    <t>Product 5 Cases Run</t>
  </si>
  <si>
    <t>Product 5 Rate Comment</t>
  </si>
  <si>
    <t>Product 6 Availability Losses</t>
  </si>
  <si>
    <t>Product 6 Cases Run</t>
  </si>
  <si>
    <t>Product 6 Rate Comment</t>
  </si>
  <si>
    <t>Product 5 Start Time</t>
  </si>
  <si>
    <t>Product 5 Stop Time</t>
  </si>
  <si>
    <t>Product 5 Planned Downtime</t>
  </si>
  <si>
    <t>Product 6 Start Time</t>
  </si>
  <si>
    <t>Product 6 Stop Time</t>
  </si>
  <si>
    <t>Product 6 Planned Downtime</t>
  </si>
  <si>
    <t>Total Changeover Time</t>
  </si>
  <si>
    <t>Monthly Availability (Planned Changeovers)</t>
  </si>
  <si>
    <t>Monthly OEE (Planned Changeovers)</t>
  </si>
  <si>
    <t>Changeovers = Unplanned Downtime</t>
  </si>
  <si>
    <t>Changeovers = Planned Downtime</t>
  </si>
  <si>
    <t>Spanish</t>
  </si>
  <si>
    <t>Portugese</t>
  </si>
  <si>
    <t>GMID/D Code</t>
  </si>
  <si>
    <t>1L</t>
  </si>
  <si>
    <t>1st</t>
  </si>
  <si>
    <t>3rd</t>
  </si>
  <si>
    <t>Breaks</t>
  </si>
  <si>
    <t>Lunch</t>
  </si>
  <si>
    <t>Meeting</t>
  </si>
  <si>
    <t>Cap infeed belt broke</t>
  </si>
  <si>
    <t>Bottle_Labeler_(Equipment)</t>
  </si>
  <si>
    <t>Bottle_Labeler_(Operating_Discipline)</t>
  </si>
  <si>
    <t>Bottle_Labeler_(Other)</t>
  </si>
  <si>
    <t>Bottle_Printer_(Equipment)</t>
  </si>
  <si>
    <t>Bottle_Printer_(Operating_Discipline)</t>
  </si>
  <si>
    <t>Bottle_Printer_(Other)</t>
  </si>
  <si>
    <t>Box_Printer_(Equipment)</t>
  </si>
  <si>
    <t>Box_Printer_(Operating Discipline)</t>
  </si>
  <si>
    <t>Box_Printer_(Other)</t>
  </si>
  <si>
    <t>Case_Checkweigher_(Equipment)</t>
  </si>
  <si>
    <t>Case_Checkweigher_(Operating_Discipline)</t>
  </si>
  <si>
    <t>Case_Checkweigher_(Other)</t>
  </si>
  <si>
    <t>Case_Erector_(Equipment)</t>
  </si>
  <si>
    <t>Case_Erector_(Operating_Discipline)</t>
  </si>
  <si>
    <t>Case_Erector_(Other)</t>
  </si>
  <si>
    <t>Case_Sealer_(Equipment)</t>
  </si>
  <si>
    <t>Case_Sealer_(Operating_Discipline)</t>
  </si>
  <si>
    <t>Case_Sealer_(Other)</t>
  </si>
  <si>
    <t>Conveyor_(Equipment)</t>
  </si>
  <si>
    <t>Conveyor_(Operating_Discipline)</t>
  </si>
  <si>
    <t>Conveyor_(Other)</t>
  </si>
  <si>
    <t>Filler/Capper_(Equipment)</t>
  </si>
  <si>
    <t>Filler/Capper_(Operating_Discipline)</t>
  </si>
  <si>
    <t>Filler/Capper_(Other)</t>
  </si>
  <si>
    <t>Infeed_Table_(Equipment)</t>
  </si>
  <si>
    <t>Infeed_Table_(Operating_Discipline)</t>
  </si>
  <si>
    <t>Infeed_Table_(Other)</t>
  </si>
  <si>
    <t>Other_(Equpment)</t>
  </si>
  <si>
    <t>Other_(Operating_Discipline)</t>
  </si>
  <si>
    <t>Lift_Assist_(Equipment)</t>
  </si>
  <si>
    <t>Lift_Assist_(Operating_Discipline)</t>
  </si>
  <si>
    <t>Lift_Assist_(Other)</t>
  </si>
  <si>
    <t>Stretchwrapper_(Equipment)</t>
  </si>
  <si>
    <t>Stretchwrapper_(Operating_Discipline)</t>
  </si>
  <si>
    <t>Stretchwrapper_(Other)</t>
  </si>
  <si>
    <t>Waiting_For_Packaging_Raw_Materials</t>
  </si>
  <si>
    <t>Waiting_For_Product</t>
  </si>
  <si>
    <t>No production planned ( PP )</t>
  </si>
  <si>
    <t>Planned maintnance activities ( PM )</t>
  </si>
  <si>
    <t>Capital project implementation</t>
  </si>
  <si>
    <t>French</t>
  </si>
  <si>
    <t>Detailed description of downtime</t>
  </si>
  <si>
    <t>SHIFTS</t>
  </si>
  <si>
    <t>CREW LEADERS</t>
  </si>
  <si>
    <t>Language</t>
  </si>
  <si>
    <t>Planned</t>
  </si>
  <si>
    <t>Changeovers</t>
  </si>
  <si>
    <t>Bottle Jam</t>
  </si>
  <si>
    <t>Box Jam</t>
  </si>
  <si>
    <t>Product 1 Operating Time</t>
  </si>
  <si>
    <t>Product 1 Net Operating Time</t>
  </si>
  <si>
    <t>Product 2 Operating Time</t>
  </si>
  <si>
    <t>Product 2 Net Operating Time</t>
  </si>
  <si>
    <t>Product 3 Operating Time</t>
  </si>
  <si>
    <t>Product 3 Net Operating Time</t>
  </si>
  <si>
    <t>Product 4 Operating Time</t>
  </si>
  <si>
    <t>Product 4 Net Operating Time</t>
  </si>
  <si>
    <t>Product 5 Operating Time</t>
  </si>
  <si>
    <t>Product 5 Net Operating Time</t>
  </si>
  <si>
    <t>Product 6 Operating Time</t>
  </si>
  <si>
    <t>Product 6 Net Operating Time</t>
  </si>
  <si>
    <t>Product 1 Station 1 Counter</t>
  </si>
  <si>
    <t>Product 1 Station 1 Rejects</t>
  </si>
  <si>
    <t>Product 1 Station 2 Counter</t>
  </si>
  <si>
    <t>Product 1 Station 2 Rejects</t>
  </si>
  <si>
    <t>Product 1 Station 3 Counter</t>
  </si>
  <si>
    <t>Product 1 Station 3 Rejects</t>
  </si>
  <si>
    <t>Product 1 Station 4 Counter</t>
  </si>
  <si>
    <t>Product 1 Station 4 Rejects</t>
  </si>
  <si>
    <t>Product 1 Station 5 Counter</t>
  </si>
  <si>
    <t>Product 1 Station 5 Rejects</t>
  </si>
  <si>
    <t>Product 1 Station 6 Counter</t>
  </si>
  <si>
    <t>Product 1 Station 6 Rejects</t>
  </si>
  <si>
    <t>Product 2 Station 1 Counter</t>
  </si>
  <si>
    <t>Product 2 Station 1 Rejects</t>
  </si>
  <si>
    <t>Product 2 Station 2 Counter</t>
  </si>
  <si>
    <t>Product 2 Station 2 Rejects</t>
  </si>
  <si>
    <t>Product 2 Station 3 Counter</t>
  </si>
  <si>
    <t>Product 3 Station 3 Rejects</t>
  </si>
  <si>
    <t>Product 3 Station 4 Counter</t>
  </si>
  <si>
    <t>Product 3 Station 4 Rejects</t>
  </si>
  <si>
    <t>Product 2 Station 3 Rejects</t>
  </si>
  <si>
    <t>Product 2 Station 4 Counter</t>
  </si>
  <si>
    <t>Product 2 Station 4 Rejects</t>
  </si>
  <si>
    <t>Product 2 Station 5 Counter</t>
  </si>
  <si>
    <t>Product 2 Station 5 Rejects</t>
  </si>
  <si>
    <t>Product 2 Station 6 Counter</t>
  </si>
  <si>
    <t>Product 2 Station 6 Rejects</t>
  </si>
  <si>
    <t>Product 3 Station 1 Counter</t>
  </si>
  <si>
    <t>Product 3 Station 1 Rejects</t>
  </si>
  <si>
    <t>Product 3 Station 2 Counter</t>
  </si>
  <si>
    <t>Product 3 Station 2 Rejects</t>
  </si>
  <si>
    <t>Product 3 Station 3 Counter</t>
  </si>
  <si>
    <t>Product 3 Station 5 Counter</t>
  </si>
  <si>
    <t>Product 3 Station 5 Rejects</t>
  </si>
  <si>
    <t>Product 3 Station 6 Counter</t>
  </si>
  <si>
    <t>Product 3 Station 6 Rejects</t>
  </si>
  <si>
    <t>Product 4 Station 1 Counter</t>
  </si>
  <si>
    <t>Product 4 Station 1 Rejects</t>
  </si>
  <si>
    <t>Product 4 Station 2 Counter</t>
  </si>
  <si>
    <t>Product 4 Station 2 Rejects</t>
  </si>
  <si>
    <t>Product 4 Station 3 Counter</t>
  </si>
  <si>
    <t>Product 4 Station 3 Rejects</t>
  </si>
  <si>
    <t>Product 4 Station 4 Counter</t>
  </si>
  <si>
    <t>Product 4 Station 4 Rejects</t>
  </si>
  <si>
    <t>Product 4 Station 5 Counter</t>
  </si>
  <si>
    <t>Product 4 Station 5 Rejects</t>
  </si>
  <si>
    <t>Product 4 Station 6 Counter</t>
  </si>
  <si>
    <t>Product 4 Station 6 Rejects</t>
  </si>
  <si>
    <t>Product 5 Station 1 Counter</t>
  </si>
  <si>
    <t>Product 5 Station 1 Rejects</t>
  </si>
  <si>
    <t>Product 5 Station 2 Counter</t>
  </si>
  <si>
    <t>Product 5 Station 2 Rejects</t>
  </si>
  <si>
    <t>Product 5 Station 3 Counter</t>
  </si>
  <si>
    <t>Product 5 Station 3 Rejects</t>
  </si>
  <si>
    <t>Product 5 Station 4 Counter</t>
  </si>
  <si>
    <t>Product 5 Station 4 Rejects</t>
  </si>
  <si>
    <t>Product 5 Station 5 Counter</t>
  </si>
  <si>
    <t>Product 5 Station 5 Rejects</t>
  </si>
  <si>
    <t>Product 5 Station 6 Counter</t>
  </si>
  <si>
    <t>Product 5 Station 6 Rejects</t>
  </si>
  <si>
    <t>Product 6 Station 1 Counter</t>
  </si>
  <si>
    <t>Product 6 Station 1 Rejects</t>
  </si>
  <si>
    <t>Product 6 Station 2 Counter</t>
  </si>
  <si>
    <t>Product 6 Station 2 Rejects</t>
  </si>
  <si>
    <t>Product 6 Station 3 Counter</t>
  </si>
  <si>
    <t>Product 6 Station 3 Rejects</t>
  </si>
  <si>
    <t>Product 6 Station 4 Counter</t>
  </si>
  <si>
    <t>Product 6 Station 4 Rejects</t>
  </si>
  <si>
    <t>Product 6 Station 5 Counter</t>
  </si>
  <si>
    <t>Product 6 Station 5 Rejects</t>
  </si>
  <si>
    <t>Product 6 Station 6 Counter</t>
  </si>
  <si>
    <t>Product 6 Station 6 Rejects</t>
  </si>
  <si>
    <t>Count Diff</t>
  </si>
  <si>
    <t>Sums:</t>
  </si>
  <si>
    <t>OLE Performance Summary</t>
  </si>
  <si>
    <t>OLE</t>
  </si>
  <si>
    <t>Monthly Net Operating Time</t>
  </si>
  <si>
    <t>Net Operating Time</t>
  </si>
  <si>
    <t>Monthly Total Operating Time</t>
  </si>
  <si>
    <t>Monthly Total Counter Differences</t>
  </si>
  <si>
    <t>Monthly Total Rejects</t>
  </si>
  <si>
    <t>Monthly Total Bottles</t>
  </si>
  <si>
    <t>Total Rejects</t>
  </si>
  <si>
    <t>Total Counter Difference</t>
  </si>
  <si>
    <t>Downtime 1 Product</t>
  </si>
  <si>
    <t>Downtime 2 Product</t>
  </si>
  <si>
    <t>Downtime 3 Product</t>
  </si>
  <si>
    <t>Downtime 4 Product</t>
  </si>
  <si>
    <t>Downtime 5 Product</t>
  </si>
  <si>
    <t>Downtime 6 Product</t>
  </si>
  <si>
    <t>Downtime 7 Product</t>
  </si>
  <si>
    <t>Downtime 8 Product</t>
  </si>
  <si>
    <t>Downtime 9 Product</t>
  </si>
  <si>
    <t>Downtime 10 Product</t>
  </si>
  <si>
    <t>Downtime 11 Product</t>
  </si>
  <si>
    <t>Downtime 12 Product</t>
  </si>
  <si>
    <t>Planned Downtime 3 Product</t>
  </si>
  <si>
    <t>Planned Downtime 2 Product</t>
  </si>
  <si>
    <t>Planned Downtime 1 Product</t>
  </si>
  <si>
    <t>Planned Downtime 4 Product</t>
  </si>
  <si>
    <t>Planned Downtime 5 Product</t>
  </si>
  <si>
    <t>Planned Downtime 6 Product</t>
  </si>
  <si>
    <t>Planned Downtime 7 Product</t>
  </si>
  <si>
    <t>Planned Downtime 8 Product</t>
  </si>
  <si>
    <t>Planned Downtime 9 Product</t>
  </si>
  <si>
    <t>Product 1 End Time</t>
  </si>
  <si>
    <t>Product 2 End Time</t>
  </si>
  <si>
    <t>Product 3 End Time</t>
  </si>
  <si>
    <t>Product 4 End Time</t>
  </si>
  <si>
    <t>Product 5 End Time</t>
  </si>
  <si>
    <t>Product 6 End Time</t>
  </si>
  <si>
    <t>Product 1 Total Bottles N</t>
  </si>
  <si>
    <t>Product 2 Total Bottles N</t>
  </si>
  <si>
    <t>Product 3 Total Bottles N</t>
  </si>
  <si>
    <t>Product 4 Total Bottles N</t>
  </si>
  <si>
    <t>Product 5 Total Bottles N</t>
  </si>
  <si>
    <t>Product 6 Total Bottles N</t>
  </si>
  <si>
    <t>Utilities shortage</t>
  </si>
  <si>
    <t>Packaging issues</t>
  </si>
  <si>
    <t>Weigh Scale(Equip.Failure)</t>
  </si>
  <si>
    <t>Weigh Scale(Opt.Failure )</t>
  </si>
  <si>
    <t>ENDURE120SC BTLPET 50X0.1L CORN IDN</t>
  </si>
  <si>
    <t>0.1L</t>
  </si>
  <si>
    <t>ENDURE120SC BTLPET50X0.1L IDN</t>
  </si>
  <si>
    <t>PIXY360SC BTLHPE50X0.1L KHM</t>
  </si>
  <si>
    <t>TENANO360SC BTLPET50X0.1L IDN</t>
  </si>
  <si>
    <t>ENDURE120SC BTLPET24X0.2L IDN</t>
  </si>
  <si>
    <t>0.2L</t>
  </si>
  <si>
    <t>TENANO360SC BTLPET24X0.2L IDN</t>
  </si>
  <si>
    <t>0.25L</t>
  </si>
  <si>
    <t>ENDURE120SC BTLPET 24X0.25L CORN IDN</t>
  </si>
  <si>
    <t>ENDURE60SC BTLPET24X0.25L MMR</t>
  </si>
  <si>
    <t>EXALT BTLPET24X0.25L THA</t>
  </si>
  <si>
    <t>EXALT60SC BTLPET24X0.25L PHL</t>
  </si>
  <si>
    <t>KOJO300SC BTLPET24X250ML IDN</t>
  </si>
  <si>
    <t>PIXY360SC BTLPET24X0.25L MYS</t>
  </si>
  <si>
    <t>RADIANT60SC BTLPET24X0.25L TWN</t>
  </si>
  <si>
    <t>SUCCESS25SC BTLPET24X0.25L PHLAYS</t>
  </si>
  <si>
    <t>ENDURE60SC BTLPET20X0.5L MYS</t>
  </si>
  <si>
    <t>0.5L</t>
  </si>
  <si>
    <t>SUCCESS25SC BTLPET20X0.5L TWN</t>
  </si>
  <si>
    <t>SUCCESS25SC BTLPET10X1L MYS</t>
  </si>
  <si>
    <t>Saragih, Jon</t>
  </si>
  <si>
    <t xml:space="preserve">Hasibuan, Indra </t>
  </si>
  <si>
    <t>Junaidi, Albert</t>
  </si>
  <si>
    <t>Haris, Mahdi</t>
  </si>
  <si>
    <t>M. Rizky</t>
  </si>
  <si>
    <t>Safety Break</t>
  </si>
  <si>
    <t>Monthly BCHE (Blood Cholinesterase) Test</t>
  </si>
  <si>
    <t>Weighing Error</t>
  </si>
  <si>
    <t>Label Broken</t>
  </si>
  <si>
    <t>Label Zigzag 2 time</t>
  </si>
  <si>
    <t>Waiting Bulk, Setting and Prepare All Machine, Checklist SOP</t>
  </si>
  <si>
    <t>Change Batch Number</t>
  </si>
  <si>
    <t>Waiting Bulk, Adjust Target</t>
  </si>
  <si>
    <t>Labelling Box Manual</t>
  </si>
  <si>
    <t>Label Stuck in the Servo 3 time</t>
  </si>
  <si>
    <t>Change Roll Label and Setting 5 time</t>
  </si>
  <si>
    <t>Personil Longshift</t>
  </si>
  <si>
    <t xml:space="preserve">check unlabelled bottles </t>
  </si>
  <si>
    <t>Label Zigzag</t>
  </si>
  <si>
    <t>setting label machine</t>
  </si>
  <si>
    <t>Changes Roll Label 14 time</t>
  </si>
  <si>
    <t>Sensor Failure</t>
  </si>
  <si>
    <t>Number Batch Unstable</t>
  </si>
  <si>
    <t>re-setting inkjetprint</t>
  </si>
  <si>
    <t>Drain Tank ME-503</t>
  </si>
  <si>
    <t>Washing Tank ME-503</t>
  </si>
  <si>
    <t>Sensor bottle reject Failure</t>
  </si>
  <si>
    <t>change sensor</t>
  </si>
  <si>
    <t>Change Roll Label 12 time</t>
  </si>
  <si>
    <t>weigher longshit</t>
  </si>
  <si>
    <t>Cap Sortor Problem</t>
  </si>
  <si>
    <t>Resolved by operator</t>
  </si>
  <si>
    <t>Change Roll Label 16</t>
  </si>
  <si>
    <t>Cap Fallen</t>
  </si>
  <si>
    <t>cap stuck in starwheel, resolved by operator</t>
  </si>
  <si>
    <t>Label Zigzag 4 time</t>
  </si>
  <si>
    <t>setting sortor capper</t>
  </si>
  <si>
    <t>Cap Stuck in Sortor</t>
  </si>
  <si>
    <t>Weighing Problem</t>
  </si>
  <si>
    <t>resolved by operator weigher</t>
  </si>
  <si>
    <t>Bottle Stuck in Starwheel</t>
  </si>
  <si>
    <t>produk spill in tooling, cleared by operator</t>
  </si>
  <si>
    <t>Changes roll label 5 time</t>
  </si>
  <si>
    <t>Bottle falls and stuck on conveyor 2 time</t>
  </si>
  <si>
    <t>Change Roll Label 14 time</t>
  </si>
  <si>
    <t>Change Roll Label 19 time</t>
  </si>
  <si>
    <t>Cartonbox short</t>
  </si>
  <si>
    <t xml:space="preserve">waiting cartonbox </t>
  </si>
  <si>
    <t>Label Zigzag 5 time</t>
  </si>
  <si>
    <t>setting and clean head inkjetprint</t>
  </si>
  <si>
    <t>Batchnumber blur, Re-Check Numbering</t>
  </si>
  <si>
    <t>Waiting Cartonbox</t>
  </si>
  <si>
    <t>change QR code</t>
  </si>
  <si>
    <t>Waiting Product by Warehouse</t>
  </si>
  <si>
    <t>Starwheel Problem, On Call Maintenance</t>
  </si>
  <si>
    <t>resolved by maintenance</t>
  </si>
  <si>
    <t>RIDDIT360SC BTLHPE24X0.25L THA</t>
  </si>
  <si>
    <t>Re Lebel</t>
  </si>
  <si>
    <t>Manual Filling, AdjustTarget</t>
  </si>
  <si>
    <t>Target Done</t>
  </si>
  <si>
    <t>EXALT60SC BTLPET10X1L PHL</t>
  </si>
  <si>
    <t>Operator Longshift</t>
  </si>
  <si>
    <t>Printing Machine AlphaJet Error</t>
  </si>
  <si>
    <t>setting and cleaning print head</t>
  </si>
  <si>
    <t xml:space="preserve">Change Printing Machine  from Herbicide Filling </t>
  </si>
  <si>
    <t xml:space="preserve">AlphaJet to VideoJet and setting </t>
  </si>
  <si>
    <t>SUCCESS25SC BTLPET24X0.25L PHL</t>
  </si>
  <si>
    <t>Waiting Bulk</t>
  </si>
  <si>
    <t>Operator Label Machine and Operator Weighing Longshift</t>
  </si>
  <si>
    <t>TENANO360SC BTLPET24X0.25L IDN</t>
  </si>
  <si>
    <t>Issue : Found Many Ring Cap Broken</t>
  </si>
  <si>
    <t>Manual Filling and Check Capping Process</t>
  </si>
  <si>
    <t>Setting Capper Filling Machie and Tooling</t>
  </si>
  <si>
    <t>Manual Filling, Packaging Issue Many Ring Cap Broken</t>
  </si>
  <si>
    <t>Batchnumber Zigzag on the Label</t>
  </si>
  <si>
    <t>Setting Label Machine</t>
  </si>
  <si>
    <t>Slip Servo Problem on the Gear Belting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</si>
</sst>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h:mm;@"/>
    <numFmt numFmtId="165" formatCode="0.0%"/>
    <numFmt numFmtId="166" formatCode="[$-409]dd\-mmm\-yy;@"/>
    <numFmt numFmtId="167" formatCode="m/d/yy\ h:mm;@"/>
    <numFmt numFmtId="168" formatCode="[$-409]m/d/yy\ h:mm\ AM/PM;@"/>
    <numFmt numFmtId="169" formatCode="[$-F400]h:mm:ss\ AM/PM"/>
    <numFmt numFmtId="170" formatCode="mm/dd/yy;@"/>
    <numFmt numFmtId="171" formatCode="m/d/yyyy;@"/>
    <numFmt numFmtId="172" formatCode="0.0"/>
    <numFmt numFmtId="173" formatCode="mmm\-yyyy"/>
    <numFmt numFmtId="174" formatCode="0.0000%"/>
  </numFmts>
  <fonts count="42">
    <font>
      <sz val="11"/>
      <color theme="1"/>
      <name val="Calibri"/>
      <family val="2"/>
      <scheme val="minor"/>
    </font>
    <font>
      <b/>
      <sz val="11"/>
      <color theme="1"/>
      <name val="Calibri"/>
      <family val="2"/>
      <scheme val="minor"/>
    </font>
    <font>
      <sz val="10"/>
      <name val="Arial"/>
      <family val="2"/>
    </font>
    <font>
      <sz val="12"/>
      <name val="Arial"/>
      <family val="2"/>
    </font>
    <font>
      <sz val="12"/>
      <color indexed="9"/>
      <name val="Arial"/>
      <family val="2"/>
    </font>
    <font>
      <b/>
      <sz val="12"/>
      <name val="Arial"/>
      <family val="2"/>
    </font>
    <font>
      <sz val="12"/>
      <color theme="1"/>
      <name val="Arial"/>
      <family val="2"/>
    </font>
    <font>
      <sz val="10"/>
      <name val="Arial"/>
      <family val="2"/>
    </font>
    <font>
      <sz val="11"/>
      <color theme="1"/>
      <name val="Calibri"/>
      <family val="2"/>
      <scheme val="minor"/>
    </font>
    <font>
      <sz val="14"/>
      <name val="Arial"/>
      <family val="2"/>
    </font>
    <font>
      <b/>
      <sz val="18"/>
      <name val="Arial"/>
      <family val="2"/>
    </font>
    <font>
      <b/>
      <sz val="14"/>
      <color indexed="9"/>
      <name val="Arial"/>
      <family val="2"/>
    </font>
    <font>
      <b/>
      <sz val="14"/>
      <name val="Arial"/>
      <family val="2"/>
    </font>
    <font>
      <sz val="12"/>
      <color theme="0"/>
      <name val="Arial"/>
      <family val="2"/>
    </font>
    <font>
      <sz val="18"/>
      <name val="Arial"/>
      <family val="2"/>
    </font>
    <font>
      <sz val="12"/>
      <color theme="0" tint="-0.34998626667073579"/>
      <name val="Arial"/>
      <family val="2"/>
    </font>
    <font>
      <sz val="22"/>
      <name val="Arial"/>
      <family val="2"/>
    </font>
    <font>
      <sz val="9"/>
      <name val="Calibri"/>
      <family val="3"/>
      <charset val="134"/>
      <scheme val="minor"/>
    </font>
    <font>
      <b/>
      <sz val="12"/>
      <color theme="1"/>
      <name val="Arial"/>
      <family val="2"/>
    </font>
    <font>
      <sz val="16"/>
      <name val="Arial"/>
      <family val="2"/>
    </font>
    <font>
      <b/>
      <sz val="18"/>
      <color theme="1"/>
      <name val="Calibri"/>
      <family val="2"/>
      <scheme val="minor"/>
    </font>
    <font>
      <b/>
      <sz val="10"/>
      <color indexed="9"/>
      <name val="Arial"/>
      <family val="2"/>
    </font>
    <font>
      <sz val="10"/>
      <color indexed="9"/>
      <name val="Arial"/>
      <family val="2"/>
    </font>
    <font>
      <b/>
      <sz val="10"/>
      <color theme="0"/>
      <name val="Arial"/>
      <family val="2"/>
    </font>
    <font>
      <sz val="10"/>
      <color theme="0"/>
      <name val="Arial"/>
      <family val="2"/>
    </font>
    <font>
      <b/>
      <sz val="10"/>
      <name val="Arial"/>
      <family val="2"/>
    </font>
    <font>
      <sz val="10"/>
      <color theme="1"/>
      <name val="Arial"/>
      <family val="2"/>
    </font>
    <font>
      <b/>
      <sz val="36"/>
      <name val="Arial"/>
      <family val="2"/>
    </font>
    <font>
      <b/>
      <sz val="16"/>
      <color theme="1"/>
      <name val="Calibri"/>
      <family val="2"/>
      <scheme val="minor"/>
    </font>
    <font>
      <b/>
      <i/>
      <sz val="10"/>
      <color rgb="FFFFFF00"/>
      <name val="Arial"/>
      <family val="2"/>
    </font>
    <font>
      <sz val="11"/>
      <color theme="1"/>
      <name val="Arial"/>
      <family val="2"/>
    </font>
    <font>
      <sz val="11"/>
      <name val="Arial"/>
      <family val="2"/>
    </font>
    <font>
      <b/>
      <i/>
      <sz val="10"/>
      <name val="Arial"/>
      <family val="2"/>
    </font>
    <font>
      <sz val="11"/>
      <color theme="0"/>
      <name val="Calibri"/>
      <family val="2"/>
      <scheme val="minor"/>
    </font>
    <font>
      <sz val="12"/>
      <color rgb="FF000000"/>
      <name val="Arial"/>
      <family val="2"/>
    </font>
    <font>
      <b/>
      <sz val="11"/>
      <color rgb="FF000000"/>
      <name val="Calibri"/>
      <family val="2"/>
    </font>
    <font>
      <sz val="11"/>
      <color rgb="FF000000"/>
      <name val="Calibri"/>
      <family val="2"/>
    </font>
    <font>
      <b/>
      <i/>
      <sz val="9"/>
      <color rgb="FFFFFF00"/>
      <name val="Arial"/>
      <family val="2"/>
    </font>
    <font>
      <b/>
      <i/>
      <sz val="8"/>
      <color rgb="FFFFFF00"/>
      <name val="Arial"/>
      <family val="2"/>
    </font>
    <font>
      <sz val="24"/>
      <name val="Arial"/>
      <family val="2"/>
    </font>
    <font>
      <b/>
      <i/>
      <sz val="11"/>
      <color rgb="FFFFFF00"/>
      <name val="Arial"/>
      <family val="2"/>
    </font>
    <font>
      <sz val="11"/>
      <name val="Calibri"/>
      <family val="2"/>
      <scheme val="minor"/>
    </font>
  </fonts>
  <fills count="9">
    <fill>
      <patternFill patternType="none"/>
    </fill>
    <fill>
      <patternFill patternType="gray125"/>
    </fill>
    <fill>
      <patternFill patternType="solid">
        <fgColor indexed="23"/>
        <bgColor indexed="64"/>
      </patternFill>
    </fill>
    <fill>
      <patternFill patternType="solid">
        <fgColor indexed="41"/>
        <bgColor indexed="64"/>
      </patternFill>
    </fill>
    <fill>
      <patternFill patternType="solid">
        <fgColor theme="0" tint="-0.499984740745262"/>
        <bgColor indexed="64"/>
      </patternFill>
    </fill>
    <fill>
      <patternFill patternType="solid">
        <fgColor rgb="FFFFFF99"/>
        <bgColor indexed="64"/>
      </patternFill>
    </fill>
    <fill>
      <patternFill patternType="solid">
        <fgColor rgb="FFFFFF00"/>
        <bgColor indexed="64"/>
      </patternFill>
    </fill>
    <fill>
      <patternFill patternType="solid">
        <fgColor theme="0"/>
        <bgColor indexed="64"/>
      </patternFill>
    </fill>
    <fill>
      <patternFill patternType="solid">
        <fgColor rgb="FFCCFFFF"/>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ck">
        <color auto="1"/>
      </right>
      <top/>
      <bottom/>
      <diagonal/>
    </border>
    <border>
      <left style="thick">
        <color auto="1"/>
      </left>
      <right/>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top style="medium">
        <color indexed="64"/>
      </top>
      <bottom/>
      <diagonal/>
    </border>
    <border>
      <left/>
      <right/>
      <top/>
      <bottom style="thick">
        <color auto="1"/>
      </bottom>
      <diagonal/>
    </border>
    <border>
      <left/>
      <right style="thick">
        <color auto="1"/>
      </right>
      <top/>
      <bottom style="thick">
        <color auto="1"/>
      </bottom>
      <diagonal/>
    </border>
    <border>
      <left/>
      <right style="thick">
        <color auto="1"/>
      </right>
      <top/>
      <bottom style="thin">
        <color indexed="64"/>
      </bottom>
      <diagonal/>
    </border>
    <border>
      <left/>
      <right style="thin">
        <color indexed="64"/>
      </right>
      <top/>
      <bottom/>
      <diagonal/>
    </border>
    <border>
      <left style="thick">
        <color auto="1"/>
      </left>
      <right style="thin">
        <color auto="1"/>
      </right>
      <top style="thin">
        <color auto="1"/>
      </top>
      <bottom style="medium">
        <color auto="1"/>
      </bottom>
      <diagonal/>
    </border>
    <border>
      <left/>
      <right style="thick">
        <color auto="1"/>
      </right>
      <top style="medium">
        <color indexed="64"/>
      </top>
      <bottom/>
      <diagonal/>
    </border>
    <border>
      <left style="thick">
        <color auto="1"/>
      </left>
      <right/>
      <top/>
      <bottom style="thick">
        <color auto="1"/>
      </bottom>
      <diagonal/>
    </border>
    <border>
      <left style="thin">
        <color indexed="64"/>
      </left>
      <right/>
      <top/>
      <bottom style="medium">
        <color auto="1"/>
      </bottom>
      <diagonal/>
    </border>
    <border>
      <left/>
      <right/>
      <top/>
      <bottom style="medium">
        <color auto="1"/>
      </bottom>
      <diagonal/>
    </border>
    <border>
      <left/>
      <right style="thick">
        <color auto="1"/>
      </right>
      <top/>
      <bottom style="medium">
        <color auto="1"/>
      </bottom>
      <diagonal/>
    </border>
    <border>
      <left style="thin">
        <color indexed="64"/>
      </left>
      <right/>
      <top style="thin">
        <color indexed="64"/>
      </top>
      <bottom/>
      <diagonal/>
    </border>
    <border>
      <left/>
      <right/>
      <top style="thin">
        <color indexed="64"/>
      </top>
      <bottom/>
      <diagonal/>
    </border>
    <border>
      <left/>
      <right style="thick">
        <color auto="1"/>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thin">
        <color indexed="64"/>
      </left>
      <right/>
      <top/>
      <bottom style="thin">
        <color indexed="64"/>
      </bottom>
      <diagonal/>
    </border>
    <border>
      <left/>
      <right style="thick">
        <color auto="1"/>
      </right>
      <top style="thin">
        <color indexed="64"/>
      </top>
      <bottom style="thin">
        <color indexed="64"/>
      </bottom>
      <diagonal/>
    </border>
    <border>
      <left style="thin">
        <color indexed="64"/>
      </left>
      <right style="thin">
        <color indexed="64"/>
      </right>
      <top/>
      <bottom style="thick">
        <color auto="1"/>
      </bottom>
      <diagonal/>
    </border>
    <border>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auto="1"/>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medium">
        <color indexed="64"/>
      </bottom>
      <diagonal/>
    </border>
    <border>
      <left style="thick">
        <color indexed="64"/>
      </left>
      <right/>
      <top style="thin">
        <color indexed="64"/>
      </top>
      <bottom style="thin">
        <color indexed="64"/>
      </bottom>
      <diagonal/>
    </border>
    <border>
      <left style="thick">
        <color indexed="64"/>
      </left>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s>
  <cellStyleXfs count="6">
    <xf numFmtId="0" fontId="0" fillId="0" borderId="0"/>
    <xf numFmtId="0" fontId="2" fillId="0" borderId="0"/>
    <xf numFmtId="0" fontId="7" fillId="0" borderId="0"/>
    <xf numFmtId="0" fontId="2" fillId="0" borderId="0"/>
    <xf numFmtId="43" fontId="8" fillId="0" borderId="0" applyFont="0" applyFill="0" applyBorder="0" applyAlignment="0" applyProtection="0"/>
    <xf numFmtId="9" fontId="8" fillId="0" borderId="0" applyFont="0" applyFill="0" applyBorder="0" applyAlignment="0" applyProtection="0"/>
  </cellStyleXfs>
  <cellXfs count="477">
    <xf numFmtId="0" fontId="0" fillId="0" borderId="0" xfId="0"/>
    <xf numFmtId="0" fontId="1" fillId="0" borderId="0" xfId="0" applyFont="1"/>
    <xf numFmtId="0" fontId="0" fillId="0" borderId="0" xfId="0" applyAlignment="1">
      <alignment horizontal="center"/>
    </xf>
    <xf numFmtId="0" fontId="0" fillId="0" borderId="0" xfId="0" applyAlignment="1">
      <alignment horizontal="center" wrapText="1"/>
    </xf>
    <xf numFmtId="14" fontId="0" fillId="0" borderId="0" xfId="0" applyNumberFormat="1" applyAlignment="1">
      <alignment horizontal="center"/>
    </xf>
    <xf numFmtId="165" fontId="0" fillId="0" borderId="0" xfId="0" applyNumberFormat="1" applyAlignment="1">
      <alignment horizontal="center"/>
    </xf>
    <xf numFmtId="0" fontId="0" fillId="0" borderId="1" xfId="0" applyNumberFormat="1" applyBorder="1" applyAlignment="1">
      <alignment horizontal="center"/>
    </xf>
    <xf numFmtId="165" fontId="0" fillId="0" borderId="1" xfId="0" applyNumberFormat="1" applyBorder="1" applyAlignment="1">
      <alignment horizontal="center"/>
    </xf>
    <xf numFmtId="0" fontId="0" fillId="0" borderId="1" xfId="0" applyNumberFormat="1" applyBorder="1" applyAlignment="1">
      <alignment horizontal="center" wrapText="1"/>
    </xf>
    <xf numFmtId="0" fontId="1" fillId="0" borderId="1" xfId="0" applyFont="1" applyBorder="1" applyAlignment="1">
      <alignment horizontal="center" wrapText="1"/>
    </xf>
    <xf numFmtId="0" fontId="0" fillId="0" borderId="0" xfId="0" applyAlignment="1">
      <alignment horizontal="center"/>
    </xf>
    <xf numFmtId="165" fontId="1" fillId="0" borderId="0" xfId="0" applyNumberFormat="1" applyFont="1" applyAlignment="1">
      <alignment horizontal="center"/>
    </xf>
    <xf numFmtId="165" fontId="1" fillId="0" borderId="0" xfId="0" applyNumberFormat="1" applyFont="1" applyAlignment="1">
      <alignment horizontal="right"/>
    </xf>
    <xf numFmtId="14" fontId="1" fillId="0" borderId="1" xfId="0" applyNumberFormat="1" applyFont="1" applyBorder="1" applyAlignment="1">
      <alignment horizontal="center"/>
    </xf>
    <xf numFmtId="165" fontId="1" fillId="0" borderId="1" xfId="0" applyNumberFormat="1" applyFont="1" applyBorder="1" applyAlignment="1">
      <alignment horizontal="center" wrapText="1"/>
    </xf>
    <xf numFmtId="0" fontId="6" fillId="0" borderId="0" xfId="0" applyFont="1" applyAlignment="1" applyProtection="1">
      <alignment horizontal="left"/>
      <protection locked="0"/>
    </xf>
    <xf numFmtId="14" fontId="0" fillId="0" borderId="0" xfId="0" applyNumberFormat="1" applyAlignment="1">
      <alignment horizontal="center" wrapText="1"/>
    </xf>
    <xf numFmtId="164" fontId="0" fillId="0" borderId="0" xfId="0" applyNumberFormat="1" applyAlignment="1">
      <alignment horizontal="center" wrapText="1"/>
    </xf>
    <xf numFmtId="49" fontId="0" fillId="0" borderId="0" xfId="0" applyNumberFormat="1" applyAlignment="1">
      <alignment horizontal="center" wrapText="1"/>
    </xf>
    <xf numFmtId="0" fontId="0" fillId="0" borderId="0" xfId="0" applyNumberFormat="1" applyAlignment="1">
      <alignment horizont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9" fontId="0" fillId="0" borderId="0" xfId="0" applyNumberFormat="1" applyAlignment="1">
      <alignment horizontal="center" vertical="center" wrapText="1"/>
    </xf>
    <xf numFmtId="164" fontId="0" fillId="0" borderId="0" xfId="0" applyNumberFormat="1" applyAlignment="1">
      <alignment horizontal="center" vertical="center" wrapText="1"/>
    </xf>
    <xf numFmtId="1" fontId="0" fillId="0" borderId="0" xfId="0" applyNumberFormat="1" applyAlignment="1">
      <alignment horizontal="center" vertical="center" wrapText="1"/>
    </xf>
    <xf numFmtId="14" fontId="0" fillId="0" borderId="1" xfId="0" applyNumberFormat="1" applyBorder="1" applyAlignment="1">
      <alignment horizontal="center" wrapText="1"/>
    </xf>
    <xf numFmtId="0" fontId="0" fillId="0" borderId="1" xfId="0" applyBorder="1" applyAlignment="1">
      <alignment horizontal="center" wrapText="1"/>
    </xf>
    <xf numFmtId="164" fontId="0" fillId="0" borderId="1" xfId="0" applyNumberFormat="1" applyBorder="1" applyAlignment="1">
      <alignment horizontal="center" wrapText="1"/>
    </xf>
    <xf numFmtId="49" fontId="0" fillId="0" borderId="1" xfId="0" applyNumberFormat="1" applyBorder="1" applyAlignment="1">
      <alignment horizontal="center" wrapText="1"/>
    </xf>
    <xf numFmtId="0" fontId="3" fillId="0" borderId="0" xfId="1" applyFont="1" applyBorder="1" applyAlignment="1" applyProtection="1">
      <alignment horizontal="center"/>
    </xf>
    <xf numFmtId="0" fontId="3" fillId="0" borderId="0" xfId="1" applyFont="1" applyBorder="1" applyProtection="1"/>
    <xf numFmtId="167" fontId="3" fillId="0" borderId="0" xfId="1" applyNumberFormat="1" applyFont="1" applyBorder="1" applyProtection="1"/>
    <xf numFmtId="1" fontId="3" fillId="0" borderId="0" xfId="1" applyNumberFormat="1" applyFont="1" applyBorder="1" applyAlignment="1" applyProtection="1">
      <alignment horizontal="left"/>
    </xf>
    <xf numFmtId="167" fontId="3" fillId="0" borderId="0" xfId="1" applyNumberFormat="1" applyFont="1" applyProtection="1"/>
    <xf numFmtId="0" fontId="3" fillId="0" borderId="0" xfId="1" applyFont="1" applyProtection="1"/>
    <xf numFmtId="1" fontId="3" fillId="0" borderId="0" xfId="1" applyNumberFormat="1" applyFont="1" applyAlignment="1" applyProtection="1">
      <alignment horizontal="left"/>
    </xf>
    <xf numFmtId="167" fontId="3" fillId="0" borderId="0" xfId="1" applyNumberFormat="1" applyFont="1" applyFill="1" applyProtection="1"/>
    <xf numFmtId="0" fontId="3" fillId="0" borderId="0" xfId="1" applyFont="1" applyFill="1" applyProtection="1"/>
    <xf numFmtId="1" fontId="3" fillId="0" borderId="0" xfId="1" applyNumberFormat="1" applyFont="1" applyFill="1" applyAlignment="1" applyProtection="1">
      <alignment horizontal="left"/>
    </xf>
    <xf numFmtId="0" fontId="3" fillId="0" borderId="23" xfId="1" applyFont="1" applyBorder="1" applyProtection="1"/>
    <xf numFmtId="0" fontId="3" fillId="0" borderId="23" xfId="1" applyFont="1" applyBorder="1" applyAlignment="1" applyProtection="1">
      <alignment horizontal="center"/>
    </xf>
    <xf numFmtId="167" fontId="15" fillId="0" borderId="0" xfId="1" applyNumberFormat="1" applyFont="1" applyFill="1" applyProtection="1"/>
    <xf numFmtId="168" fontId="3" fillId="0" borderId="0" xfId="1" applyNumberFormat="1" applyFont="1" applyFill="1" applyAlignment="1" applyProtection="1">
      <alignment horizontal="left"/>
    </xf>
    <xf numFmtId="167" fontId="4" fillId="0" borderId="0" xfId="1" applyNumberFormat="1" applyFont="1" applyFill="1" applyBorder="1" applyAlignment="1" applyProtection="1"/>
    <xf numFmtId="14" fontId="3" fillId="0" borderId="0" xfId="1" applyNumberFormat="1" applyFont="1" applyProtection="1"/>
    <xf numFmtId="167" fontId="14" fillId="0" borderId="0" xfId="1" applyNumberFormat="1" applyFont="1" applyFill="1" applyProtection="1"/>
    <xf numFmtId="0" fontId="14" fillId="0" borderId="0" xfId="1" applyFont="1" applyFill="1" applyProtection="1"/>
    <xf numFmtId="1" fontId="14" fillId="0" borderId="0" xfId="1" applyNumberFormat="1" applyFont="1" applyFill="1" applyAlignment="1" applyProtection="1">
      <alignment horizontal="left"/>
    </xf>
    <xf numFmtId="0" fontId="10" fillId="3" borderId="19" xfId="1" applyFont="1" applyFill="1" applyBorder="1" applyAlignment="1" applyProtection="1">
      <alignment horizontal="right"/>
    </xf>
    <xf numFmtId="168" fontId="14" fillId="0" borderId="0" xfId="1" applyNumberFormat="1" applyFont="1" applyFill="1" applyAlignment="1" applyProtection="1">
      <alignment horizontal="left"/>
    </xf>
    <xf numFmtId="0" fontId="9" fillId="0" borderId="0" xfId="1" applyFont="1" applyProtection="1"/>
    <xf numFmtId="167" fontId="9" fillId="0" borderId="0" xfId="1" applyNumberFormat="1" applyFont="1" applyProtection="1"/>
    <xf numFmtId="1" fontId="9" fillId="0" borderId="0" xfId="1" applyNumberFormat="1" applyFont="1" applyAlignment="1" applyProtection="1">
      <alignment horizontal="left"/>
    </xf>
    <xf numFmtId="0" fontId="14" fillId="0" borderId="15" xfId="1" quotePrefix="1" applyFont="1" applyFill="1" applyBorder="1" applyAlignment="1" applyProtection="1">
      <alignment horizontal="left" vertical="center"/>
    </xf>
    <xf numFmtId="0" fontId="12" fillId="0" borderId="15" xfId="1" applyFont="1" applyFill="1" applyBorder="1" applyAlignment="1" applyProtection="1">
      <alignment horizontal="left" vertical="center"/>
    </xf>
    <xf numFmtId="0" fontId="12" fillId="0" borderId="16" xfId="1" applyFont="1" applyFill="1" applyBorder="1" applyAlignment="1" applyProtection="1">
      <alignment horizontal="left" vertical="center"/>
    </xf>
    <xf numFmtId="0" fontId="3" fillId="0" borderId="0" xfId="1" applyFont="1" applyAlignment="1" applyProtection="1">
      <alignment horizontal="center"/>
    </xf>
    <xf numFmtId="0" fontId="3" fillId="0" borderId="0" xfId="1" applyFont="1" applyFill="1" applyAlignment="1" applyProtection="1">
      <alignment horizontal="center"/>
    </xf>
    <xf numFmtId="1" fontId="0" fillId="0" borderId="1" xfId="0" applyNumberFormat="1" applyBorder="1" applyAlignment="1">
      <alignment horizontal="center"/>
    </xf>
    <xf numFmtId="1" fontId="0" fillId="0" borderId="0" xfId="0" applyNumberFormat="1" applyBorder="1" applyAlignment="1">
      <alignment horizontal="center" vertical="center" wrapText="1"/>
    </xf>
    <xf numFmtId="165" fontId="0" fillId="0" borderId="0" xfId="0" applyNumberFormat="1" applyBorder="1" applyAlignment="1">
      <alignment horizontal="center"/>
    </xf>
    <xf numFmtId="0" fontId="18" fillId="0" borderId="0" xfId="0" applyFont="1" applyAlignment="1">
      <alignment horizontal="left" wrapText="1"/>
    </xf>
    <xf numFmtId="0" fontId="18" fillId="0" borderId="0" xfId="0" applyFont="1" applyFill="1" applyAlignment="1">
      <alignment horizontal="center" wrapText="1"/>
    </xf>
    <xf numFmtId="0" fontId="18" fillId="0" borderId="0" xfId="0" applyFont="1" applyAlignment="1">
      <alignment horizontal="center" wrapText="1"/>
    </xf>
    <xf numFmtId="0" fontId="6" fillId="0" borderId="0" xfId="0" applyFont="1" applyAlignment="1">
      <alignment horizontal="center"/>
    </xf>
    <xf numFmtId="0" fontId="6" fillId="0" borderId="0" xfId="0" applyFont="1"/>
    <xf numFmtId="0" fontId="6" fillId="0" borderId="0" xfId="0" applyFont="1" applyAlignment="1">
      <alignment horizontal="left"/>
    </xf>
    <xf numFmtId="0" fontId="6" fillId="0" borderId="0" xfId="0" applyFont="1" applyFill="1" applyAlignment="1">
      <alignment horizontal="center"/>
    </xf>
    <xf numFmtId="0" fontId="6" fillId="0" borderId="0" xfId="0" applyFont="1" applyBorder="1"/>
    <xf numFmtId="0" fontId="1" fillId="0" borderId="0" xfId="0" applyFont="1" applyAlignment="1">
      <alignment horizontal="center"/>
    </xf>
    <xf numFmtId="0" fontId="1" fillId="0" borderId="0" xfId="0" applyFont="1" applyAlignment="1">
      <alignment horizontal="center" wrapText="1"/>
    </xf>
    <xf numFmtId="14" fontId="0" fillId="0" borderId="0" xfId="0" applyNumberFormat="1" applyFont="1" applyFill="1" applyAlignment="1">
      <alignment horizontal="center" vertical="center"/>
    </xf>
    <xf numFmtId="1" fontId="1" fillId="0" borderId="1" xfId="0" applyNumberFormat="1" applyFont="1" applyBorder="1" applyAlignment="1">
      <alignment horizontal="center"/>
    </xf>
    <xf numFmtId="1" fontId="0" fillId="0" borderId="0" xfId="0" applyNumberFormat="1" applyAlignment="1">
      <alignment horizontal="center"/>
    </xf>
    <xf numFmtId="14" fontId="0" fillId="0" borderId="1" xfId="0" applyNumberFormat="1" applyFont="1" applyFill="1" applyBorder="1" applyAlignment="1">
      <alignment horizontal="center"/>
    </xf>
    <xf numFmtId="0" fontId="18" fillId="0" borderId="0" xfId="0" applyFont="1" applyFill="1" applyAlignment="1">
      <alignment horizontal="left" wrapText="1"/>
    </xf>
    <xf numFmtId="0" fontId="0" fillId="0" borderId="0" xfId="0" applyBorder="1" applyAlignment="1">
      <alignment horizontal="center" wrapText="1"/>
    </xf>
    <xf numFmtId="0" fontId="3" fillId="0" borderId="0" xfId="1" applyNumberFormat="1" applyFont="1" applyProtection="1"/>
    <xf numFmtId="1" fontId="3" fillId="0" borderId="0" xfId="1" applyNumberFormat="1" applyFont="1" applyProtection="1"/>
    <xf numFmtId="20" fontId="0" fillId="0" borderId="0" xfId="0" applyNumberFormat="1" applyAlignment="1">
      <alignment horizontal="center" vertical="center" wrapText="1"/>
    </xf>
    <xf numFmtId="0" fontId="20" fillId="0" borderId="0" xfId="0" applyFont="1"/>
    <xf numFmtId="170" fontId="0" fillId="0" borderId="0" xfId="0" applyNumberFormat="1"/>
    <xf numFmtId="171" fontId="0" fillId="5" borderId="1" xfId="0" applyNumberFormat="1" applyFill="1" applyBorder="1" applyAlignment="1" applyProtection="1">
      <alignment horizontal="center"/>
      <protection locked="0"/>
    </xf>
    <xf numFmtId="9" fontId="10" fillId="6" borderId="28" xfId="1" applyNumberFormat="1" applyFont="1" applyFill="1" applyBorder="1" applyAlignment="1" applyProtection="1">
      <alignment horizontal="center"/>
    </xf>
    <xf numFmtId="9" fontId="10" fillId="6" borderId="8" xfId="1" applyNumberFormat="1" applyFont="1" applyFill="1" applyBorder="1" applyAlignment="1" applyProtection="1">
      <alignment horizontal="center"/>
    </xf>
    <xf numFmtId="0" fontId="9" fillId="0" borderId="0" xfId="1" applyFont="1" applyFill="1" applyBorder="1" applyProtection="1"/>
    <xf numFmtId="164" fontId="9" fillId="5" borderId="1" xfId="1" applyNumberFormat="1" applyFont="1" applyFill="1" applyBorder="1" applyAlignment="1" applyProtection="1">
      <alignment horizontal="center"/>
      <protection locked="0"/>
    </xf>
    <xf numFmtId="0" fontId="22" fillId="4" borderId="0" xfId="1" applyFont="1" applyFill="1" applyBorder="1" applyAlignment="1" applyProtection="1">
      <alignment horizontal="center"/>
    </xf>
    <xf numFmtId="1" fontId="2" fillId="5" borderId="1" xfId="1" applyNumberFormat="1" applyFont="1" applyFill="1" applyBorder="1" applyAlignment="1" applyProtection="1">
      <alignment horizontal="center" wrapText="1"/>
      <protection locked="0"/>
    </xf>
    <xf numFmtId="1" fontId="2" fillId="0" borderId="1" xfId="1" applyNumberFormat="1" applyFont="1" applyFill="1" applyBorder="1" applyAlignment="1" applyProtection="1">
      <alignment horizontal="center" wrapText="1"/>
    </xf>
    <xf numFmtId="1" fontId="2" fillId="0" borderId="9" xfId="1" applyNumberFormat="1" applyFont="1" applyFill="1" applyBorder="1" applyAlignment="1" applyProtection="1">
      <alignment horizontal="center"/>
    </xf>
    <xf numFmtId="0" fontId="2" fillId="5" borderId="9" xfId="1" applyFont="1" applyFill="1" applyBorder="1" applyAlignment="1" applyProtection="1">
      <alignment horizontal="center" wrapText="1"/>
      <protection locked="0"/>
    </xf>
    <xf numFmtId="1" fontId="2" fillId="0" borderId="1" xfId="1" applyNumberFormat="1" applyFont="1" applyFill="1" applyBorder="1" applyAlignment="1" applyProtection="1">
      <alignment horizontal="center"/>
    </xf>
    <xf numFmtId="0" fontId="2" fillId="5" borderId="1" xfId="1" applyFont="1" applyFill="1" applyBorder="1" applyAlignment="1" applyProtection="1">
      <alignment horizontal="center" wrapText="1"/>
      <protection locked="0"/>
    </xf>
    <xf numFmtId="1" fontId="2" fillId="5" borderId="4" xfId="1" applyNumberFormat="1" applyFont="1" applyFill="1" applyBorder="1" applyAlignment="1" applyProtection="1">
      <alignment horizontal="center" vertical="center" wrapText="1"/>
      <protection locked="0"/>
    </xf>
    <xf numFmtId="1" fontId="2" fillId="5" borderId="1" xfId="1" applyNumberFormat="1" applyFont="1" applyFill="1" applyBorder="1" applyAlignment="1" applyProtection="1">
      <alignment horizontal="center" vertical="center" wrapText="1"/>
      <protection locked="0"/>
    </xf>
    <xf numFmtId="0" fontId="25" fillId="0" borderId="9" xfId="1" applyNumberFormat="1" applyFont="1" applyFill="1" applyBorder="1" applyAlignment="1" applyProtection="1">
      <alignment horizontal="center" vertical="center" wrapText="1"/>
    </xf>
    <xf numFmtId="0" fontId="2" fillId="0" borderId="0" xfId="1" applyFont="1" applyFill="1" applyBorder="1" applyAlignment="1" applyProtection="1">
      <alignment horizontal="left" vertical="center" wrapText="1"/>
    </xf>
    <xf numFmtId="1" fontId="25" fillId="0" borderId="9" xfId="1" applyNumberFormat="1" applyFont="1" applyFill="1" applyBorder="1" applyAlignment="1" applyProtection="1">
      <alignment horizontal="center" vertical="center" wrapText="1"/>
    </xf>
    <xf numFmtId="0" fontId="25" fillId="0" borderId="2" xfId="1" applyFont="1" applyFill="1" applyBorder="1" applyAlignment="1" applyProtection="1">
      <alignment horizontal="left" wrapText="1"/>
    </xf>
    <xf numFmtId="0" fontId="25" fillId="0" borderId="0" xfId="1" applyFont="1" applyFill="1" applyBorder="1" applyAlignment="1" applyProtection="1">
      <alignment horizontal="left" wrapText="1"/>
    </xf>
    <xf numFmtId="1" fontId="25" fillId="0" borderId="1" xfId="1" applyNumberFormat="1" applyFont="1" applyFill="1" applyBorder="1" applyAlignment="1" applyProtection="1">
      <alignment horizontal="center" vertical="center" wrapText="1"/>
    </xf>
    <xf numFmtId="0" fontId="22" fillId="4" borderId="6" xfId="1" applyFont="1" applyFill="1" applyBorder="1" applyAlignment="1" applyProtection="1">
      <alignment horizontal="center" wrapText="1"/>
    </xf>
    <xf numFmtId="164" fontId="2" fillId="0" borderId="9" xfId="1" applyNumberFormat="1" applyFont="1" applyFill="1" applyBorder="1" applyAlignment="1" applyProtection="1">
      <alignment horizontal="center"/>
    </xf>
    <xf numFmtId="164" fontId="2" fillId="5" borderId="9" xfId="1" applyNumberFormat="1" applyFont="1" applyFill="1" applyBorder="1" applyAlignment="1" applyProtection="1">
      <alignment horizontal="center"/>
      <protection locked="0"/>
    </xf>
    <xf numFmtId="1" fontId="2" fillId="0" borderId="9" xfId="1" applyNumberFormat="1" applyFont="1" applyFill="1" applyBorder="1" applyAlignment="1" applyProtection="1">
      <alignment horizontal="center" wrapText="1"/>
    </xf>
    <xf numFmtId="1" fontId="2" fillId="5" borderId="9" xfId="1" applyNumberFormat="1" applyFont="1" applyFill="1" applyBorder="1" applyAlignment="1" applyProtection="1">
      <alignment horizontal="center" wrapText="1"/>
      <protection locked="0"/>
    </xf>
    <xf numFmtId="164" fontId="2" fillId="5" borderId="1" xfId="1" applyNumberFormat="1" applyFont="1" applyFill="1" applyBorder="1" applyAlignment="1" applyProtection="1">
      <alignment horizontal="center"/>
      <protection locked="0"/>
    </xf>
    <xf numFmtId="1" fontId="25" fillId="0" borderId="28" xfId="4" applyNumberFormat="1" applyFont="1" applyFill="1" applyBorder="1" applyAlignment="1" applyProtection="1">
      <alignment horizontal="center" vertical="center"/>
    </xf>
    <xf numFmtId="1" fontId="25" fillId="0" borderId="28" xfId="1" applyNumberFormat="1" applyFont="1" applyFill="1" applyBorder="1" applyAlignment="1" applyProtection="1">
      <alignment horizontal="center" vertical="center"/>
    </xf>
    <xf numFmtId="0" fontId="22" fillId="4" borderId="11" xfId="1" applyFont="1" applyFill="1" applyBorder="1" applyAlignment="1" applyProtection="1">
      <alignment horizontal="center"/>
    </xf>
    <xf numFmtId="0" fontId="2" fillId="0" borderId="13" xfId="1" applyFont="1" applyFill="1" applyBorder="1" applyAlignment="1" applyProtection="1">
      <alignment horizontal="left"/>
    </xf>
    <xf numFmtId="0" fontId="25" fillId="0" borderId="11" xfId="1" applyFont="1" applyFill="1" applyBorder="1" applyAlignment="1" applyProtection="1">
      <alignment horizontal="right" vertical="center" wrapText="1"/>
    </xf>
    <xf numFmtId="1" fontId="25" fillId="0" borderId="28" xfId="1" applyNumberFormat="1" applyFont="1" applyFill="1" applyBorder="1" applyAlignment="1" applyProtection="1">
      <alignment horizontal="center"/>
    </xf>
    <xf numFmtId="0" fontId="25" fillId="0" borderId="12" xfId="1" applyFont="1" applyFill="1" applyBorder="1" applyAlignment="1" applyProtection="1">
      <alignment horizontal="right" vertical="center" wrapText="1"/>
    </xf>
    <xf numFmtId="0" fontId="14" fillId="3" borderId="25" xfId="1" quotePrefix="1" applyFont="1" applyFill="1" applyBorder="1" applyAlignment="1" applyProtection="1">
      <alignment wrapText="1"/>
    </xf>
    <xf numFmtId="0" fontId="14" fillId="3" borderId="26" xfId="1" quotePrefix="1" applyFont="1" applyFill="1" applyBorder="1" applyAlignment="1" applyProtection="1">
      <alignment wrapText="1"/>
    </xf>
    <xf numFmtId="0" fontId="14" fillId="3" borderId="2" xfId="1" quotePrefix="1" applyFont="1" applyFill="1" applyBorder="1" applyAlignment="1" applyProtection="1">
      <alignment wrapText="1"/>
    </xf>
    <xf numFmtId="0" fontId="14" fillId="3" borderId="0" xfId="1" quotePrefix="1" applyFont="1" applyFill="1" applyBorder="1" applyAlignment="1" applyProtection="1">
      <alignment wrapText="1"/>
    </xf>
    <xf numFmtId="0" fontId="9" fillId="0" borderId="0" xfId="1" applyFont="1" applyFill="1" applyBorder="1" applyAlignment="1" applyProtection="1">
      <alignment horizontal="center" shrinkToFit="1"/>
    </xf>
    <xf numFmtId="167" fontId="9" fillId="0" borderId="0" xfId="1" applyNumberFormat="1" applyFont="1" applyFill="1" applyProtection="1"/>
    <xf numFmtId="0" fontId="9" fillId="0" borderId="0" xfId="1" applyFont="1" applyFill="1" applyProtection="1"/>
    <xf numFmtId="1" fontId="9" fillId="0" borderId="0" xfId="1" applyNumberFormat="1" applyFont="1" applyFill="1" applyAlignment="1" applyProtection="1">
      <alignment horizontal="left"/>
    </xf>
    <xf numFmtId="1" fontId="9" fillId="0" borderId="0" xfId="1" applyNumberFormat="1" applyFont="1" applyFill="1" applyBorder="1" applyAlignment="1" applyProtection="1">
      <alignment horizontal="center"/>
    </xf>
    <xf numFmtId="0" fontId="10" fillId="0" borderId="21" xfId="1" applyFont="1" applyFill="1" applyBorder="1" applyAlignment="1" applyProtection="1">
      <alignment horizontal="right" vertical="center" wrapText="1"/>
    </xf>
    <xf numFmtId="173" fontId="0" fillId="0" borderId="0" xfId="0" applyNumberFormat="1"/>
    <xf numFmtId="0" fontId="28" fillId="0" borderId="0" xfId="0" applyFont="1"/>
    <xf numFmtId="0" fontId="0" fillId="0" borderId="1" xfId="0" applyFont="1" applyBorder="1" applyAlignment="1" applyProtection="1"/>
    <xf numFmtId="0" fontId="0" fillId="0" borderId="1" xfId="0" applyFont="1" applyBorder="1" applyAlignment="1" applyProtection="1">
      <alignment horizontal="center"/>
    </xf>
    <xf numFmtId="165" fontId="0" fillId="0" borderId="1" xfId="0" applyNumberFormat="1" applyBorder="1" applyAlignment="1" applyProtection="1">
      <alignment horizontal="center"/>
    </xf>
    <xf numFmtId="0" fontId="0" fillId="0" borderId="1" xfId="0" applyNumberFormat="1" applyFont="1" applyBorder="1" applyAlignment="1" applyProtection="1">
      <alignment horizontal="center"/>
    </xf>
    <xf numFmtId="0" fontId="0" fillId="0" borderId="1" xfId="0" applyBorder="1"/>
    <xf numFmtId="0" fontId="1" fillId="0" borderId="9" xfId="0" applyFont="1" applyBorder="1" applyAlignment="1">
      <alignment horizontal="center" wrapText="1"/>
    </xf>
    <xf numFmtId="0" fontId="1" fillId="0" borderId="9" xfId="0" applyFont="1" applyBorder="1" applyAlignment="1"/>
    <xf numFmtId="0" fontId="1" fillId="0" borderId="4" xfId="0" applyFont="1" applyBorder="1" applyAlignment="1">
      <alignment vertical="center"/>
    </xf>
    <xf numFmtId="1" fontId="0" fillId="0" borderId="1" xfId="0" applyNumberFormat="1" applyFont="1" applyBorder="1" applyAlignment="1" applyProtection="1">
      <alignment horizontal="center"/>
    </xf>
    <xf numFmtId="0" fontId="0" fillId="0" borderId="0" xfId="0" applyBorder="1"/>
    <xf numFmtId="171" fontId="0" fillId="0" borderId="0" xfId="0" applyNumberFormat="1"/>
    <xf numFmtId="173" fontId="0" fillId="0" borderId="1" xfId="0" applyNumberFormat="1" applyBorder="1"/>
    <xf numFmtId="17" fontId="0" fillId="0" borderId="1" xfId="0" applyNumberFormat="1" applyBorder="1"/>
    <xf numFmtId="1" fontId="2" fillId="5" borderId="8" xfId="1" applyNumberFormat="1" applyFont="1" applyFill="1" applyBorder="1" applyAlignment="1" applyProtection="1">
      <alignment horizontal="center" wrapText="1"/>
      <protection locked="0"/>
    </xf>
    <xf numFmtId="1" fontId="2" fillId="0" borderId="8" xfId="1" applyNumberFormat="1" applyFont="1" applyFill="1" applyBorder="1" applyAlignment="1" applyProtection="1">
      <alignment horizontal="center" wrapText="1"/>
    </xf>
    <xf numFmtId="0" fontId="16" fillId="0" borderId="0" xfId="1" applyFont="1" applyBorder="1" applyAlignment="1" applyProtection="1">
      <alignment vertical="center"/>
    </xf>
    <xf numFmtId="0" fontId="21" fillId="4" borderId="7" xfId="1" applyFont="1" applyFill="1" applyBorder="1" applyAlignment="1" applyProtection="1"/>
    <xf numFmtId="1" fontId="2" fillId="0" borderId="8" xfId="1" applyNumberFormat="1" applyFont="1" applyFill="1" applyBorder="1" applyAlignment="1" applyProtection="1">
      <alignment horizontal="center"/>
    </xf>
    <xf numFmtId="0" fontId="2" fillId="5" borderId="8" xfId="1" applyFont="1" applyFill="1" applyBorder="1" applyAlignment="1" applyProtection="1">
      <alignment horizontal="center" wrapText="1"/>
      <protection locked="0"/>
    </xf>
    <xf numFmtId="0" fontId="23" fillId="4" borderId="7" xfId="1" applyFont="1" applyFill="1" applyBorder="1" applyAlignment="1" applyProtection="1"/>
    <xf numFmtId="0" fontId="21" fillId="4" borderId="0" xfId="1" applyFont="1" applyFill="1" applyBorder="1" applyAlignment="1" applyProtection="1"/>
    <xf numFmtId="0" fontId="23" fillId="4" borderId="0" xfId="1" applyFont="1" applyFill="1" applyBorder="1" applyAlignment="1" applyProtection="1"/>
    <xf numFmtId="0" fontId="6" fillId="0" borderId="0" xfId="0" applyFont="1" applyFill="1"/>
    <xf numFmtId="0" fontId="6" fillId="0" borderId="0" xfId="0" applyFont="1" applyFill="1" applyProtection="1">
      <protection locked="0"/>
    </xf>
    <xf numFmtId="0" fontId="30" fillId="7" borderId="25" xfId="0" applyFont="1" applyFill="1" applyBorder="1" applyAlignment="1">
      <alignment vertical="top"/>
    </xf>
    <xf numFmtId="0" fontId="30" fillId="7" borderId="26" xfId="0" applyFont="1" applyFill="1" applyBorder="1" applyAlignment="1">
      <alignment vertical="top"/>
    </xf>
    <xf numFmtId="0" fontId="29" fillId="4" borderId="7" xfId="1" applyFont="1" applyFill="1" applyBorder="1" applyAlignment="1" applyProtection="1"/>
    <xf numFmtId="0" fontId="29" fillId="4" borderId="29" xfId="1" applyFont="1" applyFill="1" applyBorder="1" applyAlignment="1" applyProtection="1"/>
    <xf numFmtId="0" fontId="22" fillId="4" borderId="23" xfId="1" applyFont="1" applyFill="1" applyBorder="1" applyAlignment="1" applyProtection="1">
      <alignment horizontal="center" wrapText="1"/>
    </xf>
    <xf numFmtId="0" fontId="29" fillId="4" borderId="0" xfId="1" applyFont="1" applyFill="1" applyBorder="1" applyAlignment="1" applyProtection="1"/>
    <xf numFmtId="0" fontId="3" fillId="0" borderId="18" xfId="1" applyFont="1" applyBorder="1" applyAlignment="1" applyProtection="1">
      <alignment vertical="center"/>
    </xf>
    <xf numFmtId="164" fontId="2" fillId="0" borderId="1" xfId="1" applyNumberFormat="1" applyFont="1" applyFill="1" applyBorder="1" applyAlignment="1" applyProtection="1">
      <alignment horizontal="center"/>
    </xf>
    <xf numFmtId="0" fontId="31" fillId="0" borderId="0" xfId="1" applyFont="1" applyProtection="1"/>
    <xf numFmtId="0" fontId="31" fillId="0" borderId="0" xfId="1" applyFont="1" applyFill="1" applyProtection="1"/>
    <xf numFmtId="0" fontId="32" fillId="3" borderId="26" xfId="1" quotePrefix="1" applyFont="1" applyFill="1" applyBorder="1" applyAlignment="1" applyProtection="1">
      <alignment vertical="center" wrapText="1"/>
    </xf>
    <xf numFmtId="0" fontId="25" fillId="0" borderId="26" xfId="1" applyFont="1" applyFill="1" applyBorder="1" applyAlignment="1" applyProtection="1">
      <alignment wrapText="1"/>
    </xf>
    <xf numFmtId="1" fontId="25" fillId="0" borderId="0" xfId="1" applyNumberFormat="1" applyFont="1" applyFill="1" applyBorder="1" applyAlignment="1" applyProtection="1">
      <alignment horizontal="left" wrapText="1"/>
    </xf>
    <xf numFmtId="2" fontId="3" fillId="0" borderId="0" xfId="1" applyNumberFormat="1" applyFont="1" applyProtection="1"/>
    <xf numFmtId="164" fontId="3" fillId="0" borderId="0" xfId="1" applyNumberFormat="1" applyFont="1" applyProtection="1"/>
    <xf numFmtId="173" fontId="0" fillId="0" borderId="9" xfId="0" applyNumberFormat="1" applyBorder="1"/>
    <xf numFmtId="0" fontId="0" fillId="0" borderId="1" xfId="0" applyNumberFormat="1" applyBorder="1" applyAlignment="1" applyProtection="1">
      <alignment horizontal="center"/>
    </xf>
    <xf numFmtId="0" fontId="1" fillId="0" borderId="1" xfId="0" applyFont="1" applyBorder="1" applyAlignment="1"/>
    <xf numFmtId="165" fontId="1" fillId="0" borderId="1" xfId="0" applyNumberFormat="1" applyFont="1" applyFill="1" applyBorder="1" applyAlignment="1">
      <alignment horizontal="center" wrapText="1"/>
    </xf>
    <xf numFmtId="0" fontId="0" fillId="0" borderId="0" xfId="0" applyNumberFormat="1" applyBorder="1"/>
    <xf numFmtId="0" fontId="0" fillId="0" borderId="1" xfId="0" applyFont="1" applyBorder="1" applyAlignment="1" applyProtection="1">
      <protection locked="0"/>
    </xf>
    <xf numFmtId="0" fontId="33" fillId="0" borderId="0" xfId="0" applyFont="1" applyBorder="1" applyProtection="1">
      <protection locked="0"/>
    </xf>
    <xf numFmtId="0" fontId="0" fillId="0" borderId="0" xfId="4" applyNumberFormat="1" applyFont="1" applyAlignment="1">
      <alignment horizontal="center"/>
    </xf>
    <xf numFmtId="0" fontId="6" fillId="0" borderId="0" xfId="0" applyFont="1" applyBorder="1" applyAlignment="1">
      <alignment horizontal="center"/>
    </xf>
    <xf numFmtId="0" fontId="2" fillId="5" borderId="28" xfId="1" applyFont="1" applyFill="1" applyBorder="1" applyAlignment="1" applyProtection="1">
      <alignment horizontal="center" wrapText="1"/>
      <protection locked="0"/>
    </xf>
    <xf numFmtId="0" fontId="30" fillId="7" borderId="26" xfId="0" applyFont="1" applyFill="1" applyBorder="1" applyAlignment="1">
      <alignment horizontal="center" vertical="top"/>
    </xf>
    <xf numFmtId="0" fontId="30" fillId="7" borderId="33" xfId="0" applyFont="1" applyFill="1" applyBorder="1" applyAlignment="1">
      <alignment horizontal="center" vertical="top"/>
    </xf>
    <xf numFmtId="173" fontId="33" fillId="0" borderId="0" xfId="0" applyNumberFormat="1" applyFont="1"/>
    <xf numFmtId="0" fontId="33" fillId="0" borderId="0" xfId="0" applyFont="1"/>
    <xf numFmtId="0" fontId="0" fillId="0" borderId="1" xfId="0" applyNumberFormat="1" applyFont="1" applyBorder="1" applyAlignment="1">
      <alignment horizontal="center"/>
    </xf>
    <xf numFmtId="9" fontId="0" fillId="0" borderId="1" xfId="5" applyFont="1" applyBorder="1" applyAlignment="1">
      <alignment horizontal="center"/>
    </xf>
    <xf numFmtId="174" fontId="5" fillId="6" borderId="8" xfId="1" applyNumberFormat="1" applyFont="1" applyFill="1" applyBorder="1" applyAlignment="1" applyProtection="1">
      <alignment horizontal="center"/>
    </xf>
    <xf numFmtId="14" fontId="33" fillId="0" borderId="0" xfId="0" applyNumberFormat="1" applyFont="1"/>
    <xf numFmtId="0" fontId="29" fillId="4" borderId="0" xfId="1" applyFont="1" applyFill="1" applyBorder="1" applyAlignment="1" applyProtection="1">
      <alignment horizontal="left"/>
    </xf>
    <xf numFmtId="0" fontId="18" fillId="0" borderId="0" xfId="0" applyFont="1"/>
    <xf numFmtId="0" fontId="18" fillId="0" borderId="0" xfId="0" applyFont="1" applyBorder="1" applyAlignment="1">
      <alignment horizontal="center" wrapText="1"/>
    </xf>
    <xf numFmtId="0" fontId="22" fillId="4" borderId="6" xfId="1" applyFont="1" applyFill="1" applyBorder="1" applyAlignment="1" applyProtection="1">
      <alignment horizontal="center"/>
    </xf>
    <xf numFmtId="0" fontId="22" fillId="4" borderId="17" xfId="1" applyFont="1" applyFill="1" applyBorder="1" applyAlignment="1" applyProtection="1">
      <alignment horizontal="center"/>
    </xf>
    <xf numFmtId="0" fontId="22" fillId="4" borderId="23" xfId="1" applyFont="1" applyFill="1" applyBorder="1" applyAlignment="1" applyProtection="1">
      <alignment horizontal="center"/>
    </xf>
    <xf numFmtId="0" fontId="24" fillId="4" borderId="6" xfId="1" applyFont="1" applyFill="1" applyBorder="1" applyAlignment="1" applyProtection="1">
      <alignment horizontal="center" wrapText="1"/>
    </xf>
    <xf numFmtId="0" fontId="21" fillId="4" borderId="11" xfId="1" applyFont="1" applyFill="1" applyBorder="1" applyAlignment="1" applyProtection="1">
      <alignment horizontal="center"/>
    </xf>
    <xf numFmtId="0" fontId="22" fillId="4" borderId="30" xfId="1" applyFont="1" applyFill="1" applyBorder="1" applyAlignment="1" applyProtection="1">
      <alignment horizontal="center" wrapText="1"/>
    </xf>
    <xf numFmtId="0" fontId="22" fillId="4" borderId="37" xfId="1" applyFont="1" applyFill="1" applyBorder="1" applyAlignment="1" applyProtection="1">
      <alignment horizontal="center" wrapText="1"/>
    </xf>
    <xf numFmtId="0" fontId="22" fillId="4" borderId="30" xfId="1" applyFont="1" applyFill="1" applyBorder="1" applyAlignment="1" applyProtection="1">
      <alignment horizontal="center"/>
    </xf>
    <xf numFmtId="0" fontId="22" fillId="4" borderId="37" xfId="1" applyFont="1" applyFill="1" applyBorder="1" applyAlignment="1" applyProtection="1">
      <alignment horizontal="center"/>
    </xf>
    <xf numFmtId="1" fontId="2" fillId="5" borderId="38" xfId="1" applyNumberFormat="1" applyFont="1" applyFill="1" applyBorder="1" applyAlignment="1" applyProtection="1">
      <alignment horizontal="center" wrapText="1"/>
      <protection locked="0"/>
    </xf>
    <xf numFmtId="0" fontId="3" fillId="0" borderId="39" xfId="1" applyFont="1" applyBorder="1" applyAlignment="1" applyProtection="1">
      <alignment horizontal="center"/>
    </xf>
    <xf numFmtId="0" fontId="3" fillId="0" borderId="40" xfId="1" applyFont="1" applyBorder="1" applyProtection="1"/>
    <xf numFmtId="0" fontId="3" fillId="0" borderId="40" xfId="1" applyFont="1" applyBorder="1" applyAlignment="1" applyProtection="1">
      <alignment horizontal="center"/>
    </xf>
    <xf numFmtId="0" fontId="3" fillId="0" borderId="41" xfId="1" applyFont="1" applyBorder="1" applyProtection="1"/>
    <xf numFmtId="0" fontId="9" fillId="0" borderId="11" xfId="1" applyFont="1" applyFill="1" applyBorder="1" applyAlignment="1" applyProtection="1">
      <alignment horizontal="right"/>
    </xf>
    <xf numFmtId="0" fontId="12" fillId="0" borderId="10" xfId="1" applyFont="1" applyFill="1" applyBorder="1" applyAlignment="1" applyProtection="1">
      <alignment horizontal="right"/>
    </xf>
    <xf numFmtId="0" fontId="3" fillId="0" borderId="42" xfId="1" applyFont="1" applyBorder="1" applyProtection="1"/>
    <xf numFmtId="0" fontId="3" fillId="0" borderId="24" xfId="1" applyFont="1" applyBorder="1" applyProtection="1"/>
    <xf numFmtId="0" fontId="29" fillId="4" borderId="14" xfId="1" applyFont="1" applyFill="1" applyBorder="1" applyAlignment="1" applyProtection="1"/>
    <xf numFmtId="0" fontId="23" fillId="4" borderId="20" xfId="1" applyFont="1" applyFill="1" applyBorder="1" applyAlignment="1" applyProtection="1"/>
    <xf numFmtId="0" fontId="29" fillId="4" borderId="11" xfId="1" applyFont="1" applyFill="1" applyBorder="1" applyAlignment="1" applyProtection="1">
      <alignment horizontal="left"/>
    </xf>
    <xf numFmtId="0" fontId="23" fillId="4" borderId="10" xfId="1" applyFont="1" applyFill="1" applyBorder="1" applyAlignment="1" applyProtection="1"/>
    <xf numFmtId="0" fontId="24" fillId="4" borderId="12" xfId="1" applyFont="1" applyFill="1" applyBorder="1" applyAlignment="1" applyProtection="1">
      <alignment horizontal="center"/>
    </xf>
    <xf numFmtId="0" fontId="2" fillId="5" borderId="12" xfId="1" applyFont="1" applyFill="1" applyBorder="1" applyAlignment="1" applyProtection="1">
      <alignment horizontal="left"/>
      <protection locked="0"/>
    </xf>
    <xf numFmtId="0" fontId="2" fillId="5" borderId="43" xfId="1" applyFont="1" applyFill="1" applyBorder="1" applyAlignment="1" applyProtection="1">
      <alignment horizontal="left"/>
      <protection locked="0"/>
    </xf>
    <xf numFmtId="0" fontId="2" fillId="5" borderId="44" xfId="1" applyFont="1" applyFill="1" applyBorder="1" applyAlignment="1" applyProtection="1">
      <alignment horizontal="left"/>
      <protection locked="0"/>
    </xf>
    <xf numFmtId="0" fontId="2" fillId="5" borderId="45" xfId="1" applyFont="1" applyFill="1" applyBorder="1" applyAlignment="1" applyProtection="1">
      <alignment horizontal="left"/>
      <protection locked="0"/>
    </xf>
    <xf numFmtId="0" fontId="21" fillId="4" borderId="20" xfId="1" applyFont="1" applyFill="1" applyBorder="1" applyAlignment="1" applyProtection="1"/>
    <xf numFmtId="0" fontId="22" fillId="4" borderId="12" xfId="1" applyFont="1" applyFill="1" applyBorder="1" applyAlignment="1" applyProtection="1">
      <alignment horizontal="center"/>
    </xf>
    <xf numFmtId="0" fontId="2" fillId="5" borderId="19" xfId="1" applyFont="1" applyFill="1" applyBorder="1" applyAlignment="1" applyProtection="1">
      <alignment horizontal="left"/>
      <protection locked="0"/>
    </xf>
    <xf numFmtId="0" fontId="21" fillId="4" borderId="10" xfId="1" applyFont="1" applyFill="1" applyBorder="1" applyAlignment="1" applyProtection="1"/>
    <xf numFmtId="0" fontId="2" fillId="5" borderId="13" xfId="1" applyFont="1" applyFill="1" applyBorder="1" applyAlignment="1" applyProtection="1">
      <alignment horizontal="left" vertical="center" shrinkToFit="1"/>
      <protection locked="0"/>
    </xf>
    <xf numFmtId="20" fontId="2" fillId="5" borderId="13" xfId="1" applyNumberFormat="1" applyFont="1" applyFill="1" applyBorder="1" applyAlignment="1" applyProtection="1">
      <alignment horizontal="left" vertical="center" shrinkToFit="1"/>
      <protection locked="0"/>
    </xf>
    <xf numFmtId="0" fontId="2" fillId="0" borderId="10" xfId="1" applyFont="1" applyFill="1" applyBorder="1" applyAlignment="1" applyProtection="1">
      <alignment horizontal="left" vertical="center" wrapText="1"/>
    </xf>
    <xf numFmtId="0" fontId="25" fillId="0" borderId="10" xfId="1" applyFont="1" applyFill="1" applyBorder="1" applyAlignment="1" applyProtection="1">
      <alignment horizontal="left" wrapText="1"/>
    </xf>
    <xf numFmtId="0" fontId="10" fillId="3" borderId="47" xfId="1" applyFont="1" applyFill="1" applyBorder="1" applyAlignment="1" applyProtection="1">
      <alignment horizontal="right"/>
    </xf>
    <xf numFmtId="0" fontId="22" fillId="4" borderId="42" xfId="1" applyFont="1" applyFill="1" applyBorder="1" applyAlignment="1" applyProtection="1">
      <alignment horizontal="center"/>
    </xf>
    <xf numFmtId="0" fontId="26" fillId="0" borderId="48" xfId="0" applyFont="1" applyFill="1" applyBorder="1" applyAlignment="1" applyProtection="1">
      <alignment horizontal="left"/>
    </xf>
    <xf numFmtId="0" fontId="26" fillId="0" borderId="13" xfId="0" applyFont="1" applyFill="1" applyBorder="1" applyAlignment="1" applyProtection="1">
      <alignment horizontal="left"/>
    </xf>
    <xf numFmtId="0" fontId="32" fillId="3" borderId="27" xfId="1" quotePrefix="1" applyFont="1" applyFill="1" applyBorder="1" applyAlignment="1" applyProtection="1">
      <alignment vertical="center" wrapText="1"/>
    </xf>
    <xf numFmtId="0" fontId="14" fillId="3" borderId="22" xfId="1" quotePrefix="1" applyFont="1" applyFill="1" applyBorder="1" applyAlignment="1" applyProtection="1">
      <alignment wrapText="1"/>
    </xf>
    <xf numFmtId="0" fontId="14" fillId="3" borderId="23" xfId="1" quotePrefix="1" applyFont="1" applyFill="1" applyBorder="1" applyAlignment="1" applyProtection="1">
      <alignment wrapText="1"/>
    </xf>
    <xf numFmtId="0" fontId="22" fillId="4" borderId="0" xfId="1" applyFont="1" applyFill="1" applyBorder="1" applyAlignment="1" applyProtection="1">
      <alignment horizontal="center" wrapText="1"/>
    </xf>
    <xf numFmtId="0" fontId="22" fillId="4" borderId="6" xfId="1" applyFont="1" applyFill="1" applyBorder="1" applyAlignment="1" applyProtection="1">
      <alignment horizontal="center" wrapText="1"/>
    </xf>
    <xf numFmtId="0" fontId="39" fillId="3" borderId="26" xfId="1" quotePrefix="1" applyFont="1" applyFill="1" applyBorder="1" applyAlignment="1" applyProtection="1">
      <alignment wrapText="1"/>
    </xf>
    <xf numFmtId="0" fontId="39" fillId="3" borderId="0" xfId="1" quotePrefix="1" applyFont="1" applyFill="1" applyBorder="1" applyAlignment="1" applyProtection="1">
      <alignment wrapText="1"/>
    </xf>
    <xf numFmtId="0" fontId="39" fillId="3" borderId="23" xfId="1" quotePrefix="1" applyFont="1" applyFill="1" applyBorder="1" applyAlignment="1" applyProtection="1">
      <alignment wrapText="1"/>
    </xf>
    <xf numFmtId="0" fontId="13" fillId="0" borderId="0" xfId="1" applyNumberFormat="1" applyFont="1" applyProtection="1"/>
    <xf numFmtId="0" fontId="13" fillId="0" borderId="0" xfId="1" applyFont="1" applyAlignment="1" applyProtection="1">
      <alignment horizontal="center" vertical="center"/>
    </xf>
    <xf numFmtId="0" fontId="13" fillId="0" borderId="0" xfId="1" applyFont="1" applyAlignment="1" applyProtection="1"/>
    <xf numFmtId="0" fontId="13" fillId="0" borderId="0" xfId="1" applyFont="1" applyAlignment="1" applyProtection="1">
      <alignment horizontal="center"/>
    </xf>
    <xf numFmtId="0" fontId="13" fillId="0" borderId="0" xfId="1" applyFont="1" applyProtection="1"/>
    <xf numFmtId="0" fontId="24" fillId="0" borderId="0" xfId="0" applyFont="1" applyAlignment="1">
      <alignment horizontal="left" vertical="center"/>
    </xf>
    <xf numFmtId="1" fontId="13" fillId="0" borderId="0" xfId="1" applyNumberFormat="1" applyFont="1" applyAlignment="1" applyProtection="1">
      <alignment horizontal="center" vertical="center"/>
    </xf>
    <xf numFmtId="0" fontId="13" fillId="0" borderId="0" xfId="1" applyFont="1" applyFill="1" applyProtection="1"/>
    <xf numFmtId="0" fontId="6" fillId="5" borderId="1" xfId="0" applyFont="1" applyFill="1" applyBorder="1" applyAlignment="1">
      <alignment horizontal="left"/>
    </xf>
    <xf numFmtId="0" fontId="6" fillId="5" borderId="1" xfId="0" applyFont="1" applyFill="1" applyBorder="1" applyAlignment="1" applyProtection="1">
      <alignment horizontal="left"/>
      <protection locked="0"/>
    </xf>
    <xf numFmtId="0" fontId="6" fillId="5" borderId="1" xfId="0" applyFont="1" applyFill="1" applyBorder="1" applyAlignment="1">
      <alignment horizontal="left" vertical="center"/>
    </xf>
    <xf numFmtId="0" fontId="6" fillId="5" borderId="1" xfId="0" applyFont="1" applyFill="1" applyBorder="1" applyAlignment="1" applyProtection="1">
      <alignment horizontal="left" vertical="center"/>
      <protection locked="0"/>
    </xf>
    <xf numFmtId="0" fontId="34" fillId="5" borderId="1" xfId="0" applyFont="1" applyFill="1" applyBorder="1" applyAlignment="1">
      <alignment vertical="center"/>
    </xf>
    <xf numFmtId="0" fontId="6" fillId="5" borderId="1" xfId="0" applyFont="1" applyFill="1" applyBorder="1" applyAlignment="1" applyProtection="1">
      <alignment horizontal="left"/>
    </xf>
    <xf numFmtId="0" fontId="6" fillId="5" borderId="1" xfId="0" applyFont="1" applyFill="1" applyBorder="1" applyAlignment="1" applyProtection="1">
      <alignment horizontal="center"/>
    </xf>
    <xf numFmtId="172" fontId="6" fillId="5" borderId="1" xfId="0" applyNumberFormat="1" applyFont="1" applyFill="1" applyBorder="1" applyAlignment="1" applyProtection="1">
      <alignment horizontal="center"/>
    </xf>
    <xf numFmtId="0" fontId="6" fillId="5" borderId="1" xfId="0" applyFont="1" applyFill="1" applyBorder="1" applyAlignment="1">
      <alignment horizontal="center"/>
    </xf>
    <xf numFmtId="0" fontId="6" fillId="5" borderId="1" xfId="0" applyFont="1" applyFill="1" applyBorder="1" applyAlignment="1" applyProtection="1">
      <alignment horizontal="left" vertical="center"/>
    </xf>
    <xf numFmtId="172" fontId="6" fillId="5" borderId="1" xfId="0" applyNumberFormat="1" applyFont="1" applyFill="1" applyBorder="1" applyAlignment="1" applyProtection="1">
      <alignment horizontal="left" vertical="center"/>
    </xf>
    <xf numFmtId="0" fontId="6" fillId="5" borderId="1" xfId="0" applyFont="1" applyFill="1" applyBorder="1"/>
    <xf numFmtId="0" fontId="1" fillId="0" borderId="1" xfId="0" applyNumberFormat="1" applyFont="1" applyBorder="1" applyAlignment="1">
      <alignment horizontal="center" wrapText="1"/>
    </xf>
    <xf numFmtId="0" fontId="0" fillId="0" borderId="0" xfId="0" applyNumberFormat="1" applyAlignment="1">
      <alignment horizontal="center"/>
    </xf>
    <xf numFmtId="14" fontId="41" fillId="0" borderId="1" xfId="0" applyNumberFormat="1" applyFont="1" applyFill="1" applyBorder="1" applyAlignment="1">
      <alignment horizontal="center" wrapText="1"/>
    </xf>
    <xf numFmtId="0" fontId="41" fillId="0" borderId="1" xfId="0" applyFont="1" applyFill="1" applyBorder="1" applyAlignment="1">
      <alignment horizontal="center" wrapText="1"/>
    </xf>
    <xf numFmtId="164" fontId="41" fillId="0" borderId="1" xfId="0" applyNumberFormat="1" applyFont="1" applyFill="1" applyBorder="1" applyAlignment="1">
      <alignment horizontal="center" wrapText="1"/>
    </xf>
    <xf numFmtId="49" fontId="41" fillId="0" borderId="1" xfId="0" applyNumberFormat="1" applyFont="1" applyFill="1" applyBorder="1" applyAlignment="1">
      <alignment horizontal="center" wrapText="1"/>
    </xf>
    <xf numFmtId="0" fontId="41" fillId="0" borderId="1" xfId="0" applyNumberFormat="1" applyFont="1" applyFill="1" applyBorder="1" applyAlignment="1">
      <alignment horizontal="center" wrapText="1"/>
    </xf>
    <xf numFmtId="169" fontId="41" fillId="0" borderId="0" xfId="0" applyNumberFormat="1" applyFont="1" applyFill="1" applyBorder="1" applyAlignment="1">
      <alignment horizontal="center" wrapText="1"/>
    </xf>
    <xf numFmtId="0" fontId="41" fillId="0" borderId="0" xfId="0" applyFont="1" applyFill="1" applyBorder="1" applyAlignment="1">
      <alignment horizontal="center" wrapText="1"/>
    </xf>
    <xf numFmtId="14" fontId="41" fillId="0" borderId="0" xfId="0" applyNumberFormat="1" applyFont="1" applyFill="1" applyAlignment="1">
      <alignment horizontal="center" vertical="center" wrapText="1"/>
    </xf>
    <xf numFmtId="0" fontId="41" fillId="0" borderId="0" xfId="0" applyFont="1" applyFill="1" applyAlignment="1">
      <alignment horizontal="center" vertical="center" wrapText="1"/>
    </xf>
    <xf numFmtId="9" fontId="41" fillId="0" borderId="0" xfId="5" applyFont="1" applyFill="1" applyAlignment="1">
      <alignment horizontal="center" vertical="center" wrapText="1"/>
    </xf>
    <xf numFmtId="164" fontId="41" fillId="0" borderId="0" xfId="0" applyNumberFormat="1" applyFont="1" applyFill="1" applyAlignment="1">
      <alignment horizontal="center" vertical="center" wrapText="1"/>
    </xf>
    <xf numFmtId="1" fontId="41" fillId="0" borderId="0" xfId="0" applyNumberFormat="1" applyFont="1" applyFill="1" applyAlignment="1">
      <alignment horizontal="center" vertical="center" wrapText="1"/>
    </xf>
    <xf numFmtId="0" fontId="41" fillId="0" borderId="0" xfId="0" applyFont="1" applyFill="1" applyAlignment="1">
      <alignment horizontal="center" wrapText="1"/>
    </xf>
    <xf numFmtId="49" fontId="41" fillId="0" borderId="0" xfId="0" applyNumberFormat="1" applyFont="1" applyFill="1" applyAlignment="1">
      <alignment horizontal="center" wrapText="1"/>
    </xf>
    <xf numFmtId="20" fontId="41" fillId="0" borderId="0" xfId="0" applyNumberFormat="1" applyFont="1" applyFill="1" applyAlignment="1">
      <alignment horizontal="center" vertical="center" wrapText="1"/>
    </xf>
    <xf numFmtId="0" fontId="41" fillId="0" borderId="0" xfId="0" applyNumberFormat="1" applyFont="1" applyFill="1" applyAlignment="1">
      <alignment horizontal="center" vertical="center" wrapText="1"/>
    </xf>
    <xf numFmtId="1" fontId="41" fillId="0" borderId="0" xfId="0" applyNumberFormat="1" applyFont="1" applyFill="1" applyAlignment="1">
      <alignment horizontal="center" wrapText="1"/>
    </xf>
    <xf numFmtId="169" fontId="41" fillId="0" borderId="0" xfId="0" applyNumberFormat="1" applyFont="1" applyFill="1" applyAlignment="1">
      <alignment horizontal="center" vertical="center" wrapText="1"/>
    </xf>
    <xf numFmtId="169" fontId="41" fillId="0" borderId="0" xfId="0" applyNumberFormat="1" applyFont="1" applyFill="1" applyAlignment="1">
      <alignment horizontal="center" wrapText="1"/>
    </xf>
    <xf numFmtId="172" fontId="41" fillId="0" borderId="0" xfId="0" applyNumberFormat="1" applyFont="1" applyFill="1" applyAlignment="1">
      <alignment horizontal="center" vertical="center" wrapText="1"/>
    </xf>
    <xf numFmtId="49" fontId="41" fillId="0" borderId="0" xfId="0" applyNumberFormat="1" applyFont="1" applyFill="1" applyAlignment="1">
      <alignment horizontal="center" vertical="center" wrapText="1"/>
    </xf>
    <xf numFmtId="9" fontId="41" fillId="0" borderId="0" xfId="0" applyNumberFormat="1" applyFont="1" applyFill="1" applyAlignment="1">
      <alignment horizontal="center" vertical="center" wrapText="1"/>
    </xf>
    <xf numFmtId="1" fontId="41" fillId="0" borderId="0" xfId="0" applyNumberFormat="1" applyFont="1" applyFill="1" applyBorder="1" applyAlignment="1">
      <alignment horizontal="center" vertical="center" wrapText="1"/>
    </xf>
    <xf numFmtId="164" fontId="9" fillId="5" borderId="1" xfId="1" applyNumberFormat="1" applyFont="1" applyFill="1" applyBorder="1" applyAlignment="1" applyProtection="1">
      <alignment horizontal="center"/>
    </xf>
    <xf numFmtId="0" fontId="2" fillId="5" borderId="12" xfId="1" applyFont="1" applyFill="1" applyBorder="1" applyAlignment="1" applyProtection="1">
      <alignment horizontal="left"/>
    </xf>
    <xf numFmtId="0" fontId="2" fillId="5" borderId="9" xfId="1" applyFont="1" applyFill="1" applyBorder="1" applyAlignment="1" applyProtection="1">
      <alignment horizontal="center" wrapText="1"/>
    </xf>
    <xf numFmtId="0" fontId="2" fillId="5" borderId="43" xfId="1" applyFont="1" applyFill="1" applyBorder="1" applyAlignment="1" applyProtection="1">
      <alignment horizontal="left"/>
    </xf>
    <xf numFmtId="0" fontId="2" fillId="5" borderId="1" xfId="1" applyFont="1" applyFill="1" applyBorder="1" applyAlignment="1" applyProtection="1">
      <alignment horizontal="center" wrapText="1"/>
    </xf>
    <xf numFmtId="0" fontId="2" fillId="5" borderId="44" xfId="1" applyFont="1" applyFill="1" applyBorder="1" applyAlignment="1" applyProtection="1">
      <alignment horizontal="left"/>
    </xf>
    <xf numFmtId="0" fontId="2" fillId="5" borderId="28" xfId="1" applyFont="1" applyFill="1" applyBorder="1" applyAlignment="1" applyProtection="1">
      <alignment horizontal="center" wrapText="1"/>
    </xf>
    <xf numFmtId="0" fontId="2" fillId="5" borderId="45" xfId="1" applyFont="1" applyFill="1" applyBorder="1" applyAlignment="1" applyProtection="1">
      <alignment horizontal="left"/>
    </xf>
    <xf numFmtId="0" fontId="2" fillId="5" borderId="8" xfId="1" applyFont="1" applyFill="1" applyBorder="1" applyAlignment="1" applyProtection="1">
      <alignment horizontal="center" wrapText="1"/>
    </xf>
    <xf numFmtId="1" fontId="2" fillId="5" borderId="9" xfId="1" applyNumberFormat="1" applyFont="1" applyFill="1" applyBorder="1" applyAlignment="1" applyProtection="1">
      <alignment horizontal="center" wrapText="1"/>
    </xf>
    <xf numFmtId="1" fontId="2" fillId="5" borderId="1" xfId="1" applyNumberFormat="1" applyFont="1" applyFill="1" applyBorder="1" applyAlignment="1" applyProtection="1">
      <alignment horizontal="center" wrapText="1"/>
    </xf>
    <xf numFmtId="0" fontId="2" fillId="5" borderId="19" xfId="1" applyFont="1" applyFill="1" applyBorder="1" applyAlignment="1" applyProtection="1">
      <alignment horizontal="left"/>
    </xf>
    <xf numFmtId="1" fontId="2" fillId="5" borderId="8" xfId="1" applyNumberFormat="1" applyFont="1" applyFill="1" applyBorder="1" applyAlignment="1" applyProtection="1">
      <alignment horizontal="center" wrapText="1"/>
    </xf>
    <xf numFmtId="1" fontId="2" fillId="5" borderId="4" xfId="1" applyNumberFormat="1" applyFont="1" applyFill="1" applyBorder="1" applyAlignment="1" applyProtection="1">
      <alignment horizontal="center" vertical="center" wrapText="1"/>
    </xf>
    <xf numFmtId="1" fontId="2" fillId="5" borderId="1" xfId="1" applyNumberFormat="1" applyFont="1" applyFill="1" applyBorder="1" applyAlignment="1" applyProtection="1">
      <alignment horizontal="center" vertical="center" wrapText="1"/>
    </xf>
    <xf numFmtId="0" fontId="24" fillId="0" borderId="0" xfId="0" applyFont="1" applyAlignment="1" applyProtection="1">
      <alignment horizontal="left" vertical="center"/>
    </xf>
    <xf numFmtId="0" fontId="0" fillId="0" borderId="0" xfId="0" applyNumberFormat="1" applyAlignment="1">
      <alignment horizontal="center" vertical="center" wrapText="1"/>
    </xf>
    <xf numFmtId="0" fontId="2" fillId="5" borderId="13" xfId="1" applyNumberFormat="1" applyFont="1" applyFill="1" applyBorder="1" applyAlignment="1" applyProtection="1">
      <alignment horizontal="left" vertical="center" shrinkToFit="1"/>
    </xf>
    <xf numFmtId="0" fontId="26" fillId="0" borderId="12" xfId="0" applyFont="1" applyFill="1" applyBorder="1" applyAlignment="1" applyProtection="1">
      <alignment horizontal="left"/>
    </xf>
    <xf numFmtId="0" fontId="26" fillId="0" borderId="1" xfId="0" applyFont="1" applyFill="1" applyBorder="1" applyAlignment="1" applyProtection="1">
      <alignment horizontal="center"/>
    </xf>
    <xf numFmtId="0" fontId="26" fillId="5" borderId="1" xfId="0" applyFont="1" applyFill="1" applyBorder="1" applyAlignment="1" applyProtection="1">
      <alignment horizontal="center"/>
    </xf>
    <xf numFmtId="0" fontId="26" fillId="0" borderId="43" xfId="0" applyFont="1" applyFill="1" applyBorder="1" applyAlignment="1" applyProtection="1">
      <alignment horizontal="left"/>
    </xf>
    <xf numFmtId="0" fontId="2" fillId="0" borderId="43" xfId="1" applyFont="1" applyFill="1" applyBorder="1" applyAlignment="1" applyProtection="1">
      <alignment horizontal="left"/>
    </xf>
    <xf numFmtId="1" fontId="2" fillId="0" borderId="43" xfId="1" applyNumberFormat="1" applyFont="1" applyFill="1" applyBorder="1" applyAlignment="1" applyProtection="1">
      <alignment horizontal="left"/>
    </xf>
    <xf numFmtId="0" fontId="2" fillId="0" borderId="1" xfId="1" applyFont="1" applyFill="1" applyBorder="1" applyAlignment="1" applyProtection="1">
      <alignment horizontal="center"/>
    </xf>
    <xf numFmtId="1" fontId="2" fillId="5" borderId="1" xfId="1" applyNumberFormat="1" applyFont="1" applyFill="1" applyBorder="1" applyAlignment="1" applyProtection="1">
      <alignment horizontal="center"/>
    </xf>
    <xf numFmtId="1" fontId="2" fillId="5" borderId="38" xfId="1" applyNumberFormat="1" applyFont="1" applyFill="1" applyBorder="1" applyAlignment="1" applyProtection="1">
      <alignment horizontal="center"/>
    </xf>
    <xf numFmtId="0" fontId="13" fillId="0" borderId="0" xfId="1" applyFont="1" applyFill="1" applyAlignment="1" applyProtection="1">
      <alignment horizontal="center"/>
    </xf>
    <xf numFmtId="167" fontId="13" fillId="0" borderId="0" xfId="1" applyNumberFormat="1" applyFont="1" applyFill="1" applyProtection="1"/>
    <xf numFmtId="1" fontId="13" fillId="0" borderId="0" xfId="1" applyNumberFormat="1" applyFont="1" applyFill="1" applyAlignment="1" applyProtection="1">
      <alignment horizontal="left"/>
    </xf>
    <xf numFmtId="167" fontId="13" fillId="0" borderId="0" xfId="1" applyNumberFormat="1" applyFont="1" applyProtection="1"/>
    <xf numFmtId="1" fontId="13" fillId="0" borderId="0" xfId="1" applyNumberFormat="1" applyFont="1" applyAlignment="1" applyProtection="1">
      <alignment horizontal="left"/>
    </xf>
    <xf numFmtId="164" fontId="26" fillId="0" borderId="1" xfId="0" applyNumberFormat="1" applyFont="1" applyFill="1" applyBorder="1" applyAlignment="1" applyProtection="1">
      <alignment horizontal="center"/>
    </xf>
    <xf numFmtId="164" fontId="26" fillId="5" borderId="1" xfId="0" applyNumberFormat="1" applyFont="1" applyFill="1" applyBorder="1" applyAlignment="1" applyProtection="1">
      <alignment horizontal="center"/>
    </xf>
    <xf numFmtId="164" fontId="0" fillId="0" borderId="0" xfId="0" applyNumberFormat="1" applyBorder="1" applyAlignment="1">
      <alignment horizontal="center" wrapText="1"/>
    </xf>
    <xf numFmtId="9" fontId="0" fillId="0" borderId="1" xfId="0" applyNumberFormat="1" applyBorder="1" applyAlignment="1">
      <alignment horizontal="center" wrapText="1"/>
    </xf>
    <xf numFmtId="9" fontId="0" fillId="0" borderId="0" xfId="0" applyNumberFormat="1" applyAlignment="1">
      <alignment horizontal="center" wrapText="1"/>
    </xf>
    <xf numFmtId="0" fontId="22" fillId="4" borderId="0" xfId="1" applyFont="1" applyFill="1" applyBorder="1" applyAlignment="1" applyProtection="1">
      <alignment horizontal="center" wrapText="1"/>
    </xf>
    <xf numFmtId="0" fontId="22" fillId="4" borderId="6" xfId="1" applyFont="1" applyFill="1" applyBorder="1" applyAlignment="1" applyProtection="1">
      <alignment horizontal="center" wrapText="1"/>
    </xf>
    <xf numFmtId="0" fontId="22" fillId="4" borderId="0" xfId="1" applyFont="1" applyFill="1" applyBorder="1" applyAlignment="1" applyProtection="1">
      <alignment horizontal="center"/>
    </xf>
    <xf numFmtId="0" fontId="22" fillId="4" borderId="6" xfId="1" applyFont="1" applyFill="1" applyBorder="1" applyAlignment="1" applyProtection="1">
      <alignment horizontal="center"/>
    </xf>
    <xf numFmtId="0" fontId="22" fillId="4" borderId="17" xfId="1" applyFont="1" applyFill="1" applyBorder="1" applyAlignment="1" applyProtection="1">
      <alignment horizontal="center"/>
    </xf>
    <xf numFmtId="0" fontId="13" fillId="0" borderId="0" xfId="1" applyFont="1" applyAlignment="1" applyProtection="1"/>
    <xf numFmtId="0" fontId="29" fillId="4" borderId="0" xfId="1" applyFont="1" applyFill="1" applyBorder="1" applyAlignment="1" applyProtection="1">
      <alignment horizontal="left"/>
    </xf>
    <xf numFmtId="0" fontId="29" fillId="4" borderId="11" xfId="1" applyFont="1" applyFill="1" applyBorder="1" applyAlignment="1" applyProtection="1">
      <alignment horizontal="left"/>
    </xf>
    <xf numFmtId="0" fontId="24" fillId="4" borderId="6" xfId="1" applyFont="1" applyFill="1" applyBorder="1" applyAlignment="1" applyProtection="1">
      <alignment horizontal="center" wrapText="1"/>
    </xf>
    <xf numFmtId="1" fontId="6" fillId="5" borderId="1" xfId="0" applyNumberFormat="1" applyFont="1" applyFill="1" applyBorder="1" applyAlignment="1" applyProtection="1">
      <alignment horizontal="center"/>
    </xf>
    <xf numFmtId="0" fontId="3" fillId="0" borderId="0" xfId="1" applyFont="1" applyBorder="1" applyAlignment="1" applyProtection="1">
      <alignment horizontal="right" vertical="center"/>
    </xf>
    <xf numFmtId="0" fontId="21" fillId="4" borderId="7" xfId="1" applyFont="1" applyFill="1" applyBorder="1" applyAlignment="1" applyProtection="1">
      <alignment horizontal="center"/>
    </xf>
    <xf numFmtId="0" fontId="29" fillId="4" borderId="14" xfId="1" applyFont="1" applyFill="1" applyBorder="1" applyAlignment="1" applyProtection="1">
      <alignment horizontal="left"/>
    </xf>
    <xf numFmtId="0" fontId="29" fillId="4" borderId="7" xfId="1" applyFont="1" applyFill="1" applyBorder="1" applyAlignment="1" applyProtection="1">
      <alignment horizontal="left"/>
    </xf>
    <xf numFmtId="0" fontId="37" fillId="4" borderId="0" xfId="1" applyFont="1" applyFill="1" applyBorder="1" applyAlignment="1" applyProtection="1">
      <alignment horizontal="center"/>
    </xf>
    <xf numFmtId="0" fontId="2" fillId="5" borderId="25" xfId="1" applyFont="1" applyFill="1" applyBorder="1" applyAlignment="1" applyProtection="1">
      <alignment horizontal="left"/>
      <protection locked="0"/>
    </xf>
    <xf numFmtId="0" fontId="2" fillId="5" borderId="33" xfId="1" applyFont="1" applyFill="1" applyBorder="1" applyAlignment="1" applyProtection="1">
      <alignment horizontal="left"/>
      <protection locked="0"/>
    </xf>
    <xf numFmtId="0" fontId="2" fillId="5" borderId="34" xfId="1" applyFont="1" applyFill="1" applyBorder="1" applyAlignment="1" applyProtection="1">
      <alignment horizontal="left"/>
      <protection locked="0"/>
    </xf>
    <xf numFmtId="0" fontId="2" fillId="5" borderId="35" xfId="1" applyFont="1" applyFill="1" applyBorder="1" applyAlignment="1" applyProtection="1">
      <alignment horizontal="left"/>
      <protection locked="0"/>
    </xf>
    <xf numFmtId="49" fontId="2" fillId="5" borderId="4" xfId="1" applyNumberFormat="1" applyFont="1" applyFill="1" applyBorder="1" applyAlignment="1" applyProtection="1">
      <alignment horizontal="left" wrapText="1"/>
      <protection locked="0"/>
    </xf>
    <xf numFmtId="49" fontId="2" fillId="5" borderId="3" xfId="1" applyNumberFormat="1" applyFont="1" applyFill="1" applyBorder="1" applyAlignment="1" applyProtection="1">
      <alignment horizontal="left" wrapText="1"/>
      <protection locked="0"/>
    </xf>
    <xf numFmtId="49" fontId="2" fillId="5" borderId="31" xfId="1" applyNumberFormat="1" applyFont="1" applyFill="1" applyBorder="1" applyAlignment="1" applyProtection="1">
      <alignment horizontal="left" wrapText="1"/>
      <protection locked="0"/>
    </xf>
    <xf numFmtId="49" fontId="2" fillId="5" borderId="34" xfId="1" applyNumberFormat="1" applyFont="1" applyFill="1" applyBorder="1" applyAlignment="1" applyProtection="1">
      <alignment horizontal="left" wrapText="1"/>
      <protection locked="0"/>
    </xf>
    <xf numFmtId="49" fontId="2" fillId="5" borderId="36" xfId="1" applyNumberFormat="1" applyFont="1" applyFill="1" applyBorder="1" applyAlignment="1" applyProtection="1">
      <alignment horizontal="left" wrapText="1"/>
      <protection locked="0"/>
    </xf>
    <xf numFmtId="49" fontId="2" fillId="5" borderId="46" xfId="1" applyNumberFormat="1" applyFont="1" applyFill="1" applyBorder="1" applyAlignment="1" applyProtection="1">
      <alignment horizontal="left" wrapText="1"/>
      <protection locked="0"/>
    </xf>
    <xf numFmtId="0" fontId="3" fillId="0" borderId="40" xfId="1" applyFont="1" applyBorder="1" applyAlignment="1" applyProtection="1"/>
    <xf numFmtId="166" fontId="9" fillId="5" borderId="1" xfId="1" applyNumberFormat="1" applyFont="1" applyFill="1" applyBorder="1" applyAlignment="1" applyProtection="1">
      <alignment horizontal="center"/>
      <protection locked="0"/>
    </xf>
    <xf numFmtId="0" fontId="9" fillId="5" borderId="1" xfId="1" applyFont="1" applyFill="1" applyBorder="1" applyAlignment="1" applyProtection="1">
      <alignment horizontal="center" shrinkToFit="1"/>
      <protection locked="0"/>
    </xf>
    <xf numFmtId="0" fontId="3" fillId="0" borderId="23" xfId="1" applyFont="1" applyBorder="1" applyAlignment="1" applyProtection="1"/>
    <xf numFmtId="0" fontId="9" fillId="0" borderId="2" xfId="1" applyFont="1" applyFill="1" applyBorder="1" applyAlignment="1" applyProtection="1">
      <alignment horizontal="right"/>
    </xf>
    <xf numFmtId="0" fontId="9" fillId="0" borderId="0" xfId="1" applyFont="1" applyFill="1" applyBorder="1" applyAlignment="1" applyProtection="1">
      <alignment horizontal="right"/>
    </xf>
    <xf numFmtId="0" fontId="9" fillId="0" borderId="18" xfId="1" applyFont="1" applyFill="1" applyBorder="1" applyAlignment="1" applyProtection="1">
      <alignment horizontal="right"/>
    </xf>
    <xf numFmtId="0" fontId="2" fillId="5" borderId="22" xfId="1" applyFont="1" applyFill="1" applyBorder="1" applyAlignment="1" applyProtection="1">
      <alignment horizontal="left" wrapText="1"/>
      <protection locked="0"/>
    </xf>
    <xf numFmtId="0" fontId="2" fillId="5" borderId="23" xfId="1" applyFont="1" applyFill="1" applyBorder="1" applyAlignment="1" applyProtection="1">
      <alignment horizontal="left" wrapText="1"/>
      <protection locked="0"/>
    </xf>
    <xf numFmtId="0" fontId="2" fillId="5" borderId="24" xfId="1" applyFont="1" applyFill="1" applyBorder="1" applyAlignment="1" applyProtection="1">
      <alignment horizontal="left" wrapText="1"/>
      <protection locked="0"/>
    </xf>
    <xf numFmtId="0" fontId="24" fillId="4" borderId="6" xfId="1" applyFont="1" applyFill="1" applyBorder="1" applyAlignment="1" applyProtection="1">
      <alignment horizontal="center" wrapText="1"/>
    </xf>
    <xf numFmtId="0" fontId="24" fillId="4" borderId="17" xfId="1" applyFont="1" applyFill="1" applyBorder="1" applyAlignment="1" applyProtection="1">
      <alignment horizontal="center" wrapText="1"/>
    </xf>
    <xf numFmtId="0" fontId="29" fillId="4" borderId="0" xfId="1" applyFont="1" applyFill="1" applyBorder="1" applyAlignment="1" applyProtection="1">
      <alignment horizontal="left"/>
    </xf>
    <xf numFmtId="0" fontId="29" fillId="4" borderId="10" xfId="1" applyFont="1" applyFill="1" applyBorder="1" applyAlignment="1" applyProtection="1">
      <alignment horizontal="left"/>
    </xf>
    <xf numFmtId="0" fontId="29" fillId="4" borderId="11" xfId="1" applyFont="1" applyFill="1" applyBorder="1" applyAlignment="1" applyProtection="1">
      <alignment horizontal="left"/>
    </xf>
    <xf numFmtId="49" fontId="2" fillId="5" borderId="30" xfId="1" applyNumberFormat="1" applyFont="1" applyFill="1" applyBorder="1" applyAlignment="1" applyProtection="1">
      <alignment horizontal="left" wrapText="1"/>
      <protection locked="0"/>
    </xf>
    <xf numFmtId="49" fontId="2" fillId="5" borderId="6" xfId="1" applyNumberFormat="1" applyFont="1" applyFill="1" applyBorder="1" applyAlignment="1" applyProtection="1">
      <alignment horizontal="left" wrapText="1"/>
      <protection locked="0"/>
    </xf>
    <xf numFmtId="49" fontId="2" fillId="5" borderId="17" xfId="1" applyNumberFormat="1" applyFont="1" applyFill="1" applyBorder="1" applyAlignment="1" applyProtection="1">
      <alignment horizontal="left" wrapText="1"/>
      <protection locked="0"/>
    </xf>
    <xf numFmtId="0" fontId="2" fillId="5" borderId="2" xfId="1" applyFont="1" applyFill="1" applyBorder="1" applyAlignment="1" applyProtection="1">
      <alignment horizontal="left"/>
      <protection locked="0"/>
    </xf>
    <xf numFmtId="0" fontId="2" fillId="5" borderId="18" xfId="1" applyFont="1" applyFill="1" applyBorder="1" applyAlignment="1" applyProtection="1">
      <alignment horizontal="left"/>
      <protection locked="0"/>
    </xf>
    <xf numFmtId="0" fontId="22" fillId="4" borderId="6" xfId="1" applyFont="1" applyFill="1" applyBorder="1" applyAlignment="1" applyProtection="1">
      <alignment horizontal="center"/>
    </xf>
    <xf numFmtId="0" fontId="2" fillId="5" borderId="30" xfId="1" applyFont="1" applyFill="1" applyBorder="1" applyAlignment="1" applyProtection="1">
      <alignment horizontal="left" wrapText="1"/>
      <protection locked="0"/>
    </xf>
    <xf numFmtId="0" fontId="2" fillId="5" borderId="6" xfId="1" applyFont="1" applyFill="1" applyBorder="1" applyAlignment="1" applyProtection="1">
      <alignment horizontal="left" wrapText="1"/>
      <protection locked="0"/>
    </xf>
    <xf numFmtId="0" fontId="2" fillId="5" borderId="17" xfId="1" applyFont="1" applyFill="1" applyBorder="1" applyAlignment="1" applyProtection="1">
      <alignment horizontal="left" wrapText="1"/>
      <protection locked="0"/>
    </xf>
    <xf numFmtId="9" fontId="27" fillId="6" borderId="32" xfId="1" applyNumberFormat="1" applyFont="1" applyFill="1" applyBorder="1" applyAlignment="1" applyProtection="1">
      <alignment horizontal="center" vertical="center"/>
    </xf>
    <xf numFmtId="0" fontId="13" fillId="0" borderId="0" xfId="1" applyFont="1" applyAlignment="1" applyProtection="1"/>
    <xf numFmtId="0" fontId="11" fillId="2" borderId="14" xfId="1" applyFont="1" applyFill="1" applyBorder="1" applyAlignment="1" applyProtection="1">
      <alignment horizontal="center"/>
    </xf>
    <xf numFmtId="0" fontId="11" fillId="2" borderId="7" xfId="1" applyFont="1" applyFill="1" applyBorder="1" applyAlignment="1" applyProtection="1">
      <alignment horizontal="center"/>
    </xf>
    <xf numFmtId="0" fontId="11" fillId="2" borderId="20" xfId="1" applyFont="1" applyFill="1" applyBorder="1" applyAlignment="1" applyProtection="1">
      <alignment horizontal="center"/>
    </xf>
    <xf numFmtId="0" fontId="11" fillId="2" borderId="12" xfId="1" applyFont="1" applyFill="1" applyBorder="1" applyAlignment="1" applyProtection="1">
      <alignment horizontal="center"/>
    </xf>
    <xf numFmtId="0" fontId="11" fillId="2" borderId="6" xfId="1" applyFont="1" applyFill="1" applyBorder="1" applyAlignment="1" applyProtection="1">
      <alignment horizontal="center"/>
    </xf>
    <xf numFmtId="0" fontId="11" fillId="2" borderId="17" xfId="1" applyFont="1" applyFill="1" applyBorder="1" applyAlignment="1" applyProtection="1">
      <alignment horizontal="center"/>
    </xf>
    <xf numFmtId="0" fontId="2" fillId="5" borderId="4" xfId="1" quotePrefix="1" applyFont="1" applyFill="1" applyBorder="1" applyAlignment="1" applyProtection="1">
      <alignment horizontal="left" vertical="center" wrapText="1"/>
      <protection locked="0"/>
    </xf>
    <xf numFmtId="0" fontId="2" fillId="5" borderId="3" xfId="1" quotePrefix="1" applyFont="1" applyFill="1" applyBorder="1" applyAlignment="1" applyProtection="1">
      <alignment horizontal="left" vertical="center" wrapText="1"/>
      <protection locked="0"/>
    </xf>
    <xf numFmtId="0" fontId="14" fillId="3" borderId="22" xfId="1" quotePrefix="1" applyFont="1" applyFill="1" applyBorder="1" applyAlignment="1" applyProtection="1">
      <alignment horizontal="left" wrapText="1"/>
    </xf>
    <xf numFmtId="0" fontId="14" fillId="3" borderId="23" xfId="1" quotePrefix="1" applyFont="1" applyFill="1" applyBorder="1" applyAlignment="1" applyProtection="1">
      <alignment horizontal="left" wrapText="1"/>
    </xf>
    <xf numFmtId="0" fontId="14" fillId="3" borderId="24" xfId="1" quotePrefix="1" applyFont="1" applyFill="1" applyBorder="1" applyAlignment="1" applyProtection="1">
      <alignment horizontal="left" wrapText="1"/>
    </xf>
    <xf numFmtId="0" fontId="2" fillId="3" borderId="2" xfId="1" quotePrefix="1" applyFont="1" applyFill="1" applyBorder="1" applyAlignment="1" applyProtection="1">
      <alignment horizontal="left" vertical="center" wrapText="1"/>
    </xf>
    <xf numFmtId="0" fontId="2" fillId="3" borderId="0" xfId="1" quotePrefix="1" applyFont="1" applyFill="1" applyBorder="1" applyAlignment="1" applyProtection="1">
      <alignment horizontal="left" vertical="center" wrapText="1"/>
    </xf>
    <xf numFmtId="0" fontId="2" fillId="3" borderId="10" xfId="1" quotePrefix="1" applyFont="1" applyFill="1" applyBorder="1" applyAlignment="1" applyProtection="1">
      <alignment horizontal="left" vertical="center" wrapText="1"/>
    </xf>
    <xf numFmtId="0" fontId="26" fillId="5" borderId="9" xfId="0" applyFont="1" applyFill="1" applyBorder="1" applyAlignment="1" applyProtection="1">
      <alignment horizontal="left" wrapText="1"/>
      <protection locked="0"/>
    </xf>
    <xf numFmtId="0" fontId="26" fillId="5" borderId="49" xfId="0" applyFont="1" applyFill="1" applyBorder="1" applyAlignment="1" applyProtection="1">
      <alignment horizontal="left" wrapText="1"/>
      <protection locked="0"/>
    </xf>
    <xf numFmtId="0" fontId="26" fillId="5" borderId="1" xfId="0" applyFont="1" applyFill="1" applyBorder="1" applyAlignment="1" applyProtection="1">
      <alignment horizontal="left" wrapText="1"/>
      <protection locked="0"/>
    </xf>
    <xf numFmtId="0" fontId="26" fillId="5" borderId="38" xfId="0" applyFont="1" applyFill="1" applyBorder="1" applyAlignment="1" applyProtection="1">
      <alignment horizontal="left" wrapText="1"/>
      <protection locked="0"/>
    </xf>
    <xf numFmtId="0" fontId="2" fillId="5" borderId="5" xfId="1" quotePrefix="1" applyFont="1" applyFill="1" applyBorder="1" applyAlignment="1" applyProtection="1">
      <alignment horizontal="left" vertical="center" wrapText="1"/>
      <protection locked="0"/>
    </xf>
    <xf numFmtId="0" fontId="22" fillId="4" borderId="23" xfId="1" applyFont="1" applyFill="1" applyBorder="1" applyAlignment="1" applyProtection="1">
      <alignment horizontal="center"/>
    </xf>
    <xf numFmtId="0" fontId="22" fillId="4" borderId="24" xfId="1" applyFont="1" applyFill="1" applyBorder="1" applyAlignment="1" applyProtection="1">
      <alignment horizontal="center"/>
    </xf>
    <xf numFmtId="0" fontId="21" fillId="4" borderId="14" xfId="1" applyFont="1" applyFill="1" applyBorder="1" applyAlignment="1" applyProtection="1">
      <alignment horizontal="center"/>
    </xf>
    <xf numFmtId="0" fontId="21" fillId="4" borderId="20" xfId="1" applyFont="1" applyFill="1" applyBorder="1" applyAlignment="1" applyProtection="1">
      <alignment horizontal="center"/>
    </xf>
    <xf numFmtId="0" fontId="38" fillId="4" borderId="7" xfId="1" applyFont="1" applyFill="1" applyBorder="1" applyAlignment="1" applyProtection="1">
      <alignment horizontal="center"/>
    </xf>
    <xf numFmtId="0" fontId="38" fillId="4" borderId="20" xfId="1" applyFont="1" applyFill="1" applyBorder="1" applyAlignment="1" applyProtection="1">
      <alignment horizontal="center"/>
    </xf>
    <xf numFmtId="164" fontId="2" fillId="5" borderId="4" xfId="1" applyNumberFormat="1" applyFont="1" applyFill="1" applyBorder="1" applyAlignment="1" applyProtection="1">
      <alignment horizontal="left" wrapText="1"/>
      <protection locked="0"/>
    </xf>
    <xf numFmtId="164" fontId="2" fillId="5" borderId="3" xfId="1" applyNumberFormat="1" applyFont="1" applyFill="1" applyBorder="1" applyAlignment="1" applyProtection="1">
      <alignment horizontal="left" wrapText="1"/>
      <protection locked="0"/>
    </xf>
    <xf numFmtId="164" fontId="2" fillId="5" borderId="31" xfId="1" applyNumberFormat="1" applyFont="1" applyFill="1" applyBorder="1" applyAlignment="1" applyProtection="1">
      <alignment horizontal="left" wrapText="1"/>
      <protection locked="0"/>
    </xf>
    <xf numFmtId="0" fontId="25" fillId="0" borderId="25" xfId="1" applyFont="1" applyFill="1" applyBorder="1" applyAlignment="1" applyProtection="1">
      <alignment horizontal="left" wrapText="1"/>
    </xf>
    <xf numFmtId="0" fontId="25" fillId="0" borderId="26" xfId="1" applyFont="1" applyFill="1" applyBorder="1" applyAlignment="1" applyProtection="1">
      <alignment horizontal="left" wrapText="1"/>
    </xf>
    <xf numFmtId="0" fontId="39" fillId="3" borderId="26" xfId="1" quotePrefix="1" applyFont="1" applyFill="1" applyBorder="1" applyAlignment="1" applyProtection="1">
      <alignment horizontal="center" wrapText="1"/>
    </xf>
    <xf numFmtId="0" fontId="39" fillId="3" borderId="27" xfId="1" quotePrefix="1" applyFont="1" applyFill="1" applyBorder="1" applyAlignment="1" applyProtection="1">
      <alignment horizontal="center" wrapText="1"/>
    </xf>
    <xf numFmtId="0" fontId="39" fillId="3" borderId="0" xfId="1" quotePrefix="1" applyFont="1" applyFill="1" applyBorder="1" applyAlignment="1" applyProtection="1">
      <alignment horizontal="center" wrapText="1"/>
    </xf>
    <xf numFmtId="0" fontId="39" fillId="3" borderId="10" xfId="1" quotePrefix="1" applyFont="1" applyFill="1" applyBorder="1" applyAlignment="1" applyProtection="1">
      <alignment horizontal="center" wrapText="1"/>
    </xf>
    <xf numFmtId="0" fontId="39" fillId="3" borderId="23" xfId="1" quotePrefix="1" applyFont="1" applyFill="1" applyBorder="1" applyAlignment="1" applyProtection="1">
      <alignment horizontal="center" wrapText="1"/>
    </xf>
    <xf numFmtId="0" fontId="39" fillId="3" borderId="24" xfId="1" quotePrefix="1" applyFont="1" applyFill="1" applyBorder="1" applyAlignment="1" applyProtection="1">
      <alignment horizontal="center" wrapText="1"/>
    </xf>
    <xf numFmtId="0" fontId="40" fillId="8" borderId="26" xfId="1" applyFont="1" applyFill="1" applyBorder="1" applyAlignment="1" applyProtection="1">
      <alignment horizontal="center" wrapText="1"/>
    </xf>
    <xf numFmtId="0" fontId="40" fillId="8" borderId="0" xfId="1" applyFont="1" applyFill="1" applyBorder="1" applyAlignment="1" applyProtection="1">
      <alignment horizontal="center" wrapText="1"/>
    </xf>
    <xf numFmtId="0" fontId="40" fillId="8" borderId="23" xfId="1" applyFont="1" applyFill="1" applyBorder="1" applyAlignment="1" applyProtection="1">
      <alignment horizontal="center" wrapText="1"/>
    </xf>
    <xf numFmtId="0" fontId="37" fillId="0" borderId="0" xfId="1" applyFont="1" applyFill="1" applyBorder="1" applyAlignment="1" applyProtection="1">
      <alignment horizontal="center" wrapText="1"/>
    </xf>
    <xf numFmtId="0" fontId="14" fillId="7" borderId="0" xfId="1" applyFont="1" applyFill="1" applyBorder="1" applyAlignment="1" applyProtection="1">
      <alignment horizontal="left" vertical="center"/>
    </xf>
    <xf numFmtId="0" fontId="3" fillId="5" borderId="4" xfId="1" applyFont="1" applyFill="1" applyBorder="1" applyAlignment="1" applyProtection="1">
      <alignment horizontal="center" vertical="center"/>
      <protection locked="0"/>
    </xf>
    <xf numFmtId="0" fontId="3" fillId="5" borderId="5" xfId="1" applyFont="1" applyFill="1" applyBorder="1" applyAlignment="1" applyProtection="1">
      <alignment horizontal="center" vertical="center"/>
      <protection locked="0"/>
    </xf>
    <xf numFmtId="0" fontId="2" fillId="5" borderId="4" xfId="1" applyFont="1" applyFill="1" applyBorder="1" applyAlignment="1" applyProtection="1">
      <alignment horizontal="left"/>
      <protection locked="0"/>
    </xf>
    <xf numFmtId="0" fontId="2" fillId="5" borderId="5" xfId="1" applyFont="1" applyFill="1" applyBorder="1" applyAlignment="1" applyProtection="1">
      <alignment horizontal="left"/>
      <protection locked="0"/>
    </xf>
    <xf numFmtId="0" fontId="2" fillId="5" borderId="1" xfId="1" applyFont="1" applyFill="1" applyBorder="1" applyAlignment="1" applyProtection="1">
      <alignment horizontal="left"/>
      <protection locked="0"/>
    </xf>
    <xf numFmtId="0" fontId="19" fillId="0" borderId="0" xfId="1" applyFont="1" applyBorder="1" applyAlignment="1" applyProtection="1">
      <alignment horizontal="center" vertical="center"/>
    </xf>
    <xf numFmtId="1" fontId="9" fillId="0" borderId="1" xfId="1" applyNumberFormat="1" applyFont="1" applyFill="1" applyBorder="1" applyAlignment="1" applyProtection="1">
      <alignment horizontal="center"/>
    </xf>
    <xf numFmtId="0" fontId="22" fillId="4" borderId="6" xfId="1" applyFont="1" applyFill="1" applyBorder="1" applyAlignment="1" applyProtection="1"/>
    <xf numFmtId="0" fontId="22" fillId="4" borderId="17" xfId="1" applyFont="1" applyFill="1" applyBorder="1" applyAlignment="1" applyProtection="1"/>
    <xf numFmtId="0" fontId="29" fillId="4" borderId="0" xfId="1" applyFont="1" applyFill="1" applyBorder="1" applyAlignment="1" applyProtection="1">
      <alignment horizontal="center"/>
    </xf>
    <xf numFmtId="0" fontId="22" fillId="4" borderId="0" xfId="1" applyFont="1" applyFill="1" applyBorder="1" applyAlignment="1" applyProtection="1">
      <alignment horizontal="center" wrapText="1"/>
    </xf>
    <xf numFmtId="0" fontId="22" fillId="4" borderId="6" xfId="1" applyFont="1" applyFill="1" applyBorder="1" applyAlignment="1" applyProtection="1">
      <alignment horizontal="center" wrapText="1"/>
    </xf>
    <xf numFmtId="0" fontId="22" fillId="4" borderId="2" xfId="1" applyFont="1" applyFill="1" applyBorder="1" applyAlignment="1" applyProtection="1">
      <alignment horizontal="center"/>
    </xf>
    <xf numFmtId="0" fontId="22" fillId="4" borderId="18" xfId="1" applyFont="1" applyFill="1" applyBorder="1" applyAlignment="1" applyProtection="1">
      <alignment horizontal="center"/>
    </xf>
    <xf numFmtId="0" fontId="22" fillId="4" borderId="0" xfId="1" applyFont="1" applyFill="1" applyBorder="1" applyAlignment="1" applyProtection="1">
      <alignment horizontal="center"/>
    </xf>
    <xf numFmtId="0" fontId="22" fillId="4" borderId="10" xfId="1" applyFont="1" applyFill="1" applyBorder="1" applyAlignment="1" applyProtection="1">
      <alignment horizontal="center"/>
    </xf>
    <xf numFmtId="0" fontId="38" fillId="4" borderId="14" xfId="1" applyFont="1" applyFill="1" applyBorder="1" applyAlignment="1" applyProtection="1">
      <alignment horizontal="left"/>
    </xf>
    <xf numFmtId="0" fontId="38" fillId="4" borderId="7" xfId="1" applyFont="1" applyFill="1" applyBorder="1" applyAlignment="1" applyProtection="1">
      <alignment horizontal="left"/>
    </xf>
    <xf numFmtId="0" fontId="14" fillId="3" borderId="2" xfId="1" quotePrefix="1" applyFont="1" applyFill="1" applyBorder="1" applyAlignment="1" applyProtection="1">
      <alignment horizontal="left" wrapText="1"/>
    </xf>
    <xf numFmtId="0" fontId="14" fillId="3" borderId="0" xfId="1" applyFont="1" applyFill="1" applyBorder="1" applyAlignment="1" applyProtection="1">
      <alignment horizontal="left" wrapText="1"/>
    </xf>
    <xf numFmtId="0" fontId="14" fillId="3" borderId="10" xfId="1" applyFont="1" applyFill="1" applyBorder="1" applyAlignment="1" applyProtection="1">
      <alignment horizontal="left" wrapText="1"/>
    </xf>
    <xf numFmtId="0" fontId="29" fillId="8" borderId="25" xfId="1" quotePrefix="1" applyFont="1" applyFill="1" applyBorder="1" applyAlignment="1" applyProtection="1">
      <alignment horizontal="left" vertical="center" wrapText="1"/>
    </xf>
    <xf numFmtId="0" fontId="29" fillId="8" borderId="26" xfId="1" quotePrefix="1" applyFont="1" applyFill="1" applyBorder="1" applyAlignment="1" applyProtection="1">
      <alignment horizontal="left" vertical="center" wrapText="1"/>
    </xf>
    <xf numFmtId="0" fontId="22" fillId="4" borderId="17" xfId="1" applyFont="1" applyFill="1" applyBorder="1" applyAlignment="1" applyProtection="1">
      <alignment horizontal="center"/>
    </xf>
    <xf numFmtId="0" fontId="3" fillId="0" borderId="0" xfId="1" applyFont="1" applyAlignment="1" applyProtection="1"/>
    <xf numFmtId="0" fontId="26" fillId="5" borderId="9" xfId="0" applyFont="1" applyFill="1" applyBorder="1" applyAlignment="1" applyProtection="1">
      <alignment horizontal="left" wrapText="1"/>
    </xf>
    <xf numFmtId="0" fontId="26" fillId="5" borderId="49" xfId="0" applyFont="1" applyFill="1" applyBorder="1" applyAlignment="1" applyProtection="1">
      <alignment horizontal="left" wrapText="1"/>
    </xf>
    <xf numFmtId="1" fontId="26" fillId="5" borderId="1" xfId="0" applyNumberFormat="1" applyFont="1" applyFill="1" applyBorder="1" applyAlignment="1" applyProtection="1">
      <alignment horizontal="left" wrapText="1"/>
    </xf>
    <xf numFmtId="0" fontId="26" fillId="5" borderId="1" xfId="0" applyFont="1" applyFill="1" applyBorder="1" applyAlignment="1" applyProtection="1">
      <alignment horizontal="left" wrapText="1"/>
    </xf>
    <xf numFmtId="0" fontId="26" fillId="5" borderId="38" xfId="0" applyFont="1" applyFill="1" applyBorder="1" applyAlignment="1" applyProtection="1">
      <alignment horizontal="left" wrapText="1"/>
    </xf>
    <xf numFmtId="0" fontId="2" fillId="5" borderId="4" xfId="1" quotePrefix="1" applyFont="1" applyFill="1" applyBorder="1" applyAlignment="1" applyProtection="1">
      <alignment horizontal="left" vertical="center" wrapText="1"/>
    </xf>
    <xf numFmtId="0" fontId="2" fillId="5" borderId="3" xfId="1" quotePrefix="1" applyFont="1" applyFill="1" applyBorder="1" applyAlignment="1" applyProtection="1">
      <alignment horizontal="left" vertical="center" wrapText="1"/>
    </xf>
    <xf numFmtId="0" fontId="2" fillId="5" borderId="1" xfId="1" applyFont="1" applyFill="1" applyBorder="1" applyAlignment="1" applyProtection="1">
      <alignment horizontal="left"/>
    </xf>
    <xf numFmtId="0" fontId="2" fillId="5" borderId="4" xfId="1" applyNumberFormat="1" applyFont="1" applyFill="1" applyBorder="1" applyAlignment="1" applyProtection="1">
      <alignment horizontal="left" wrapText="1"/>
    </xf>
    <xf numFmtId="0" fontId="2" fillId="5" borderId="3" xfId="1" applyNumberFormat="1" applyFont="1" applyFill="1" applyBorder="1" applyAlignment="1" applyProtection="1">
      <alignment horizontal="left" wrapText="1"/>
    </xf>
    <xf numFmtId="0" fontId="2" fillId="5" borderId="31" xfId="1" applyNumberFormat="1" applyFont="1" applyFill="1" applyBorder="1" applyAlignment="1" applyProtection="1">
      <alignment horizontal="left" wrapText="1"/>
    </xf>
    <xf numFmtId="0" fontId="2" fillId="5" borderId="34" xfId="1" applyFont="1" applyFill="1" applyBorder="1" applyAlignment="1" applyProtection="1">
      <alignment horizontal="left"/>
    </xf>
    <xf numFmtId="0" fontId="2" fillId="5" borderId="35" xfId="1" applyFont="1" applyFill="1" applyBorder="1" applyAlignment="1" applyProtection="1">
      <alignment horizontal="left"/>
    </xf>
    <xf numFmtId="0" fontId="2" fillId="5" borderId="34" xfId="1" applyNumberFormat="1" applyFont="1" applyFill="1" applyBorder="1" applyAlignment="1" applyProtection="1">
      <alignment horizontal="left" wrapText="1"/>
    </xf>
    <xf numFmtId="0" fontId="2" fillId="5" borderId="36" xfId="1" applyNumberFormat="1" applyFont="1" applyFill="1" applyBorder="1" applyAlignment="1" applyProtection="1">
      <alignment horizontal="left" wrapText="1"/>
    </xf>
    <xf numFmtId="0" fontId="2" fillId="5" borderId="46" xfId="1" applyNumberFormat="1" applyFont="1" applyFill="1" applyBorder="1" applyAlignment="1" applyProtection="1">
      <alignment horizontal="left" wrapText="1"/>
    </xf>
    <xf numFmtId="1" fontId="2" fillId="5" borderId="25" xfId="1" applyNumberFormat="1" applyFont="1" applyFill="1" applyBorder="1" applyAlignment="1" applyProtection="1">
      <alignment horizontal="left"/>
    </xf>
    <xf numFmtId="0" fontId="2" fillId="5" borderId="33" xfId="1" applyFont="1" applyFill="1" applyBorder="1" applyAlignment="1" applyProtection="1">
      <alignment horizontal="left"/>
    </xf>
    <xf numFmtId="0" fontId="2" fillId="5" borderId="25" xfId="1" applyFont="1" applyFill="1" applyBorder="1" applyAlignment="1" applyProtection="1">
      <alignment horizontal="left"/>
    </xf>
    <xf numFmtId="1" fontId="2" fillId="5" borderId="2" xfId="1" applyNumberFormat="1" applyFont="1" applyFill="1" applyBorder="1" applyAlignment="1" applyProtection="1">
      <alignment horizontal="left"/>
    </xf>
    <xf numFmtId="0" fontId="2" fillId="5" borderId="18" xfId="1" applyFont="1" applyFill="1" applyBorder="1" applyAlignment="1" applyProtection="1">
      <alignment horizontal="left"/>
    </xf>
    <xf numFmtId="49" fontId="2" fillId="5" borderId="30" xfId="1" applyNumberFormat="1" applyFont="1" applyFill="1" applyBorder="1" applyAlignment="1" applyProtection="1">
      <alignment horizontal="left" wrapText="1"/>
    </xf>
    <xf numFmtId="0" fontId="2" fillId="5" borderId="6" xfId="1" applyNumberFormat="1" applyFont="1" applyFill="1" applyBorder="1" applyAlignment="1" applyProtection="1">
      <alignment horizontal="left" wrapText="1"/>
    </xf>
    <xf numFmtId="0" fontId="2" fillId="5" borderId="17" xfId="1" applyNumberFormat="1" applyFont="1" applyFill="1" applyBorder="1" applyAlignment="1" applyProtection="1">
      <alignment horizontal="left" wrapText="1"/>
    </xf>
    <xf numFmtId="0" fontId="2" fillId="5" borderId="30" xfId="1" applyFont="1" applyFill="1" applyBorder="1" applyAlignment="1" applyProtection="1">
      <alignment horizontal="left" wrapText="1"/>
    </xf>
    <xf numFmtId="0" fontId="2" fillId="5" borderId="6" xfId="1" applyFont="1" applyFill="1" applyBorder="1" applyAlignment="1" applyProtection="1">
      <alignment horizontal="left" wrapText="1"/>
    </xf>
    <xf numFmtId="0" fontId="2" fillId="5" borderId="17" xfId="1" applyFont="1" applyFill="1" applyBorder="1" applyAlignment="1" applyProtection="1">
      <alignment horizontal="left" wrapText="1"/>
    </xf>
    <xf numFmtId="0" fontId="2" fillId="5" borderId="22" xfId="1" applyFont="1" applyFill="1" applyBorder="1" applyAlignment="1" applyProtection="1">
      <alignment horizontal="left" wrapText="1"/>
    </xf>
    <xf numFmtId="0" fontId="2" fillId="5" borderId="23" xfId="1" applyFont="1" applyFill="1" applyBorder="1" applyAlignment="1" applyProtection="1">
      <alignment horizontal="left" wrapText="1"/>
    </xf>
    <xf numFmtId="0" fontId="2" fillId="5" borderId="24" xfId="1" applyFont="1" applyFill="1" applyBorder="1" applyAlignment="1" applyProtection="1">
      <alignment horizontal="left" wrapText="1"/>
    </xf>
    <xf numFmtId="0" fontId="3" fillId="5" borderId="4" xfId="1" applyFont="1" applyFill="1" applyBorder="1" applyAlignment="1" applyProtection="1">
      <alignment horizontal="center" vertical="center"/>
    </xf>
    <xf numFmtId="0" fontId="3" fillId="5" borderId="5" xfId="1" applyFont="1" applyFill="1" applyBorder="1" applyAlignment="1" applyProtection="1">
      <alignment horizontal="center" vertical="center"/>
    </xf>
    <xf numFmtId="166" fontId="9" fillId="5" borderId="1" xfId="1" applyNumberFormat="1" applyFont="1" applyFill="1" applyBorder="1" applyAlignment="1" applyProtection="1">
      <alignment horizontal="center"/>
    </xf>
    <xf numFmtId="0" fontId="9" fillId="5" borderId="1" xfId="1" applyFont="1" applyFill="1" applyBorder="1" applyAlignment="1" applyProtection="1">
      <alignment horizontal="center" shrinkToFit="1"/>
    </xf>
    <xf numFmtId="0" fontId="30" fillId="7" borderId="2" xfId="0" quotePrefix="1" applyFont="1" applyFill="1" applyBorder="1" applyAlignment="1">
      <alignment horizontal="left" vertical="top" wrapText="1"/>
    </xf>
    <xf numFmtId="0" fontId="30" fillId="7" borderId="0" xfId="0" applyFont="1" applyFill="1" applyBorder="1" applyAlignment="1">
      <alignment horizontal="left" vertical="top" wrapText="1"/>
    </xf>
    <xf numFmtId="0" fontId="30" fillId="7" borderId="18" xfId="0" applyFont="1" applyFill="1" applyBorder="1" applyAlignment="1">
      <alignment horizontal="left" vertical="top" wrapText="1"/>
    </xf>
    <xf numFmtId="0" fontId="30" fillId="7" borderId="0" xfId="0" quotePrefix="1" applyFont="1" applyFill="1" applyBorder="1" applyAlignment="1">
      <alignment horizontal="left" vertical="top" wrapText="1"/>
    </xf>
    <xf numFmtId="0" fontId="30" fillId="7" borderId="18" xfId="0" quotePrefix="1" applyFont="1" applyFill="1" applyBorder="1" applyAlignment="1">
      <alignment horizontal="left" vertical="top" wrapText="1"/>
    </xf>
    <xf numFmtId="14" fontId="41" fillId="6" borderId="0" xfId="0" applyNumberFormat="1" applyFont="1" applyFill="1" applyAlignment="1">
      <alignment horizontal="center" vertical="center" wrapText="1"/>
    </xf>
    <xf numFmtId="0" fontId="41" fillId="6" borderId="0" xfId="0" applyFont="1" applyFill="1" applyAlignment="1">
      <alignment horizontal="center" vertical="center" wrapText="1"/>
    </xf>
    <xf numFmtId="9" fontId="41" fillId="6" borderId="0" xfId="5" applyFont="1" applyFill="1" applyAlignment="1">
      <alignment horizontal="center" vertical="center" wrapText="1"/>
    </xf>
    <xf numFmtId="164" fontId="41" fillId="6" borderId="0" xfId="0" applyNumberFormat="1" applyFont="1" applyFill="1" applyAlignment="1">
      <alignment horizontal="center" vertical="center" wrapText="1"/>
    </xf>
    <xf numFmtId="1" fontId="41" fillId="6" borderId="0" xfId="0" applyNumberFormat="1" applyFont="1" applyFill="1" applyAlignment="1">
      <alignment horizontal="center" vertical="center" wrapText="1"/>
    </xf>
  </cellXfs>
  <cellStyles count="6">
    <cellStyle name="Milliers" xfId="4" builtinId="3"/>
    <cellStyle name="Normal" xfId="0" builtinId="0"/>
    <cellStyle name="Normal 2" xfId="1" xr:uid="{00000000-0005-0000-0000-000002000000}"/>
    <cellStyle name="Normal 3" xfId="2" xr:uid="{00000000-0005-0000-0000-000003000000}"/>
    <cellStyle name="Normal 3 2" xfId="3" xr:uid="{00000000-0005-0000-0000-000004000000}"/>
    <cellStyle name="Pourcentage" xfId="5" builtinId="5"/>
  </cellStyles>
  <dxfs count="54">
    <dxf>
      <font>
        <b val="0"/>
        <i val="0"/>
        <strike val="0"/>
        <condense val="0"/>
        <extend val="0"/>
        <outline val="0"/>
        <shadow val="0"/>
        <u val="none"/>
        <vertAlign val="baseline"/>
        <sz val="12"/>
        <color theme="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top style="thin">
          <color indexed="64"/>
        </top>
      </border>
    </dxf>
    <dxf>
      <font>
        <b val="0"/>
        <i val="0"/>
        <strike val="0"/>
        <condense val="0"/>
        <extend val="0"/>
        <outline val="0"/>
        <shadow val="0"/>
        <u val="none"/>
        <vertAlign val="baseline"/>
        <sz val="12"/>
        <color theme="1"/>
        <name val="Arial"/>
        <scheme val="none"/>
      </font>
      <fill>
        <patternFill patternType="solid">
          <fgColor indexed="64"/>
          <bgColor rgb="FFFFFF99"/>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2"/>
        <color theme="1"/>
        <name val="Arial"/>
        <scheme val="none"/>
      </font>
      <fill>
        <patternFill patternType="none">
          <fgColor indexed="64"/>
          <bgColor indexed="65"/>
        </patternFill>
      </fill>
      <alignment horizontal="left" vertical="bottom" textRotation="0" wrapText="1" indent="0" justifyLastLine="0" shrinkToFit="0" readingOrder="0"/>
    </dxf>
    <dxf>
      <font>
        <b/>
        <i/>
        <color rgb="FFFFFF00"/>
      </font>
      <fill>
        <patternFill>
          <bgColor theme="1"/>
        </patternFill>
      </fill>
    </dxf>
    <dxf>
      <font>
        <color rgb="FFFFFF99"/>
      </font>
    </dxf>
    <dxf>
      <font>
        <color theme="0"/>
      </font>
    </dxf>
    <dxf>
      <font>
        <strike val="0"/>
        <color theme="0"/>
      </font>
    </dxf>
    <dxf>
      <font>
        <strike val="0"/>
        <color rgb="FFFFFF99"/>
      </font>
    </dxf>
    <dxf>
      <font>
        <strike val="0"/>
        <color theme="0"/>
      </font>
    </dxf>
    <dxf>
      <font>
        <color rgb="FFFFFF99"/>
      </font>
    </dxf>
    <dxf>
      <font>
        <color rgb="FFFFFF99"/>
      </font>
    </dxf>
    <dxf>
      <fill>
        <patternFill>
          <bgColor theme="1"/>
        </patternFill>
      </fill>
    </dxf>
    <dxf>
      <font>
        <color theme="0"/>
      </font>
    </dxf>
    <dxf>
      <fill>
        <patternFill>
          <bgColor theme="1"/>
        </patternFill>
      </fill>
    </dxf>
    <dxf>
      <fill>
        <patternFill>
          <bgColor theme="1"/>
        </patternFill>
      </fill>
    </dxf>
    <dxf>
      <font>
        <b/>
        <i/>
        <color rgb="FFFFFF00"/>
      </font>
      <fill>
        <patternFill>
          <bgColor theme="1"/>
        </patternFill>
      </fill>
    </dxf>
    <dxf>
      <font>
        <color rgb="FFFF0000"/>
      </font>
      <fill>
        <patternFill patternType="none">
          <bgColor auto="1"/>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rgb="FFFFFF00"/>
      </font>
      <fill>
        <patternFill>
          <bgColor theme="1"/>
        </patternFill>
      </fill>
      <border>
        <left/>
        <right/>
        <top/>
        <bottom/>
      </border>
    </dxf>
    <dxf>
      <font>
        <color rgb="FFFFFF00"/>
      </font>
      <fill>
        <patternFill>
          <bgColor theme="1"/>
        </patternFill>
      </fill>
      <border>
        <left/>
        <right/>
        <top/>
        <bottom/>
      </border>
    </dxf>
    <dxf>
      <font>
        <color rgb="FFFFFF00"/>
      </font>
      <fill>
        <patternFill>
          <bgColor theme="1"/>
        </patternFill>
      </fill>
    </dxf>
    <dxf>
      <font>
        <b/>
        <i/>
        <color rgb="FFFF0000"/>
      </font>
    </dxf>
    <dxf>
      <font>
        <color rgb="FFFF0000"/>
      </font>
      <fill>
        <patternFill patternType="none">
          <bgColor auto="1"/>
        </patternFill>
      </fill>
    </dxf>
    <dxf>
      <font>
        <b/>
        <i/>
        <color rgb="FFFFFF00"/>
      </font>
      <fill>
        <patternFill>
          <bgColor theme="1"/>
        </patternFill>
      </fill>
    </dxf>
    <dxf>
      <fill>
        <patternFill>
          <bgColor theme="1"/>
        </patternFill>
      </fill>
    </dxf>
    <dxf>
      <font>
        <color theme="0"/>
      </font>
    </dxf>
    <dxf>
      <font>
        <color theme="0"/>
      </font>
    </dxf>
    <dxf>
      <font>
        <color theme="0"/>
      </font>
    </dxf>
    <dxf>
      <font>
        <color theme="0"/>
      </font>
    </dxf>
    <dxf>
      <fill>
        <patternFill>
          <bgColor theme="1"/>
        </patternFill>
      </fill>
    </dxf>
    <dxf>
      <fill>
        <patternFill>
          <bgColor theme="1"/>
        </patternFill>
      </fill>
    </dxf>
    <dxf>
      <font>
        <color theme="0"/>
      </font>
    </dxf>
    <dxf>
      <font>
        <color theme="0"/>
      </font>
    </dxf>
    <dxf>
      <font>
        <color theme="0"/>
      </font>
    </dxf>
    <dxf>
      <font>
        <color theme="0"/>
      </font>
    </dxf>
    <dxf>
      <font>
        <color theme="0"/>
      </font>
    </dxf>
    <dxf>
      <font>
        <b/>
        <i/>
        <color rgb="FFFFFF00"/>
      </font>
      <fill>
        <patternFill>
          <bgColor theme="1"/>
        </patternFill>
      </fill>
    </dxf>
    <dxf>
      <font>
        <color rgb="FFFF0000"/>
      </font>
      <fill>
        <patternFill patternType="none">
          <bgColor auto="1"/>
        </patternFill>
      </fill>
    </dxf>
    <dxf>
      <font>
        <color theme="0"/>
      </font>
    </dxf>
    <dxf>
      <font>
        <color theme="0"/>
      </font>
    </dxf>
    <dxf>
      <font>
        <color theme="0"/>
      </font>
    </dxf>
    <dxf>
      <font>
        <color theme="0"/>
      </font>
    </dxf>
    <dxf>
      <font>
        <color theme="0"/>
      </font>
    </dxf>
    <dxf>
      <font>
        <color rgb="FFFFFF00"/>
      </font>
      <fill>
        <patternFill>
          <bgColor theme="1"/>
        </patternFill>
      </fill>
    </dxf>
    <dxf>
      <font>
        <color rgb="FFFFFF00"/>
      </font>
      <fill>
        <patternFill>
          <bgColor theme="1"/>
        </patternFill>
      </fill>
    </dxf>
    <dxf>
      <font>
        <color rgb="FFFFFF00"/>
      </font>
      <fill>
        <patternFill>
          <bgColor theme="1"/>
        </patternFill>
      </fill>
    </dxf>
    <dxf>
      <font>
        <color rgb="FFFFFF00"/>
      </font>
      <fill>
        <patternFill>
          <bgColor theme="1"/>
        </patternFill>
      </fill>
      <border>
        <left/>
        <right/>
        <top/>
        <bottom/>
      </border>
    </dxf>
    <dxf>
      <font>
        <color rgb="FFFFFF00"/>
      </font>
      <fill>
        <patternFill>
          <bgColor theme="1"/>
        </patternFill>
      </fill>
      <border>
        <left/>
        <right/>
        <top/>
        <bottom/>
      </border>
    </dxf>
    <dxf>
      <font>
        <color rgb="FFFFFF00"/>
      </font>
      <fill>
        <patternFill>
          <bgColor theme="1"/>
        </patternFill>
      </fill>
    </dxf>
    <dxf>
      <font>
        <b/>
        <i/>
        <color rgb="FFFF0000"/>
      </font>
    </dxf>
    <dxf>
      <font>
        <color rgb="FFFF0000"/>
      </font>
      <fill>
        <patternFill patternType="none">
          <bgColor auto="1"/>
        </patternFill>
      </fill>
    </dxf>
  </dxfs>
  <tableStyles count="0" defaultTableStyle="TableStyleMedium9" defaultPivotStyle="PivotStyleLight16"/>
  <colors>
    <mruColors>
      <color rgb="FF0066FF"/>
      <color rgb="FFFFFF99"/>
      <color rgb="FFCCFFFF"/>
      <color rgb="FF66FF33"/>
      <color rgb="FF66FFFF"/>
      <color rgb="FF0000FF"/>
      <color rgb="FFFF9966"/>
      <color rgb="FF009900"/>
      <color rgb="FFFF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38642800923075"/>
          <c:y val="0.17340498687664041"/>
          <c:w val="0.8456939395075147"/>
          <c:h val="0.68022283464566913"/>
        </c:manualLayout>
      </c:layout>
      <c:barChart>
        <c:barDir val="col"/>
        <c:grouping val="clustered"/>
        <c:varyColors val="0"/>
        <c:ser>
          <c:idx val="0"/>
          <c:order val="3"/>
          <c:tx>
            <c:v>OLE</c:v>
          </c:tx>
          <c:spPr>
            <a:solidFill>
              <a:srgbClr val="00B0F0"/>
            </a:solidFill>
            <a:ln w="19050">
              <a:solidFill>
                <a:schemeClr val="tx1"/>
              </a:solidFill>
            </a:ln>
          </c:spPr>
          <c:invertIfNegative val="0"/>
          <c:dLbls>
            <c:spPr>
              <a:noFill/>
              <a:ln>
                <a:noFill/>
              </a:ln>
              <a:effectLst/>
            </c:spPr>
            <c:txPr>
              <a:bodyPr rot="-5400000" vert="horz"/>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'Monthly Summary'!$G$27:$G$38</c:f>
              <c:numCache>
                <c:formatCode>mmm\-yy</c:formatCode>
                <c:ptCount val="12"/>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numCache>
            </c:numRef>
          </c:cat>
          <c:val>
            <c:numRef>
              <c:f>'Monthly Summary'!$K$27:$K$38</c:f>
              <c:numCache>
                <c:formatCode>0.0%</c:formatCode>
                <c:ptCount val="12"/>
                <c:pt idx="0">
                  <c:v>#N/A</c:v>
                </c:pt>
                <c:pt idx="1">
                  <c:v>#N/A</c:v>
                </c:pt>
                <c:pt idx="2">
                  <c:v>#N/A</c:v>
                </c:pt>
                <c:pt idx="3">
                  <c:v>#N/A</c:v>
                </c:pt>
                <c:pt idx="4">
                  <c:v>#N/A</c:v>
                </c:pt>
                <c:pt idx="5">
                  <c:v>0.2475165949485478</c:v>
                </c:pt>
                <c:pt idx="6">
                  <c:v>0.22478283299703405</c:v>
                </c:pt>
                <c:pt idx="7">
                  <c:v>0.24581832965109301</c:v>
                </c:pt>
                <c:pt idx="8">
                  <c:v>#N/A</c:v>
                </c:pt>
                <c:pt idx="9">
                  <c:v>#N/A</c:v>
                </c:pt>
                <c:pt idx="10">
                  <c:v>#N/A</c:v>
                </c:pt>
                <c:pt idx="11">
                  <c:v>#N/A</c:v>
                </c:pt>
              </c:numCache>
            </c:numRef>
          </c:val>
          <c:extLst>
            <c:ext xmlns:c16="http://schemas.microsoft.com/office/drawing/2014/chart" uri="{C3380CC4-5D6E-409C-BE32-E72D297353CC}">
              <c16:uniqueId val="{00000000-9CFE-4BDC-9A0A-3688EE7A8A9A}"/>
            </c:ext>
          </c:extLst>
        </c:ser>
        <c:dLbls>
          <c:showLegendKey val="0"/>
          <c:showVal val="0"/>
          <c:showCatName val="0"/>
          <c:showSerName val="0"/>
          <c:showPercent val="0"/>
          <c:showBubbleSize val="0"/>
        </c:dLbls>
        <c:gapWidth val="150"/>
        <c:axId val="164540880"/>
        <c:axId val="310960512"/>
      </c:barChart>
      <c:lineChart>
        <c:grouping val="standard"/>
        <c:varyColors val="0"/>
        <c:ser>
          <c:idx val="1"/>
          <c:order val="0"/>
          <c:tx>
            <c:v>Availability</c:v>
          </c:tx>
          <c:marker>
            <c:symbol val="circle"/>
            <c:size val="5"/>
            <c:spPr>
              <a:solidFill>
                <a:srgbClr val="FF0000"/>
              </a:solidFill>
              <a:ln>
                <a:solidFill>
                  <a:schemeClr val="tx1"/>
                </a:solidFill>
              </a:ln>
            </c:spPr>
          </c:marker>
          <c:cat>
            <c:numRef>
              <c:f>'Monthly Summary'!$G$27:$G$38</c:f>
              <c:numCache>
                <c:formatCode>mmm\-yy</c:formatCode>
                <c:ptCount val="12"/>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numCache>
            </c:numRef>
          </c:cat>
          <c:val>
            <c:numRef>
              <c:f>'Monthly Summary'!$H$27:$H$38</c:f>
              <c:numCache>
                <c:formatCode>0.0%</c:formatCode>
                <c:ptCount val="12"/>
                <c:pt idx="0">
                  <c:v>#N/A</c:v>
                </c:pt>
                <c:pt idx="1">
                  <c:v>#N/A</c:v>
                </c:pt>
                <c:pt idx="2">
                  <c:v>#N/A</c:v>
                </c:pt>
                <c:pt idx="3">
                  <c:v>#N/A</c:v>
                </c:pt>
                <c:pt idx="4">
                  <c:v>#N/A</c:v>
                </c:pt>
                <c:pt idx="5">
                  <c:v>0.74607407407407411</c:v>
                </c:pt>
                <c:pt idx="6">
                  <c:v>0.73305084745762716</c:v>
                </c:pt>
                <c:pt idx="7">
                  <c:v>0.77011494252873558</c:v>
                </c:pt>
                <c:pt idx="8">
                  <c:v>#N/A</c:v>
                </c:pt>
                <c:pt idx="9">
                  <c:v>#N/A</c:v>
                </c:pt>
                <c:pt idx="10">
                  <c:v>#N/A</c:v>
                </c:pt>
                <c:pt idx="11">
                  <c:v>#N/A</c:v>
                </c:pt>
              </c:numCache>
            </c:numRef>
          </c:val>
          <c:smooth val="0"/>
          <c:extLst>
            <c:ext xmlns:c16="http://schemas.microsoft.com/office/drawing/2014/chart" uri="{C3380CC4-5D6E-409C-BE32-E72D297353CC}">
              <c16:uniqueId val="{00000001-9CFE-4BDC-9A0A-3688EE7A8A9A}"/>
            </c:ext>
          </c:extLst>
        </c:ser>
        <c:ser>
          <c:idx val="2"/>
          <c:order val="1"/>
          <c:tx>
            <c:v>Performance</c:v>
          </c:tx>
          <c:spPr>
            <a:ln>
              <a:solidFill>
                <a:srgbClr val="0070C0"/>
              </a:solidFill>
            </a:ln>
          </c:spPr>
          <c:marker>
            <c:symbol val="circle"/>
            <c:size val="5"/>
            <c:spPr>
              <a:solidFill>
                <a:srgbClr val="0070C0"/>
              </a:solidFill>
              <a:ln>
                <a:solidFill>
                  <a:schemeClr val="tx1"/>
                </a:solidFill>
              </a:ln>
            </c:spPr>
          </c:marker>
          <c:cat>
            <c:numRef>
              <c:f>'Monthly Summary'!$G$27:$G$38</c:f>
              <c:numCache>
                <c:formatCode>mmm\-yy</c:formatCode>
                <c:ptCount val="12"/>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numCache>
            </c:numRef>
          </c:cat>
          <c:val>
            <c:numRef>
              <c:f>'Monthly Summary'!$I$27:$I$38</c:f>
              <c:numCache>
                <c:formatCode>0.0%</c:formatCode>
                <c:ptCount val="12"/>
                <c:pt idx="0">
                  <c:v>#N/A</c:v>
                </c:pt>
                <c:pt idx="1">
                  <c:v>#N/A</c:v>
                </c:pt>
                <c:pt idx="2">
                  <c:v>#N/A</c:v>
                </c:pt>
                <c:pt idx="3">
                  <c:v>#N/A</c:v>
                </c:pt>
                <c:pt idx="4">
                  <c:v>#N/A</c:v>
                </c:pt>
                <c:pt idx="5">
                  <c:v>0.33898608281244597</c:v>
                </c:pt>
                <c:pt idx="6">
                  <c:v>0.33322543352601131</c:v>
                </c:pt>
                <c:pt idx="7">
                  <c:v>0.33568851395197941</c:v>
                </c:pt>
                <c:pt idx="8">
                  <c:v>#N/A</c:v>
                </c:pt>
                <c:pt idx="9">
                  <c:v>#N/A</c:v>
                </c:pt>
                <c:pt idx="10">
                  <c:v>#N/A</c:v>
                </c:pt>
                <c:pt idx="11">
                  <c:v>#N/A</c:v>
                </c:pt>
              </c:numCache>
            </c:numRef>
          </c:val>
          <c:smooth val="0"/>
          <c:extLst>
            <c:ext xmlns:c16="http://schemas.microsoft.com/office/drawing/2014/chart" uri="{C3380CC4-5D6E-409C-BE32-E72D297353CC}">
              <c16:uniqueId val="{00000002-9CFE-4BDC-9A0A-3688EE7A8A9A}"/>
            </c:ext>
          </c:extLst>
        </c:ser>
        <c:ser>
          <c:idx val="3"/>
          <c:order val="2"/>
          <c:tx>
            <c:v>Quality</c:v>
          </c:tx>
          <c:spPr>
            <a:ln>
              <a:solidFill>
                <a:srgbClr val="00B050"/>
              </a:solidFill>
            </a:ln>
          </c:spPr>
          <c:marker>
            <c:symbol val="circle"/>
            <c:size val="5"/>
            <c:spPr>
              <a:solidFill>
                <a:srgbClr val="00B050"/>
              </a:solidFill>
              <a:ln>
                <a:solidFill>
                  <a:schemeClr val="tx1"/>
                </a:solidFill>
              </a:ln>
            </c:spPr>
          </c:marker>
          <c:cat>
            <c:numRef>
              <c:f>'Monthly Summary'!$G$27:$G$38</c:f>
              <c:numCache>
                <c:formatCode>mmm\-yy</c:formatCode>
                <c:ptCount val="12"/>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numCache>
            </c:numRef>
          </c:cat>
          <c:val>
            <c:numRef>
              <c:f>'Monthly Summary'!$J$27:$J$38</c:f>
              <c:numCache>
                <c:formatCode>0.0%</c:formatCode>
                <c:ptCount val="12"/>
                <c:pt idx="0">
                  <c:v>#N/A</c:v>
                </c:pt>
                <c:pt idx="1">
                  <c:v>#N/A</c:v>
                </c:pt>
                <c:pt idx="2">
                  <c:v>#N/A</c:v>
                </c:pt>
                <c:pt idx="3">
                  <c:v>#N/A</c:v>
                </c:pt>
                <c:pt idx="4">
                  <c:v>#N/A</c:v>
                </c:pt>
                <c:pt idx="5">
                  <c:v>0.97867953013955888</c:v>
                </c:pt>
                <c:pt idx="6">
                  <c:v>0.92021836988794181</c:v>
                </c:pt>
                <c:pt idx="7">
                  <c:v>0.95087237796510493</c:v>
                </c:pt>
                <c:pt idx="8">
                  <c:v>#N/A</c:v>
                </c:pt>
                <c:pt idx="9">
                  <c:v>#N/A</c:v>
                </c:pt>
                <c:pt idx="10">
                  <c:v>#N/A</c:v>
                </c:pt>
                <c:pt idx="11">
                  <c:v>#N/A</c:v>
                </c:pt>
              </c:numCache>
            </c:numRef>
          </c:val>
          <c:smooth val="0"/>
          <c:extLst>
            <c:ext xmlns:c16="http://schemas.microsoft.com/office/drawing/2014/chart" uri="{C3380CC4-5D6E-409C-BE32-E72D297353CC}">
              <c16:uniqueId val="{00000003-9CFE-4BDC-9A0A-3688EE7A8A9A}"/>
            </c:ext>
          </c:extLst>
        </c:ser>
        <c:dLbls>
          <c:showLegendKey val="0"/>
          <c:showVal val="0"/>
          <c:showCatName val="0"/>
          <c:showSerName val="0"/>
          <c:showPercent val="0"/>
          <c:showBubbleSize val="0"/>
        </c:dLbls>
        <c:marker val="1"/>
        <c:smooth val="0"/>
        <c:axId val="164540880"/>
        <c:axId val="310960512"/>
      </c:lineChart>
      <c:dateAx>
        <c:axId val="164540880"/>
        <c:scaling>
          <c:orientation val="minMax"/>
        </c:scaling>
        <c:delete val="0"/>
        <c:axPos val="b"/>
        <c:numFmt formatCode="mmm\-yy" sourceLinked="1"/>
        <c:majorTickMark val="out"/>
        <c:minorTickMark val="none"/>
        <c:tickLblPos val="nextTo"/>
        <c:txPr>
          <a:bodyPr rot="-5400000" vert="horz"/>
          <a:lstStyle/>
          <a:p>
            <a:pPr>
              <a:defRPr/>
            </a:pPr>
            <a:endParaRPr lang="en-US"/>
          </a:p>
        </c:txPr>
        <c:crossAx val="310960512"/>
        <c:crosses val="autoZero"/>
        <c:auto val="1"/>
        <c:lblOffset val="100"/>
        <c:baseTimeUnit val="months"/>
      </c:dateAx>
      <c:valAx>
        <c:axId val="310960512"/>
        <c:scaling>
          <c:orientation val="minMax"/>
          <c:max val="1.2"/>
        </c:scaling>
        <c:delete val="0"/>
        <c:axPos val="l"/>
        <c:majorGridlines/>
        <c:numFmt formatCode="0.0%" sourceLinked="1"/>
        <c:majorTickMark val="out"/>
        <c:minorTickMark val="none"/>
        <c:tickLblPos val="nextTo"/>
        <c:crossAx val="164540880"/>
        <c:crosses val="autoZero"/>
        <c:crossBetween val="between"/>
      </c:valAx>
      <c:spPr>
        <a:ln w="9525">
          <a:solidFill>
            <a:schemeClr val="tx1"/>
          </a:solidFill>
        </a:ln>
      </c:spPr>
    </c:plotArea>
    <c:legend>
      <c:legendPos val="t"/>
      <c:overlay val="0"/>
      <c:txPr>
        <a:bodyPr/>
        <a:lstStyle/>
        <a:p>
          <a:pPr>
            <a:defRPr sz="1400"/>
          </a:pPr>
          <a:endParaRPr lang="en-US"/>
        </a:p>
      </c:txPr>
    </c:legend>
    <c:plotVisOnly val="1"/>
    <c:dispBlanksAs val="gap"/>
    <c:showDLblsOverMax val="0"/>
  </c:chart>
  <c:spPr>
    <a:ln w="12700">
      <a:solidFill>
        <a:schemeClr val="tx1"/>
      </a:solidFill>
    </a:ln>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8"/>
    </mc:Choice>
    <mc:Fallback>
      <c:style val="28"/>
    </mc:Fallback>
  </mc:AlternateContent>
  <c:chart>
    <c:title>
      <c:tx>
        <c:rich>
          <a:bodyPr/>
          <a:lstStyle/>
          <a:p>
            <a:pPr>
              <a:defRPr/>
            </a:pPr>
            <a:r>
              <a:rPr lang="en-US"/>
              <a:t>Total Unplanned Downtime</a:t>
            </a:r>
          </a:p>
        </c:rich>
      </c:tx>
      <c:layout>
        <c:manualLayout>
          <c:xMode val="edge"/>
          <c:yMode val="edge"/>
          <c:x val="0.24154051443350177"/>
          <c:y val="2.5526139597298776E-3"/>
        </c:manualLayout>
      </c:layout>
      <c:overlay val="0"/>
    </c:title>
    <c:autoTitleDeleted val="0"/>
    <c:plotArea>
      <c:layout>
        <c:manualLayout>
          <c:layoutTarget val="inner"/>
          <c:xMode val="edge"/>
          <c:yMode val="edge"/>
          <c:x val="0.13552599955207426"/>
          <c:y val="0.12812914728186461"/>
          <c:w val="0.76382213334676308"/>
          <c:h val="0.30181808724318182"/>
        </c:manualLayout>
      </c:layout>
      <c:barChart>
        <c:barDir val="col"/>
        <c:grouping val="clustered"/>
        <c:varyColors val="0"/>
        <c:ser>
          <c:idx val="0"/>
          <c:order val="0"/>
          <c:tx>
            <c:strRef>
              <c:f>'Monthly Summary'!$C$26</c:f>
              <c:strCache>
                <c:ptCount val="1"/>
                <c:pt idx="0">
                  <c:v>Total Unplanned Downtime</c:v>
                </c:pt>
              </c:strCache>
            </c:strRef>
          </c:tx>
          <c:spPr>
            <a:solidFill>
              <a:schemeClr val="accent6">
                <a:lumMod val="75000"/>
              </a:schemeClr>
            </a:solidFill>
          </c:spPr>
          <c:invertIfNegative val="0"/>
          <c:cat>
            <c:strRef>
              <c:f>'Monthly Summary'!$B$27:$B$38</c:f>
              <c:strCache>
                <c:ptCount val="12"/>
                <c:pt idx="0">
                  <c:v>Bottle_Labeler_(Other)</c:v>
                </c:pt>
                <c:pt idx="1">
                  <c:v>Bottle_Printer_(Equipment)</c:v>
                </c:pt>
                <c:pt idx="2">
                  <c:v>Waiting_For_Product</c:v>
                </c:pt>
                <c:pt idx="3">
                  <c:v>Filler/Capper_(Equipment)</c:v>
                </c:pt>
                <c:pt idx="4">
                  <c:v>Filler/Capper_(Other)</c:v>
                </c:pt>
                <c:pt idx="5">
                  <c:v>Other_(Operating_Discipline)</c:v>
                </c:pt>
                <c:pt idx="6">
                  <c:v>Packaging issues</c:v>
                </c:pt>
                <c:pt idx="7">
                  <c:v>Waiting_For_Packaging_Raw_Materials</c:v>
                </c:pt>
                <c:pt idx="8">
                  <c:v>Weigh Scale(Equip.Failure)</c:v>
                </c:pt>
                <c:pt idx="9">
                  <c:v>Case_Erector_(Other)</c:v>
                </c:pt>
                <c:pt idx="10">
                  <c:v>Bottle_Printer_(Other)</c:v>
                </c:pt>
                <c:pt idx="11">
                  <c:v>Changeover</c:v>
                </c:pt>
              </c:strCache>
            </c:strRef>
          </c:cat>
          <c:val>
            <c:numRef>
              <c:f>'Monthly Summary'!$C$27:$C$38</c:f>
              <c:numCache>
                <c:formatCode>General</c:formatCode>
                <c:ptCount val="12"/>
                <c:pt idx="0">
                  <c:v>980</c:v>
                </c:pt>
                <c:pt idx="1">
                  <c:v>370</c:v>
                </c:pt>
                <c:pt idx="2">
                  <c:v>234</c:v>
                </c:pt>
                <c:pt idx="3">
                  <c:v>210</c:v>
                </c:pt>
                <c:pt idx="4">
                  <c:v>125</c:v>
                </c:pt>
                <c:pt idx="5">
                  <c:v>105</c:v>
                </c:pt>
                <c:pt idx="6">
                  <c:v>95</c:v>
                </c:pt>
                <c:pt idx="7">
                  <c:v>45</c:v>
                </c:pt>
                <c:pt idx="8">
                  <c:v>30</c:v>
                </c:pt>
                <c:pt idx="9">
                  <c:v>20</c:v>
                </c:pt>
                <c:pt idx="10">
                  <c:v>15</c:v>
                </c:pt>
                <c:pt idx="11">
                  <c:v>0</c:v>
                </c:pt>
              </c:numCache>
            </c:numRef>
          </c:val>
          <c:extLst>
            <c:ext xmlns:c16="http://schemas.microsoft.com/office/drawing/2014/chart" uri="{C3380CC4-5D6E-409C-BE32-E72D297353CC}">
              <c16:uniqueId val="{00000000-0398-4E74-A870-646C0B1EBD59}"/>
            </c:ext>
          </c:extLst>
        </c:ser>
        <c:dLbls>
          <c:showLegendKey val="0"/>
          <c:showVal val="0"/>
          <c:showCatName val="0"/>
          <c:showSerName val="0"/>
          <c:showPercent val="0"/>
          <c:showBubbleSize val="0"/>
        </c:dLbls>
        <c:gapWidth val="92"/>
        <c:overlap val="-19"/>
        <c:axId val="310961296"/>
        <c:axId val="310961688"/>
      </c:barChart>
      <c:scatterChart>
        <c:scatterStyle val="lineMarker"/>
        <c:varyColors val="0"/>
        <c:ser>
          <c:idx val="1"/>
          <c:order val="1"/>
          <c:tx>
            <c:v>Frequency</c:v>
          </c:tx>
          <c:spPr>
            <a:ln w="66675">
              <a:noFill/>
            </a:ln>
          </c:spPr>
          <c:marker>
            <c:symbol val="dash"/>
            <c:size val="10"/>
            <c:spPr>
              <a:solidFill>
                <a:schemeClr val="tx1"/>
              </a:solidFill>
              <a:ln>
                <a:noFill/>
              </a:ln>
            </c:spPr>
          </c:marker>
          <c:xVal>
            <c:strRef>
              <c:f>'Monthly Summary'!$B$27:$B$39</c:f>
              <c:strCache>
                <c:ptCount val="13"/>
                <c:pt idx="0">
                  <c:v>Bottle_Labeler_(Other)</c:v>
                </c:pt>
                <c:pt idx="1">
                  <c:v>Bottle_Printer_(Equipment)</c:v>
                </c:pt>
                <c:pt idx="2">
                  <c:v>Waiting_For_Product</c:v>
                </c:pt>
                <c:pt idx="3">
                  <c:v>Filler/Capper_(Equipment)</c:v>
                </c:pt>
                <c:pt idx="4">
                  <c:v>Filler/Capper_(Other)</c:v>
                </c:pt>
                <c:pt idx="5">
                  <c:v>Other_(Operating_Discipline)</c:v>
                </c:pt>
                <c:pt idx="6">
                  <c:v>Packaging issues</c:v>
                </c:pt>
                <c:pt idx="7">
                  <c:v>Waiting_For_Packaging_Raw_Materials</c:v>
                </c:pt>
                <c:pt idx="8">
                  <c:v>Weigh Scale(Equip.Failure)</c:v>
                </c:pt>
                <c:pt idx="9">
                  <c:v>Case_Erector_(Other)</c:v>
                </c:pt>
                <c:pt idx="10">
                  <c:v>Bottle_Printer_(Other)</c:v>
                </c:pt>
                <c:pt idx="11">
                  <c:v>Changeover</c:v>
                </c:pt>
                <c:pt idx="12">
                  <c:v>Case_Erector_(Equipment)</c:v>
                </c:pt>
              </c:strCache>
            </c:strRef>
          </c:xVal>
          <c:yVal>
            <c:numRef>
              <c:f>'Monthly Summary'!$D$27:$D$38</c:f>
              <c:numCache>
                <c:formatCode>General</c:formatCode>
                <c:ptCount val="12"/>
                <c:pt idx="0">
                  <c:v>26</c:v>
                </c:pt>
                <c:pt idx="1">
                  <c:v>4</c:v>
                </c:pt>
                <c:pt idx="2">
                  <c:v>4</c:v>
                </c:pt>
                <c:pt idx="3">
                  <c:v>2</c:v>
                </c:pt>
                <c:pt idx="4">
                  <c:v>5</c:v>
                </c:pt>
                <c:pt idx="5">
                  <c:v>3</c:v>
                </c:pt>
                <c:pt idx="6">
                  <c:v>1</c:v>
                </c:pt>
                <c:pt idx="7">
                  <c:v>2</c:v>
                </c:pt>
                <c:pt idx="8">
                  <c:v>2</c:v>
                </c:pt>
                <c:pt idx="9">
                  <c:v>1</c:v>
                </c:pt>
                <c:pt idx="10">
                  <c:v>1</c:v>
                </c:pt>
                <c:pt idx="11">
                  <c:v>0</c:v>
                </c:pt>
              </c:numCache>
            </c:numRef>
          </c:yVal>
          <c:smooth val="0"/>
          <c:extLst>
            <c:ext xmlns:c16="http://schemas.microsoft.com/office/drawing/2014/chart" uri="{C3380CC4-5D6E-409C-BE32-E72D297353CC}">
              <c16:uniqueId val="{00000001-0398-4E74-A870-646C0B1EBD59}"/>
            </c:ext>
          </c:extLst>
        </c:ser>
        <c:dLbls>
          <c:showLegendKey val="0"/>
          <c:showVal val="0"/>
          <c:showCatName val="0"/>
          <c:showSerName val="0"/>
          <c:showPercent val="0"/>
          <c:showBubbleSize val="0"/>
        </c:dLbls>
        <c:axId val="310962472"/>
        <c:axId val="310962080"/>
      </c:scatterChart>
      <c:catAx>
        <c:axId val="310961296"/>
        <c:scaling>
          <c:orientation val="minMax"/>
        </c:scaling>
        <c:delete val="0"/>
        <c:axPos val="b"/>
        <c:numFmt formatCode="General" sourceLinked="1"/>
        <c:majorTickMark val="out"/>
        <c:minorTickMark val="none"/>
        <c:tickLblPos val="low"/>
        <c:txPr>
          <a:bodyPr rot="-5400000" vert="horz"/>
          <a:lstStyle/>
          <a:p>
            <a:pPr>
              <a:defRPr/>
            </a:pPr>
            <a:endParaRPr lang="en-US"/>
          </a:p>
        </c:txPr>
        <c:crossAx val="310961688"/>
        <c:crosses val="autoZero"/>
        <c:auto val="1"/>
        <c:lblAlgn val="ctr"/>
        <c:lblOffset val="100"/>
        <c:tickLblSkip val="1"/>
        <c:noMultiLvlLbl val="0"/>
      </c:catAx>
      <c:valAx>
        <c:axId val="310961688"/>
        <c:scaling>
          <c:orientation val="minMax"/>
        </c:scaling>
        <c:delete val="0"/>
        <c:axPos val="l"/>
        <c:majorGridlines/>
        <c:title>
          <c:tx>
            <c:rich>
              <a:bodyPr rot="-5400000" vert="horz"/>
              <a:lstStyle/>
              <a:p>
                <a:pPr>
                  <a:defRPr sz="1100"/>
                </a:pPr>
                <a:r>
                  <a:rPr lang="en-US" sz="1100"/>
                  <a:t>Minutes</a:t>
                </a:r>
              </a:p>
            </c:rich>
          </c:tx>
          <c:layout>
            <c:manualLayout>
              <c:xMode val="edge"/>
              <c:yMode val="edge"/>
              <c:x val="9.182150639720419E-3"/>
              <c:y val="0.20884786869380514"/>
            </c:manualLayout>
          </c:layout>
          <c:overlay val="0"/>
        </c:title>
        <c:numFmt formatCode="General" sourceLinked="1"/>
        <c:majorTickMark val="out"/>
        <c:minorTickMark val="none"/>
        <c:tickLblPos val="nextTo"/>
        <c:crossAx val="310961296"/>
        <c:crosses val="autoZero"/>
        <c:crossBetween val="between"/>
      </c:valAx>
      <c:valAx>
        <c:axId val="310962080"/>
        <c:scaling>
          <c:orientation val="minMax"/>
        </c:scaling>
        <c:delete val="0"/>
        <c:axPos val="r"/>
        <c:title>
          <c:tx>
            <c:rich>
              <a:bodyPr rot="-5400000" vert="horz"/>
              <a:lstStyle/>
              <a:p>
                <a:pPr>
                  <a:defRPr sz="1100"/>
                </a:pPr>
                <a:r>
                  <a:rPr lang="en-US" sz="1100"/>
                  <a:t>Occurrences</a:t>
                </a:r>
              </a:p>
            </c:rich>
          </c:tx>
          <c:overlay val="0"/>
        </c:title>
        <c:numFmt formatCode="General" sourceLinked="1"/>
        <c:majorTickMark val="out"/>
        <c:minorTickMark val="none"/>
        <c:tickLblPos val="nextTo"/>
        <c:crossAx val="310962472"/>
        <c:crosses val="max"/>
        <c:crossBetween val="midCat"/>
      </c:valAx>
      <c:valAx>
        <c:axId val="310962472"/>
        <c:scaling>
          <c:orientation val="minMax"/>
        </c:scaling>
        <c:delete val="1"/>
        <c:axPos val="t"/>
        <c:numFmt formatCode="General" sourceLinked="1"/>
        <c:majorTickMark val="out"/>
        <c:minorTickMark val="none"/>
        <c:tickLblPos val="none"/>
        <c:crossAx val="310962080"/>
        <c:crosses val="max"/>
        <c:crossBetween val="midCat"/>
      </c:valAx>
    </c:plotArea>
    <c:legend>
      <c:legendPos val="b"/>
      <c:layout>
        <c:manualLayout>
          <c:xMode val="edge"/>
          <c:yMode val="edge"/>
          <c:x val="0.21290889555302539"/>
          <c:y val="0.92031611563641869"/>
          <c:w val="0.58820832731957384"/>
          <c:h val="5.8471753028753529E-2"/>
        </c:manualLayout>
      </c:layout>
      <c:overlay val="0"/>
      <c:spPr>
        <a:ln w="12700">
          <a:solidFill>
            <a:schemeClr val="tx1"/>
          </a:solidFill>
        </a:ln>
      </c:spPr>
      <c:txPr>
        <a:bodyPr/>
        <a:lstStyle/>
        <a:p>
          <a:pPr>
            <a:defRPr sz="1100"/>
          </a:pPr>
          <a:endParaRPr lang="en-US"/>
        </a:p>
      </c:txPr>
    </c:legend>
    <c:plotVisOnly val="1"/>
    <c:dispBlanksAs val="gap"/>
    <c:showDLblsOverMax val="0"/>
  </c:chart>
  <c:spPr>
    <a:ln w="12700">
      <a:solidFill>
        <a:schemeClr val="tx1"/>
      </a:solidFill>
    </a:ln>
  </c:spPr>
  <c:printSettings>
    <c:headerFooter/>
    <c:pageMargins b="0.75000000000000677" l="0.70000000000000062" r="0.70000000000000062" t="0.75000000000000677"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8"/>
    </mc:Choice>
    <mc:Fallback>
      <c:style val="28"/>
    </mc:Fallback>
  </mc:AlternateContent>
  <c:chart>
    <c:title>
      <c:tx>
        <c:rich>
          <a:bodyPr/>
          <a:lstStyle/>
          <a:p>
            <a:pPr>
              <a:defRPr/>
            </a:pPr>
            <a:r>
              <a:rPr lang="en-US"/>
              <a:t>Total Unplanned Downtime</a:t>
            </a:r>
          </a:p>
        </c:rich>
      </c:tx>
      <c:layout>
        <c:manualLayout>
          <c:xMode val="edge"/>
          <c:yMode val="edge"/>
          <c:x val="0.24154051443350177"/>
          <c:y val="2.5526139597298776E-3"/>
        </c:manualLayout>
      </c:layout>
      <c:overlay val="0"/>
    </c:title>
    <c:autoTitleDeleted val="0"/>
    <c:plotArea>
      <c:layout>
        <c:manualLayout>
          <c:layoutTarget val="inner"/>
          <c:xMode val="edge"/>
          <c:yMode val="edge"/>
          <c:x val="0.13552599955207426"/>
          <c:y val="0.15812921686573067"/>
          <c:w val="0.76382213334676308"/>
          <c:h val="0.64181818468146179"/>
        </c:manualLayout>
      </c:layout>
      <c:barChart>
        <c:barDir val="col"/>
        <c:grouping val="clustered"/>
        <c:varyColors val="0"/>
        <c:ser>
          <c:idx val="0"/>
          <c:order val="0"/>
          <c:tx>
            <c:strRef>
              <c:f>'Monthly Summary'!$M$27</c:f>
              <c:strCache>
                <c:ptCount val="1"/>
                <c:pt idx="0">
                  <c:v>Bottle_Labeler_(Other)</c:v>
                </c:pt>
              </c:strCache>
            </c:strRef>
          </c:tx>
          <c:spPr>
            <a:solidFill>
              <a:schemeClr val="accent6">
                <a:lumMod val="75000"/>
              </a:schemeClr>
            </a:solidFill>
          </c:spPr>
          <c:invertIfNegative val="0"/>
          <c:cat>
            <c:numRef>
              <c:f>'Monthly Summary'!$N$27:$N$38</c:f>
              <c:numCache>
                <c:formatCode>mmm\-yyyy</c:formatCode>
                <c:ptCount val="12"/>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numCache>
            </c:numRef>
          </c:cat>
          <c:val>
            <c:numRef>
              <c:f>'Monthly Summary'!$O$27:$O$38</c:f>
              <c:numCache>
                <c:formatCode>General</c:formatCode>
                <c:ptCount val="12"/>
                <c:pt idx="0">
                  <c:v>0</c:v>
                </c:pt>
                <c:pt idx="1">
                  <c:v>0</c:v>
                </c:pt>
                <c:pt idx="2">
                  <c:v>0</c:v>
                </c:pt>
                <c:pt idx="3">
                  <c:v>0</c:v>
                </c:pt>
                <c:pt idx="4">
                  <c:v>0</c:v>
                </c:pt>
                <c:pt idx="5">
                  <c:v>850</c:v>
                </c:pt>
                <c:pt idx="6">
                  <c:v>80</c:v>
                </c:pt>
                <c:pt idx="7">
                  <c:v>50</c:v>
                </c:pt>
                <c:pt idx="8">
                  <c:v>0</c:v>
                </c:pt>
                <c:pt idx="9">
                  <c:v>0</c:v>
                </c:pt>
                <c:pt idx="10">
                  <c:v>0</c:v>
                </c:pt>
                <c:pt idx="11">
                  <c:v>0</c:v>
                </c:pt>
              </c:numCache>
            </c:numRef>
          </c:val>
          <c:extLst>
            <c:ext xmlns:c16="http://schemas.microsoft.com/office/drawing/2014/chart" uri="{C3380CC4-5D6E-409C-BE32-E72D297353CC}">
              <c16:uniqueId val="{00000000-E135-4D7E-8BE6-451413717EF2}"/>
            </c:ext>
          </c:extLst>
        </c:ser>
        <c:dLbls>
          <c:showLegendKey val="0"/>
          <c:showVal val="0"/>
          <c:showCatName val="0"/>
          <c:showSerName val="0"/>
          <c:showPercent val="0"/>
          <c:showBubbleSize val="0"/>
        </c:dLbls>
        <c:gapWidth val="92"/>
        <c:overlap val="-19"/>
        <c:axId val="310963256"/>
        <c:axId val="310963648"/>
      </c:barChart>
      <c:scatterChart>
        <c:scatterStyle val="lineMarker"/>
        <c:varyColors val="0"/>
        <c:ser>
          <c:idx val="1"/>
          <c:order val="1"/>
          <c:tx>
            <c:v>Frequency</c:v>
          </c:tx>
          <c:spPr>
            <a:ln w="66675">
              <a:noFill/>
            </a:ln>
          </c:spPr>
          <c:marker>
            <c:symbol val="dash"/>
            <c:size val="10"/>
            <c:spPr>
              <a:solidFill>
                <a:schemeClr val="tx1"/>
              </a:solidFill>
              <a:ln>
                <a:noFill/>
              </a:ln>
            </c:spPr>
          </c:marker>
          <c:xVal>
            <c:numRef>
              <c:f>'Monthly Summary'!$N$27:$N$38</c:f>
              <c:numCache>
                <c:formatCode>mmm\-yyyy</c:formatCode>
                <c:ptCount val="12"/>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numCache>
            </c:numRef>
          </c:xVal>
          <c:yVal>
            <c:numRef>
              <c:f>'Monthly Summary'!$P$27:$P$38</c:f>
              <c:numCache>
                <c:formatCode>General</c:formatCode>
                <c:ptCount val="12"/>
                <c:pt idx="0">
                  <c:v>0</c:v>
                </c:pt>
                <c:pt idx="1">
                  <c:v>0</c:v>
                </c:pt>
                <c:pt idx="2">
                  <c:v>0</c:v>
                </c:pt>
                <c:pt idx="3">
                  <c:v>0</c:v>
                </c:pt>
                <c:pt idx="4">
                  <c:v>0</c:v>
                </c:pt>
                <c:pt idx="5">
                  <c:v>20</c:v>
                </c:pt>
                <c:pt idx="6">
                  <c:v>4</c:v>
                </c:pt>
                <c:pt idx="7">
                  <c:v>2</c:v>
                </c:pt>
                <c:pt idx="8">
                  <c:v>0</c:v>
                </c:pt>
                <c:pt idx="9">
                  <c:v>0</c:v>
                </c:pt>
                <c:pt idx="10">
                  <c:v>0</c:v>
                </c:pt>
                <c:pt idx="11">
                  <c:v>0</c:v>
                </c:pt>
              </c:numCache>
            </c:numRef>
          </c:yVal>
          <c:smooth val="0"/>
          <c:extLst>
            <c:ext xmlns:c16="http://schemas.microsoft.com/office/drawing/2014/chart" uri="{C3380CC4-5D6E-409C-BE32-E72D297353CC}">
              <c16:uniqueId val="{00000001-E135-4D7E-8BE6-451413717EF2}"/>
            </c:ext>
          </c:extLst>
        </c:ser>
        <c:dLbls>
          <c:showLegendKey val="0"/>
          <c:showVal val="0"/>
          <c:showCatName val="0"/>
          <c:showSerName val="0"/>
          <c:showPercent val="0"/>
          <c:showBubbleSize val="0"/>
        </c:dLbls>
        <c:axId val="311777080"/>
        <c:axId val="310964040"/>
      </c:scatterChart>
      <c:dateAx>
        <c:axId val="310963256"/>
        <c:scaling>
          <c:orientation val="minMax"/>
        </c:scaling>
        <c:delete val="0"/>
        <c:axPos val="b"/>
        <c:numFmt formatCode="mmm\-yyyy" sourceLinked="1"/>
        <c:majorTickMark val="out"/>
        <c:minorTickMark val="none"/>
        <c:tickLblPos val="low"/>
        <c:txPr>
          <a:bodyPr rot="-5400000" vert="horz"/>
          <a:lstStyle/>
          <a:p>
            <a:pPr>
              <a:defRPr/>
            </a:pPr>
            <a:endParaRPr lang="en-US"/>
          </a:p>
        </c:txPr>
        <c:crossAx val="310963648"/>
        <c:crosses val="autoZero"/>
        <c:auto val="1"/>
        <c:lblOffset val="100"/>
        <c:baseTimeUnit val="months"/>
        <c:majorUnit val="1"/>
      </c:dateAx>
      <c:valAx>
        <c:axId val="310963648"/>
        <c:scaling>
          <c:orientation val="minMax"/>
        </c:scaling>
        <c:delete val="0"/>
        <c:axPos val="l"/>
        <c:majorGridlines/>
        <c:title>
          <c:tx>
            <c:rich>
              <a:bodyPr rot="-5400000" vert="horz"/>
              <a:lstStyle/>
              <a:p>
                <a:pPr>
                  <a:defRPr sz="1100"/>
                </a:pPr>
                <a:r>
                  <a:rPr lang="en-US" sz="1100"/>
                  <a:t>Minutes</a:t>
                </a:r>
              </a:p>
            </c:rich>
          </c:tx>
          <c:layout>
            <c:manualLayout>
              <c:xMode val="edge"/>
              <c:yMode val="edge"/>
              <c:x val="1.1897728669863321E-2"/>
              <c:y val="0.40884798364723557"/>
            </c:manualLayout>
          </c:layout>
          <c:overlay val="0"/>
        </c:title>
        <c:numFmt formatCode="General" sourceLinked="1"/>
        <c:majorTickMark val="out"/>
        <c:minorTickMark val="none"/>
        <c:tickLblPos val="nextTo"/>
        <c:crossAx val="310963256"/>
        <c:crosses val="autoZero"/>
        <c:crossBetween val="between"/>
      </c:valAx>
      <c:valAx>
        <c:axId val="310964040"/>
        <c:scaling>
          <c:orientation val="minMax"/>
        </c:scaling>
        <c:delete val="0"/>
        <c:axPos val="r"/>
        <c:title>
          <c:tx>
            <c:rich>
              <a:bodyPr rot="-5400000" vert="horz"/>
              <a:lstStyle/>
              <a:p>
                <a:pPr>
                  <a:defRPr sz="1100"/>
                </a:pPr>
                <a:r>
                  <a:rPr lang="en-US" sz="1100"/>
                  <a:t>Occurrences</a:t>
                </a:r>
              </a:p>
            </c:rich>
          </c:tx>
          <c:overlay val="0"/>
        </c:title>
        <c:numFmt formatCode="General" sourceLinked="1"/>
        <c:majorTickMark val="out"/>
        <c:minorTickMark val="none"/>
        <c:tickLblPos val="nextTo"/>
        <c:crossAx val="311777080"/>
        <c:crosses val="max"/>
        <c:crossBetween val="midCat"/>
      </c:valAx>
      <c:valAx>
        <c:axId val="311777080"/>
        <c:scaling>
          <c:orientation val="minMax"/>
        </c:scaling>
        <c:delete val="1"/>
        <c:axPos val="t"/>
        <c:numFmt formatCode="mmm\-yyyy" sourceLinked="1"/>
        <c:majorTickMark val="out"/>
        <c:minorTickMark val="none"/>
        <c:tickLblPos val="none"/>
        <c:crossAx val="310964040"/>
        <c:crosses val="max"/>
        <c:crossBetween val="midCat"/>
      </c:valAx>
    </c:plotArea>
    <c:plotVisOnly val="1"/>
    <c:dispBlanksAs val="gap"/>
    <c:showDLblsOverMax val="0"/>
  </c:chart>
  <c:spPr>
    <a:ln w="12700">
      <a:solidFill>
        <a:schemeClr val="tx1"/>
      </a:solidFill>
    </a:ln>
  </c:spPr>
  <c:printSettings>
    <c:headerFooter/>
    <c:pageMargins b="0.75000000000000677" l="0.70000000000000062" r="0.70000000000000062" t="0.750000000000006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80" dropStyle="combo" dx="16" fmlaLink="$M$28" fmlaRange="Unplanned" noThreeD="1" sel="3" val="0"/>
</file>

<file path=xl/ctrlProps/ctrlProp7.xml><?xml version="1.0" encoding="utf-8"?>
<formControlPr xmlns="http://schemas.microsoft.com/office/spreadsheetml/2009/9/main" objectType="Drop" dropLines="80" dropStyle="combo" dx="16" fmlaLink="$G$25" fmlaRange="'Setup Sheet'!$S$8:$S$9" noThreeD="1"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1568450</xdr:colOff>
          <xdr:row>0</xdr:row>
          <xdr:rowOff>107950</xdr:rowOff>
        </xdr:from>
        <xdr:to>
          <xdr:col>1</xdr:col>
          <xdr:colOff>2273300</xdr:colOff>
          <xdr:row>2</xdr:row>
          <xdr:rowOff>38100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Reset Form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0</xdr:row>
          <xdr:rowOff>107950</xdr:rowOff>
        </xdr:from>
        <xdr:to>
          <xdr:col>1</xdr:col>
          <xdr:colOff>1511300</xdr:colOff>
          <xdr:row>2</xdr:row>
          <xdr:rowOff>38100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Log Data</a:t>
              </a:r>
            </a:p>
          </xdr:txBody>
        </xdr:sp>
        <xdr:clientData/>
      </xdr:twoCellAnchor>
    </mc:Choice>
    <mc:Fallback/>
  </mc:AlternateContent>
  <xdr:twoCellAnchor>
    <xdr:from>
      <xdr:col>3</xdr:col>
      <xdr:colOff>108584</xdr:colOff>
      <xdr:row>67</xdr:row>
      <xdr:rowOff>28574</xdr:rowOff>
    </xdr:from>
    <xdr:to>
      <xdr:col>5</xdr:col>
      <xdr:colOff>497443</xdr:colOff>
      <xdr:row>69</xdr:row>
      <xdr:rowOff>291465</xdr:rowOff>
    </xdr:to>
    <xdr:pic>
      <xdr:nvPicPr>
        <xdr:cNvPr id="4" name="Picture 1">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1637"/>
        <a:stretch/>
      </xdr:blipFill>
      <xdr:spPr bwMode="auto">
        <a:xfrm>
          <a:off x="3870959" y="14068424"/>
          <a:ext cx="2217659" cy="6629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absoluteAnchor>
    <xdr:pos x="171450" y="333375"/>
    <xdr:ext cx="4669175" cy="3810000"/>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editAs="absolute">
    <xdr:from>
      <xdr:col>5</xdr:col>
      <xdr:colOff>46990</xdr:colOff>
      <xdr:row>1</xdr:row>
      <xdr:rowOff>59055</xdr:rowOff>
    </xdr:from>
    <xdr:to>
      <xdr:col>10</xdr:col>
      <xdr:colOff>859155</xdr:colOff>
      <xdr:row>22</xdr:row>
      <xdr:rowOff>16349</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11</xdr:col>
      <xdr:colOff>114300</xdr:colOff>
      <xdr:row>1</xdr:row>
      <xdr:rowOff>59055</xdr:rowOff>
    </xdr:from>
    <xdr:to>
      <xdr:col>16</xdr:col>
      <xdr:colOff>228600</xdr:colOff>
      <xdr:row>22</xdr:row>
      <xdr:rowOff>16349</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xdr:col>
          <xdr:colOff>654050</xdr:colOff>
          <xdr:row>25</xdr:row>
          <xdr:rowOff>101600</xdr:rowOff>
        </xdr:from>
        <xdr:to>
          <xdr:col>1</xdr:col>
          <xdr:colOff>1187450</xdr:colOff>
          <xdr:row>25</xdr:row>
          <xdr:rowOff>330200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1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654050</xdr:colOff>
          <xdr:row>25</xdr:row>
          <xdr:rowOff>101600</xdr:rowOff>
        </xdr:from>
        <xdr:to>
          <xdr:col>1</xdr:col>
          <xdr:colOff>1187450</xdr:colOff>
          <xdr:row>25</xdr:row>
          <xdr:rowOff>330200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100-000002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654050</xdr:colOff>
          <xdr:row>25</xdr:row>
          <xdr:rowOff>101600</xdr:rowOff>
        </xdr:from>
        <xdr:to>
          <xdr:col>1</xdr:col>
          <xdr:colOff>1187450</xdr:colOff>
          <xdr:row>25</xdr:row>
          <xdr:rowOff>330200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100-000003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977900</xdr:colOff>
          <xdr:row>3</xdr:row>
          <xdr:rowOff>114300</xdr:rowOff>
        </xdr:from>
        <xdr:to>
          <xdr:col>14</xdr:col>
          <xdr:colOff>698500</xdr:colOff>
          <xdr:row>4</xdr:row>
          <xdr:rowOff>158750</xdr:rowOff>
        </xdr:to>
        <xdr:sp macro="" textlink="">
          <xdr:nvSpPr>
            <xdr:cNvPr id="41995" name="Drop Down 11" hidden="1">
              <a:extLst>
                <a:ext uri="{63B3BB69-23CF-44E3-9099-C40C66FF867C}">
                  <a14:compatExt spid="_x0000_s41995"/>
                </a:ext>
                <a:ext uri="{FF2B5EF4-FFF2-40B4-BE49-F238E27FC236}">
                  <a16:creationId xmlns:a16="http://schemas.microsoft.com/office/drawing/2014/main" id="{00000000-0008-0000-0100-00000B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xdr:row>
          <xdr:rowOff>177800</xdr:rowOff>
        </xdr:from>
        <xdr:to>
          <xdr:col>3</xdr:col>
          <xdr:colOff>177800</xdr:colOff>
          <xdr:row>5</xdr:row>
          <xdr:rowOff>31750</xdr:rowOff>
        </xdr:to>
        <xdr:sp macro="" textlink="">
          <xdr:nvSpPr>
            <xdr:cNvPr id="41996" name="Drop Down 12" hidden="1">
              <a:extLst>
                <a:ext uri="{63B3BB69-23CF-44E3-9099-C40C66FF867C}">
                  <a14:compatExt spid="_x0000_s41996"/>
                </a:ext>
                <a:ext uri="{FF2B5EF4-FFF2-40B4-BE49-F238E27FC236}">
                  <a16:creationId xmlns:a16="http://schemas.microsoft.com/office/drawing/2014/main" id="{00000000-0008-0000-0100-00000C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0.49554</cdr:x>
      <cdr:y>0.05868</cdr:y>
    </cdr:from>
    <cdr:to>
      <cdr:x>0.56996</cdr:x>
      <cdr:y>0.11551</cdr:y>
    </cdr:to>
    <cdr:sp macro="" textlink="'Monthly Summary'!$C$25">
      <cdr:nvSpPr>
        <cdr:cNvPr id="2" name="TextBox 1"/>
        <cdr:cNvSpPr txBox="1"/>
      </cdr:nvSpPr>
      <cdr:spPr>
        <a:xfrm xmlns:a="http://schemas.openxmlformats.org/drawingml/2006/main">
          <a:off x="2420583" y="223571"/>
          <a:ext cx="363522" cy="21652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0FBC2A7-9C94-4989-B350-F3A0523E3E80}" type="TxLink">
            <a:rPr lang="en-US" sz="1100" b="0" i="0" u="none" strike="noStrike">
              <a:solidFill>
                <a:srgbClr val="000000"/>
              </a:solidFill>
              <a:latin typeface="Calibri"/>
              <a:cs typeface="Calibri"/>
            </a:rPr>
            <a:pPr/>
            <a:t>7/1/2021</a:t>
          </a:fld>
          <a:endParaRPr lang="en-US" sz="1200"/>
        </a:p>
      </cdr:txBody>
    </cdr:sp>
  </cdr:relSizeAnchor>
  <cdr:relSizeAnchor xmlns:cdr="http://schemas.openxmlformats.org/drawingml/2006/chartDrawing">
    <cdr:from>
      <cdr:x>0.34731</cdr:x>
      <cdr:y>0.05868</cdr:y>
    </cdr:from>
    <cdr:to>
      <cdr:x>0.42174</cdr:x>
      <cdr:y>0.11551</cdr:y>
    </cdr:to>
    <cdr:sp macro="" textlink="'Monthly Summary'!$C$24">
      <cdr:nvSpPr>
        <cdr:cNvPr id="3" name="TextBox 1"/>
        <cdr:cNvSpPr txBox="1"/>
      </cdr:nvSpPr>
      <cdr:spPr>
        <a:xfrm xmlns:a="http://schemas.openxmlformats.org/drawingml/2006/main">
          <a:off x="1624275" y="223571"/>
          <a:ext cx="348093" cy="21652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67925725-2792-47C2-B1C5-15C75E02937F}" type="TxLink">
            <a:rPr lang="en-US" sz="1100" b="0" i="0" u="none" strike="noStrike">
              <a:solidFill>
                <a:srgbClr val="000000"/>
              </a:solidFill>
              <a:latin typeface="Calibri"/>
              <a:cs typeface="Calibri"/>
            </a:rPr>
            <a:pPr/>
            <a:t>4/1/2021</a:t>
          </a:fld>
          <a:endParaRPr lang="en-US" sz="2000"/>
        </a:p>
      </cdr:txBody>
    </cdr:sp>
  </cdr:relSizeAnchor>
  <cdr:relSizeAnchor xmlns:cdr="http://schemas.openxmlformats.org/drawingml/2006/chartDrawing">
    <cdr:from>
      <cdr:x>0.47153</cdr:x>
      <cdr:y>0.04907</cdr:y>
    </cdr:from>
    <cdr:to>
      <cdr:x>0.56472</cdr:x>
      <cdr:y>0.21838</cdr:y>
    </cdr:to>
    <cdr:sp macro="" textlink="">
      <cdr:nvSpPr>
        <cdr:cNvPr id="4" name="TextBox 3"/>
        <cdr:cNvSpPr txBox="1"/>
      </cdr:nvSpPr>
      <cdr:spPr>
        <a:xfrm xmlns:a="http://schemas.openxmlformats.org/drawingml/2006/main">
          <a:off x="2205255" y="186957"/>
          <a:ext cx="435829" cy="64507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108584</xdr:colOff>
      <xdr:row>67</xdr:row>
      <xdr:rowOff>28574</xdr:rowOff>
    </xdr:from>
    <xdr:to>
      <xdr:col>5</xdr:col>
      <xdr:colOff>497443</xdr:colOff>
      <xdr:row>69</xdr:row>
      <xdr:rowOff>291465</xdr:rowOff>
    </xdr:to>
    <xdr:pic>
      <xdr:nvPicPr>
        <xdr:cNvPr id="4" name="Picture 1">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1637"/>
        <a:stretch/>
      </xdr:blipFill>
      <xdr:spPr bwMode="auto">
        <a:xfrm>
          <a:off x="3865244" y="14049374"/>
          <a:ext cx="2217659" cy="659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0</xdr:row>
          <xdr:rowOff>158750</xdr:rowOff>
        </xdr:from>
        <xdr:to>
          <xdr:col>1</xdr:col>
          <xdr:colOff>812800</xdr:colOff>
          <xdr:row>0</xdr:row>
          <xdr:rowOff>882650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0300-000002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To Recall Form, select row of desired shift and press button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2</xdr:row>
          <xdr:rowOff>158750</xdr:rowOff>
        </xdr:from>
        <xdr:to>
          <xdr:col>1</xdr:col>
          <xdr:colOff>812800</xdr:colOff>
          <xdr:row>2</xdr:row>
          <xdr:rowOff>882650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700-000001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To Recall Form, select row of desired shift and press button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14" displayName="Table14" ref="A7:A165" totalsRowShown="0" headerRowDxfId="3" dataDxfId="2" tableBorderDxfId="1">
  <autoFilter ref="A7:A165" xr:uid="{00000000-0009-0000-0100-000003000000}"/>
  <tableColumns count="1">
    <tableColumn id="1" xr3:uid="{00000000-0010-0000-0000-000001000000}" name="Causes of Unplanned Downtime" dataDxfId="0"/>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rm">
    <tabColor rgb="FF00FF00"/>
    <pageSetUpPr fitToPage="1"/>
  </sheetPr>
  <dimension ref="A1:S86"/>
  <sheetViews>
    <sheetView showGridLines="0" tabSelected="1" zoomScale="80" zoomScaleNormal="80" zoomScaleSheetLayoutView="70" zoomScalePageLayoutView="60" workbookViewId="0">
      <pane ySplit="3" topLeftCell="A4" activePane="bottomLeft" state="frozenSplit"/>
      <selection activeCell="B1" sqref="B1"/>
      <selection pane="bottomLeft" activeCell="S69" sqref="S69"/>
    </sheetView>
  </sheetViews>
  <sheetFormatPr baseColWidth="10" defaultColWidth="9.08984375" defaultRowHeight="15.5"/>
  <cols>
    <col min="1" max="1" width="1.90625" style="34" customWidth="1"/>
    <col min="2" max="2" width="39.54296875" style="34" customWidth="1"/>
    <col min="3" max="4" width="13.36328125" style="34" customWidth="1"/>
    <col min="5" max="5" width="13.36328125" style="56" customWidth="1"/>
    <col min="6" max="7" width="13.36328125" style="34" customWidth="1"/>
    <col min="8" max="12" width="13.36328125" style="56" customWidth="1"/>
    <col min="13" max="15" width="13.36328125" style="34" customWidth="1"/>
    <col min="16" max="16" width="16.08984375" style="33" hidden="1" customWidth="1"/>
    <col min="17" max="17" width="14.54296875" style="34" hidden="1" customWidth="1"/>
    <col min="18" max="18" width="9.54296875" style="35" customWidth="1"/>
    <col min="19" max="19" width="45.90625" style="34" customWidth="1"/>
    <col min="20" max="20" width="15.6328125" style="34" customWidth="1"/>
    <col min="21" max="21" width="42.54296875" style="34" customWidth="1"/>
    <col min="22" max="22" width="10.36328125" style="34" customWidth="1"/>
    <col min="23" max="23" width="40.453125" style="34" customWidth="1"/>
    <col min="24" max="28" width="0" style="34" hidden="1" customWidth="1"/>
    <col min="29" max="273" width="9.08984375" style="34"/>
    <col min="274" max="274" width="58.90625" style="34" bestFit="1" customWidth="1"/>
    <col min="275" max="275" width="24.08984375" style="34" bestFit="1" customWidth="1"/>
    <col min="276" max="276" width="15.6328125" style="34" customWidth="1"/>
    <col min="277" max="277" width="42.54296875" style="34" customWidth="1"/>
    <col min="278" max="278" width="10.36328125" style="34" customWidth="1"/>
    <col min="279" max="279" width="40.453125" style="34" customWidth="1"/>
    <col min="280" max="284" width="0" style="34" hidden="1" customWidth="1"/>
    <col min="285" max="529" width="9.08984375" style="34"/>
    <col min="530" max="530" width="58.90625" style="34" bestFit="1" customWidth="1"/>
    <col min="531" max="531" width="24.08984375" style="34" bestFit="1" customWidth="1"/>
    <col min="532" max="532" width="15.6328125" style="34" customWidth="1"/>
    <col min="533" max="533" width="42.54296875" style="34" customWidth="1"/>
    <col min="534" max="534" width="10.36328125" style="34" customWidth="1"/>
    <col min="535" max="535" width="40.453125" style="34" customWidth="1"/>
    <col min="536" max="540" width="0" style="34" hidden="1" customWidth="1"/>
    <col min="541" max="785" width="9.08984375" style="34"/>
    <col min="786" max="786" width="58.90625" style="34" bestFit="1" customWidth="1"/>
    <col min="787" max="787" width="24.08984375" style="34" bestFit="1" customWidth="1"/>
    <col min="788" max="788" width="15.6328125" style="34" customWidth="1"/>
    <col min="789" max="789" width="42.54296875" style="34" customWidth="1"/>
    <col min="790" max="790" width="10.36328125" style="34" customWidth="1"/>
    <col min="791" max="791" width="40.453125" style="34" customWidth="1"/>
    <col min="792" max="796" width="0" style="34" hidden="1" customWidth="1"/>
    <col min="797" max="1041" width="9.08984375" style="34"/>
    <col min="1042" max="1042" width="58.90625" style="34" bestFit="1" customWidth="1"/>
    <col min="1043" max="1043" width="24.08984375" style="34" bestFit="1" customWidth="1"/>
    <col min="1044" max="1044" width="15.6328125" style="34" customWidth="1"/>
    <col min="1045" max="1045" width="42.54296875" style="34" customWidth="1"/>
    <col min="1046" max="1046" width="10.36328125" style="34" customWidth="1"/>
    <col min="1047" max="1047" width="40.453125" style="34" customWidth="1"/>
    <col min="1048" max="1052" width="0" style="34" hidden="1" customWidth="1"/>
    <col min="1053" max="1297" width="9.08984375" style="34"/>
    <col min="1298" max="1298" width="58.90625" style="34" bestFit="1" customWidth="1"/>
    <col min="1299" max="1299" width="24.08984375" style="34" bestFit="1" customWidth="1"/>
    <col min="1300" max="1300" width="15.6328125" style="34" customWidth="1"/>
    <col min="1301" max="1301" width="42.54296875" style="34" customWidth="1"/>
    <col min="1302" max="1302" width="10.36328125" style="34" customWidth="1"/>
    <col min="1303" max="1303" width="40.453125" style="34" customWidth="1"/>
    <col min="1304" max="1308" width="0" style="34" hidden="1" customWidth="1"/>
    <col min="1309" max="1553" width="9.08984375" style="34"/>
    <col min="1554" max="1554" width="58.90625" style="34" bestFit="1" customWidth="1"/>
    <col min="1555" max="1555" width="24.08984375" style="34" bestFit="1" customWidth="1"/>
    <col min="1556" max="1556" width="15.6328125" style="34" customWidth="1"/>
    <col min="1557" max="1557" width="42.54296875" style="34" customWidth="1"/>
    <col min="1558" max="1558" width="10.36328125" style="34" customWidth="1"/>
    <col min="1559" max="1559" width="40.453125" style="34" customWidth="1"/>
    <col min="1560" max="1564" width="0" style="34" hidden="1" customWidth="1"/>
    <col min="1565" max="1809" width="9.08984375" style="34"/>
    <col min="1810" max="1810" width="58.90625" style="34" bestFit="1" customWidth="1"/>
    <col min="1811" max="1811" width="24.08984375" style="34" bestFit="1" customWidth="1"/>
    <col min="1812" max="1812" width="15.6328125" style="34" customWidth="1"/>
    <col min="1813" max="1813" width="42.54296875" style="34" customWidth="1"/>
    <col min="1814" max="1814" width="10.36328125" style="34" customWidth="1"/>
    <col min="1815" max="1815" width="40.453125" style="34" customWidth="1"/>
    <col min="1816" max="1820" width="0" style="34" hidden="1" customWidth="1"/>
    <col min="1821" max="2065" width="9.08984375" style="34"/>
    <col min="2066" max="2066" width="58.90625" style="34" bestFit="1" customWidth="1"/>
    <col min="2067" max="2067" width="24.08984375" style="34" bestFit="1" customWidth="1"/>
    <col min="2068" max="2068" width="15.6328125" style="34" customWidth="1"/>
    <col min="2069" max="2069" width="42.54296875" style="34" customWidth="1"/>
    <col min="2070" max="2070" width="10.36328125" style="34" customWidth="1"/>
    <col min="2071" max="2071" width="40.453125" style="34" customWidth="1"/>
    <col min="2072" max="2076" width="0" style="34" hidden="1" customWidth="1"/>
    <col min="2077" max="2321" width="9.08984375" style="34"/>
    <col min="2322" max="2322" width="58.90625" style="34" bestFit="1" customWidth="1"/>
    <col min="2323" max="2323" width="24.08984375" style="34" bestFit="1" customWidth="1"/>
    <col min="2324" max="2324" width="15.6328125" style="34" customWidth="1"/>
    <col min="2325" max="2325" width="42.54296875" style="34" customWidth="1"/>
    <col min="2326" max="2326" width="10.36328125" style="34" customWidth="1"/>
    <col min="2327" max="2327" width="40.453125" style="34" customWidth="1"/>
    <col min="2328" max="2332" width="0" style="34" hidden="1" customWidth="1"/>
    <col min="2333" max="2577" width="9.08984375" style="34"/>
    <col min="2578" max="2578" width="58.90625" style="34" bestFit="1" customWidth="1"/>
    <col min="2579" max="2579" width="24.08984375" style="34" bestFit="1" customWidth="1"/>
    <col min="2580" max="2580" width="15.6328125" style="34" customWidth="1"/>
    <col min="2581" max="2581" width="42.54296875" style="34" customWidth="1"/>
    <col min="2582" max="2582" width="10.36328125" style="34" customWidth="1"/>
    <col min="2583" max="2583" width="40.453125" style="34" customWidth="1"/>
    <col min="2584" max="2588" width="0" style="34" hidden="1" customWidth="1"/>
    <col min="2589" max="2833" width="9.08984375" style="34"/>
    <col min="2834" max="2834" width="58.90625" style="34" bestFit="1" customWidth="1"/>
    <col min="2835" max="2835" width="24.08984375" style="34" bestFit="1" customWidth="1"/>
    <col min="2836" max="2836" width="15.6328125" style="34" customWidth="1"/>
    <col min="2837" max="2837" width="42.54296875" style="34" customWidth="1"/>
    <col min="2838" max="2838" width="10.36328125" style="34" customWidth="1"/>
    <col min="2839" max="2839" width="40.453125" style="34" customWidth="1"/>
    <col min="2840" max="2844" width="0" style="34" hidden="1" customWidth="1"/>
    <col min="2845" max="3089" width="9.08984375" style="34"/>
    <col min="3090" max="3090" width="58.90625" style="34" bestFit="1" customWidth="1"/>
    <col min="3091" max="3091" width="24.08984375" style="34" bestFit="1" customWidth="1"/>
    <col min="3092" max="3092" width="15.6328125" style="34" customWidth="1"/>
    <col min="3093" max="3093" width="42.54296875" style="34" customWidth="1"/>
    <col min="3094" max="3094" width="10.36328125" style="34" customWidth="1"/>
    <col min="3095" max="3095" width="40.453125" style="34" customWidth="1"/>
    <col min="3096" max="3100" width="0" style="34" hidden="1" customWidth="1"/>
    <col min="3101" max="3345" width="9.08984375" style="34"/>
    <col min="3346" max="3346" width="58.90625" style="34" bestFit="1" customWidth="1"/>
    <col min="3347" max="3347" width="24.08984375" style="34" bestFit="1" customWidth="1"/>
    <col min="3348" max="3348" width="15.6328125" style="34" customWidth="1"/>
    <col min="3349" max="3349" width="42.54296875" style="34" customWidth="1"/>
    <col min="3350" max="3350" width="10.36328125" style="34" customWidth="1"/>
    <col min="3351" max="3351" width="40.453125" style="34" customWidth="1"/>
    <col min="3352" max="3356" width="0" style="34" hidden="1" customWidth="1"/>
    <col min="3357" max="3601" width="9.08984375" style="34"/>
    <col min="3602" max="3602" width="58.90625" style="34" bestFit="1" customWidth="1"/>
    <col min="3603" max="3603" width="24.08984375" style="34" bestFit="1" customWidth="1"/>
    <col min="3604" max="3604" width="15.6328125" style="34" customWidth="1"/>
    <col min="3605" max="3605" width="42.54296875" style="34" customWidth="1"/>
    <col min="3606" max="3606" width="10.36328125" style="34" customWidth="1"/>
    <col min="3607" max="3607" width="40.453125" style="34" customWidth="1"/>
    <col min="3608" max="3612" width="0" style="34" hidden="1" customWidth="1"/>
    <col min="3613" max="3857" width="9.08984375" style="34"/>
    <col min="3858" max="3858" width="58.90625" style="34" bestFit="1" customWidth="1"/>
    <col min="3859" max="3859" width="24.08984375" style="34" bestFit="1" customWidth="1"/>
    <col min="3860" max="3860" width="15.6328125" style="34" customWidth="1"/>
    <col min="3861" max="3861" width="42.54296875" style="34" customWidth="1"/>
    <col min="3862" max="3862" width="10.36328125" style="34" customWidth="1"/>
    <col min="3863" max="3863" width="40.453125" style="34" customWidth="1"/>
    <col min="3864" max="3868" width="0" style="34" hidden="1" customWidth="1"/>
    <col min="3869" max="4113" width="9.08984375" style="34"/>
    <col min="4114" max="4114" width="58.90625" style="34" bestFit="1" customWidth="1"/>
    <col min="4115" max="4115" width="24.08984375" style="34" bestFit="1" customWidth="1"/>
    <col min="4116" max="4116" width="15.6328125" style="34" customWidth="1"/>
    <col min="4117" max="4117" width="42.54296875" style="34" customWidth="1"/>
    <col min="4118" max="4118" width="10.36328125" style="34" customWidth="1"/>
    <col min="4119" max="4119" width="40.453125" style="34" customWidth="1"/>
    <col min="4120" max="4124" width="0" style="34" hidden="1" customWidth="1"/>
    <col min="4125" max="4369" width="9.08984375" style="34"/>
    <col min="4370" max="4370" width="58.90625" style="34" bestFit="1" customWidth="1"/>
    <col min="4371" max="4371" width="24.08984375" style="34" bestFit="1" customWidth="1"/>
    <col min="4372" max="4372" width="15.6328125" style="34" customWidth="1"/>
    <col min="4373" max="4373" width="42.54296875" style="34" customWidth="1"/>
    <col min="4374" max="4374" width="10.36328125" style="34" customWidth="1"/>
    <col min="4375" max="4375" width="40.453125" style="34" customWidth="1"/>
    <col min="4376" max="4380" width="0" style="34" hidden="1" customWidth="1"/>
    <col min="4381" max="4625" width="9.08984375" style="34"/>
    <col min="4626" max="4626" width="58.90625" style="34" bestFit="1" customWidth="1"/>
    <col min="4627" max="4627" width="24.08984375" style="34" bestFit="1" customWidth="1"/>
    <col min="4628" max="4628" width="15.6328125" style="34" customWidth="1"/>
    <col min="4629" max="4629" width="42.54296875" style="34" customWidth="1"/>
    <col min="4630" max="4630" width="10.36328125" style="34" customWidth="1"/>
    <col min="4631" max="4631" width="40.453125" style="34" customWidth="1"/>
    <col min="4632" max="4636" width="0" style="34" hidden="1" customWidth="1"/>
    <col min="4637" max="4881" width="9.08984375" style="34"/>
    <col min="4882" max="4882" width="58.90625" style="34" bestFit="1" customWidth="1"/>
    <col min="4883" max="4883" width="24.08984375" style="34" bestFit="1" customWidth="1"/>
    <col min="4884" max="4884" width="15.6328125" style="34" customWidth="1"/>
    <col min="4885" max="4885" width="42.54296875" style="34" customWidth="1"/>
    <col min="4886" max="4886" width="10.36328125" style="34" customWidth="1"/>
    <col min="4887" max="4887" width="40.453125" style="34" customWidth="1"/>
    <col min="4888" max="4892" width="0" style="34" hidden="1" customWidth="1"/>
    <col min="4893" max="5137" width="9.08984375" style="34"/>
    <col min="5138" max="5138" width="58.90625" style="34" bestFit="1" customWidth="1"/>
    <col min="5139" max="5139" width="24.08984375" style="34" bestFit="1" customWidth="1"/>
    <col min="5140" max="5140" width="15.6328125" style="34" customWidth="1"/>
    <col min="5141" max="5141" width="42.54296875" style="34" customWidth="1"/>
    <col min="5142" max="5142" width="10.36328125" style="34" customWidth="1"/>
    <col min="5143" max="5143" width="40.453125" style="34" customWidth="1"/>
    <col min="5144" max="5148" width="0" style="34" hidden="1" customWidth="1"/>
    <col min="5149" max="5393" width="9.08984375" style="34"/>
    <col min="5394" max="5394" width="58.90625" style="34" bestFit="1" customWidth="1"/>
    <col min="5395" max="5395" width="24.08984375" style="34" bestFit="1" customWidth="1"/>
    <col min="5396" max="5396" width="15.6328125" style="34" customWidth="1"/>
    <col min="5397" max="5397" width="42.54296875" style="34" customWidth="1"/>
    <col min="5398" max="5398" width="10.36328125" style="34" customWidth="1"/>
    <col min="5399" max="5399" width="40.453125" style="34" customWidth="1"/>
    <col min="5400" max="5404" width="0" style="34" hidden="1" customWidth="1"/>
    <col min="5405" max="5649" width="9.08984375" style="34"/>
    <col min="5650" max="5650" width="58.90625" style="34" bestFit="1" customWidth="1"/>
    <col min="5651" max="5651" width="24.08984375" style="34" bestFit="1" customWidth="1"/>
    <col min="5652" max="5652" width="15.6328125" style="34" customWidth="1"/>
    <col min="5653" max="5653" width="42.54296875" style="34" customWidth="1"/>
    <col min="5654" max="5654" width="10.36328125" style="34" customWidth="1"/>
    <col min="5655" max="5655" width="40.453125" style="34" customWidth="1"/>
    <col min="5656" max="5660" width="0" style="34" hidden="1" customWidth="1"/>
    <col min="5661" max="5905" width="9.08984375" style="34"/>
    <col min="5906" max="5906" width="58.90625" style="34" bestFit="1" customWidth="1"/>
    <col min="5907" max="5907" width="24.08984375" style="34" bestFit="1" customWidth="1"/>
    <col min="5908" max="5908" width="15.6328125" style="34" customWidth="1"/>
    <col min="5909" max="5909" width="42.54296875" style="34" customWidth="1"/>
    <col min="5910" max="5910" width="10.36328125" style="34" customWidth="1"/>
    <col min="5911" max="5911" width="40.453125" style="34" customWidth="1"/>
    <col min="5912" max="5916" width="0" style="34" hidden="1" customWidth="1"/>
    <col min="5917" max="6161" width="9.08984375" style="34"/>
    <col min="6162" max="6162" width="58.90625" style="34" bestFit="1" customWidth="1"/>
    <col min="6163" max="6163" width="24.08984375" style="34" bestFit="1" customWidth="1"/>
    <col min="6164" max="6164" width="15.6328125" style="34" customWidth="1"/>
    <col min="6165" max="6165" width="42.54296875" style="34" customWidth="1"/>
    <col min="6166" max="6166" width="10.36328125" style="34" customWidth="1"/>
    <col min="6167" max="6167" width="40.453125" style="34" customWidth="1"/>
    <col min="6168" max="6172" width="0" style="34" hidden="1" customWidth="1"/>
    <col min="6173" max="6417" width="9.08984375" style="34"/>
    <col min="6418" max="6418" width="58.90625" style="34" bestFit="1" customWidth="1"/>
    <col min="6419" max="6419" width="24.08984375" style="34" bestFit="1" customWidth="1"/>
    <col min="6420" max="6420" width="15.6328125" style="34" customWidth="1"/>
    <col min="6421" max="6421" width="42.54296875" style="34" customWidth="1"/>
    <col min="6422" max="6422" width="10.36328125" style="34" customWidth="1"/>
    <col min="6423" max="6423" width="40.453125" style="34" customWidth="1"/>
    <col min="6424" max="6428" width="0" style="34" hidden="1" customWidth="1"/>
    <col min="6429" max="6673" width="9.08984375" style="34"/>
    <col min="6674" max="6674" width="58.90625" style="34" bestFit="1" customWidth="1"/>
    <col min="6675" max="6675" width="24.08984375" style="34" bestFit="1" customWidth="1"/>
    <col min="6676" max="6676" width="15.6328125" style="34" customWidth="1"/>
    <col min="6677" max="6677" width="42.54296875" style="34" customWidth="1"/>
    <col min="6678" max="6678" width="10.36328125" style="34" customWidth="1"/>
    <col min="6679" max="6679" width="40.453125" style="34" customWidth="1"/>
    <col min="6680" max="6684" width="0" style="34" hidden="1" customWidth="1"/>
    <col min="6685" max="6929" width="9.08984375" style="34"/>
    <col min="6930" max="6930" width="58.90625" style="34" bestFit="1" customWidth="1"/>
    <col min="6931" max="6931" width="24.08984375" style="34" bestFit="1" customWidth="1"/>
    <col min="6932" max="6932" width="15.6328125" style="34" customWidth="1"/>
    <col min="6933" max="6933" width="42.54296875" style="34" customWidth="1"/>
    <col min="6934" max="6934" width="10.36328125" style="34" customWidth="1"/>
    <col min="6935" max="6935" width="40.453125" style="34" customWidth="1"/>
    <col min="6936" max="6940" width="0" style="34" hidden="1" customWidth="1"/>
    <col min="6941" max="7185" width="9.08984375" style="34"/>
    <col min="7186" max="7186" width="58.90625" style="34" bestFit="1" customWidth="1"/>
    <col min="7187" max="7187" width="24.08984375" style="34" bestFit="1" customWidth="1"/>
    <col min="7188" max="7188" width="15.6328125" style="34" customWidth="1"/>
    <col min="7189" max="7189" width="42.54296875" style="34" customWidth="1"/>
    <col min="7190" max="7190" width="10.36328125" style="34" customWidth="1"/>
    <col min="7191" max="7191" width="40.453125" style="34" customWidth="1"/>
    <col min="7192" max="7196" width="0" style="34" hidden="1" customWidth="1"/>
    <col min="7197" max="7441" width="9.08984375" style="34"/>
    <col min="7442" max="7442" width="58.90625" style="34" bestFit="1" customWidth="1"/>
    <col min="7443" max="7443" width="24.08984375" style="34" bestFit="1" customWidth="1"/>
    <col min="7444" max="7444" width="15.6328125" style="34" customWidth="1"/>
    <col min="7445" max="7445" width="42.54296875" style="34" customWidth="1"/>
    <col min="7446" max="7446" width="10.36328125" style="34" customWidth="1"/>
    <col min="7447" max="7447" width="40.453125" style="34" customWidth="1"/>
    <col min="7448" max="7452" width="0" style="34" hidden="1" customWidth="1"/>
    <col min="7453" max="7697" width="9.08984375" style="34"/>
    <col min="7698" max="7698" width="58.90625" style="34" bestFit="1" customWidth="1"/>
    <col min="7699" max="7699" width="24.08984375" style="34" bestFit="1" customWidth="1"/>
    <col min="7700" max="7700" width="15.6328125" style="34" customWidth="1"/>
    <col min="7701" max="7701" width="42.54296875" style="34" customWidth="1"/>
    <col min="7702" max="7702" width="10.36328125" style="34" customWidth="1"/>
    <col min="7703" max="7703" width="40.453125" style="34" customWidth="1"/>
    <col min="7704" max="7708" width="0" style="34" hidden="1" customWidth="1"/>
    <col min="7709" max="7953" width="9.08984375" style="34"/>
    <col min="7954" max="7954" width="58.90625" style="34" bestFit="1" customWidth="1"/>
    <col min="7955" max="7955" width="24.08984375" style="34" bestFit="1" customWidth="1"/>
    <col min="7956" max="7956" width="15.6328125" style="34" customWidth="1"/>
    <col min="7957" max="7957" width="42.54296875" style="34" customWidth="1"/>
    <col min="7958" max="7958" width="10.36328125" style="34" customWidth="1"/>
    <col min="7959" max="7959" width="40.453125" style="34" customWidth="1"/>
    <col min="7960" max="7964" width="0" style="34" hidden="1" customWidth="1"/>
    <col min="7965" max="8209" width="9.08984375" style="34"/>
    <col min="8210" max="8210" width="58.90625" style="34" bestFit="1" customWidth="1"/>
    <col min="8211" max="8211" width="24.08984375" style="34" bestFit="1" customWidth="1"/>
    <col min="8212" max="8212" width="15.6328125" style="34" customWidth="1"/>
    <col min="8213" max="8213" width="42.54296875" style="34" customWidth="1"/>
    <col min="8214" max="8214" width="10.36328125" style="34" customWidth="1"/>
    <col min="8215" max="8215" width="40.453125" style="34" customWidth="1"/>
    <col min="8216" max="8220" width="0" style="34" hidden="1" customWidth="1"/>
    <col min="8221" max="8465" width="9.08984375" style="34"/>
    <col min="8466" max="8466" width="58.90625" style="34" bestFit="1" customWidth="1"/>
    <col min="8467" max="8467" width="24.08984375" style="34" bestFit="1" customWidth="1"/>
    <col min="8468" max="8468" width="15.6328125" style="34" customWidth="1"/>
    <col min="8469" max="8469" width="42.54296875" style="34" customWidth="1"/>
    <col min="8470" max="8470" width="10.36328125" style="34" customWidth="1"/>
    <col min="8471" max="8471" width="40.453125" style="34" customWidth="1"/>
    <col min="8472" max="8476" width="0" style="34" hidden="1" customWidth="1"/>
    <col min="8477" max="8721" width="9.08984375" style="34"/>
    <col min="8722" max="8722" width="58.90625" style="34" bestFit="1" customWidth="1"/>
    <col min="8723" max="8723" width="24.08984375" style="34" bestFit="1" customWidth="1"/>
    <col min="8724" max="8724" width="15.6328125" style="34" customWidth="1"/>
    <col min="8725" max="8725" width="42.54296875" style="34" customWidth="1"/>
    <col min="8726" max="8726" width="10.36328125" style="34" customWidth="1"/>
    <col min="8727" max="8727" width="40.453125" style="34" customWidth="1"/>
    <col min="8728" max="8732" width="0" style="34" hidden="1" customWidth="1"/>
    <col min="8733" max="8977" width="9.08984375" style="34"/>
    <col min="8978" max="8978" width="58.90625" style="34" bestFit="1" customWidth="1"/>
    <col min="8979" max="8979" width="24.08984375" style="34" bestFit="1" customWidth="1"/>
    <col min="8980" max="8980" width="15.6328125" style="34" customWidth="1"/>
    <col min="8981" max="8981" width="42.54296875" style="34" customWidth="1"/>
    <col min="8982" max="8982" width="10.36328125" style="34" customWidth="1"/>
    <col min="8983" max="8983" width="40.453125" style="34" customWidth="1"/>
    <col min="8984" max="8988" width="0" style="34" hidden="1" customWidth="1"/>
    <col min="8989" max="9233" width="9.08984375" style="34"/>
    <col min="9234" max="9234" width="58.90625" style="34" bestFit="1" customWidth="1"/>
    <col min="9235" max="9235" width="24.08984375" style="34" bestFit="1" customWidth="1"/>
    <col min="9236" max="9236" width="15.6328125" style="34" customWidth="1"/>
    <col min="9237" max="9237" width="42.54296875" style="34" customWidth="1"/>
    <col min="9238" max="9238" width="10.36328125" style="34" customWidth="1"/>
    <col min="9239" max="9239" width="40.453125" style="34" customWidth="1"/>
    <col min="9240" max="9244" width="0" style="34" hidden="1" customWidth="1"/>
    <col min="9245" max="9489" width="9.08984375" style="34"/>
    <col min="9490" max="9490" width="58.90625" style="34" bestFit="1" customWidth="1"/>
    <col min="9491" max="9491" width="24.08984375" style="34" bestFit="1" customWidth="1"/>
    <col min="9492" max="9492" width="15.6328125" style="34" customWidth="1"/>
    <col min="9493" max="9493" width="42.54296875" style="34" customWidth="1"/>
    <col min="9494" max="9494" width="10.36328125" style="34" customWidth="1"/>
    <col min="9495" max="9495" width="40.453125" style="34" customWidth="1"/>
    <col min="9496" max="9500" width="0" style="34" hidden="1" customWidth="1"/>
    <col min="9501" max="9745" width="9.08984375" style="34"/>
    <col min="9746" max="9746" width="58.90625" style="34" bestFit="1" customWidth="1"/>
    <col min="9747" max="9747" width="24.08984375" style="34" bestFit="1" customWidth="1"/>
    <col min="9748" max="9748" width="15.6328125" style="34" customWidth="1"/>
    <col min="9749" max="9749" width="42.54296875" style="34" customWidth="1"/>
    <col min="9750" max="9750" width="10.36328125" style="34" customWidth="1"/>
    <col min="9751" max="9751" width="40.453125" style="34" customWidth="1"/>
    <col min="9752" max="9756" width="0" style="34" hidden="1" customWidth="1"/>
    <col min="9757" max="10001" width="9.08984375" style="34"/>
    <col min="10002" max="10002" width="58.90625" style="34" bestFit="1" customWidth="1"/>
    <col min="10003" max="10003" width="24.08984375" style="34" bestFit="1" customWidth="1"/>
    <col min="10004" max="10004" width="15.6328125" style="34" customWidth="1"/>
    <col min="10005" max="10005" width="42.54296875" style="34" customWidth="1"/>
    <col min="10006" max="10006" width="10.36328125" style="34" customWidth="1"/>
    <col min="10007" max="10007" width="40.453125" style="34" customWidth="1"/>
    <col min="10008" max="10012" width="0" style="34" hidden="1" customWidth="1"/>
    <col min="10013" max="10257" width="9.08984375" style="34"/>
    <col min="10258" max="10258" width="58.90625" style="34" bestFit="1" customWidth="1"/>
    <col min="10259" max="10259" width="24.08984375" style="34" bestFit="1" customWidth="1"/>
    <col min="10260" max="10260" width="15.6328125" style="34" customWidth="1"/>
    <col min="10261" max="10261" width="42.54296875" style="34" customWidth="1"/>
    <col min="10262" max="10262" width="10.36328125" style="34" customWidth="1"/>
    <col min="10263" max="10263" width="40.453125" style="34" customWidth="1"/>
    <col min="10264" max="10268" width="0" style="34" hidden="1" customWidth="1"/>
    <col min="10269" max="10513" width="9.08984375" style="34"/>
    <col min="10514" max="10514" width="58.90625" style="34" bestFit="1" customWidth="1"/>
    <col min="10515" max="10515" width="24.08984375" style="34" bestFit="1" customWidth="1"/>
    <col min="10516" max="10516" width="15.6328125" style="34" customWidth="1"/>
    <col min="10517" max="10517" width="42.54296875" style="34" customWidth="1"/>
    <col min="10518" max="10518" width="10.36328125" style="34" customWidth="1"/>
    <col min="10519" max="10519" width="40.453125" style="34" customWidth="1"/>
    <col min="10520" max="10524" width="0" style="34" hidden="1" customWidth="1"/>
    <col min="10525" max="10769" width="9.08984375" style="34"/>
    <col min="10770" max="10770" width="58.90625" style="34" bestFit="1" customWidth="1"/>
    <col min="10771" max="10771" width="24.08984375" style="34" bestFit="1" customWidth="1"/>
    <col min="10772" max="10772" width="15.6328125" style="34" customWidth="1"/>
    <col min="10773" max="10773" width="42.54296875" style="34" customWidth="1"/>
    <col min="10774" max="10774" width="10.36328125" style="34" customWidth="1"/>
    <col min="10775" max="10775" width="40.453125" style="34" customWidth="1"/>
    <col min="10776" max="10780" width="0" style="34" hidden="1" customWidth="1"/>
    <col min="10781" max="11025" width="9.08984375" style="34"/>
    <col min="11026" max="11026" width="58.90625" style="34" bestFit="1" customWidth="1"/>
    <col min="11027" max="11027" width="24.08984375" style="34" bestFit="1" customWidth="1"/>
    <col min="11028" max="11028" width="15.6328125" style="34" customWidth="1"/>
    <col min="11029" max="11029" width="42.54296875" style="34" customWidth="1"/>
    <col min="11030" max="11030" width="10.36328125" style="34" customWidth="1"/>
    <col min="11031" max="11031" width="40.453125" style="34" customWidth="1"/>
    <col min="11032" max="11036" width="0" style="34" hidden="1" customWidth="1"/>
    <col min="11037" max="11281" width="9.08984375" style="34"/>
    <col min="11282" max="11282" width="58.90625" style="34" bestFit="1" customWidth="1"/>
    <col min="11283" max="11283" width="24.08984375" style="34" bestFit="1" customWidth="1"/>
    <col min="11284" max="11284" width="15.6328125" style="34" customWidth="1"/>
    <col min="11285" max="11285" width="42.54296875" style="34" customWidth="1"/>
    <col min="11286" max="11286" width="10.36328125" style="34" customWidth="1"/>
    <col min="11287" max="11287" width="40.453125" style="34" customWidth="1"/>
    <col min="11288" max="11292" width="0" style="34" hidden="1" customWidth="1"/>
    <col min="11293" max="11537" width="9.08984375" style="34"/>
    <col min="11538" max="11538" width="58.90625" style="34" bestFit="1" customWidth="1"/>
    <col min="11539" max="11539" width="24.08984375" style="34" bestFit="1" customWidth="1"/>
    <col min="11540" max="11540" width="15.6328125" style="34" customWidth="1"/>
    <col min="11541" max="11541" width="42.54296875" style="34" customWidth="1"/>
    <col min="11542" max="11542" width="10.36328125" style="34" customWidth="1"/>
    <col min="11543" max="11543" width="40.453125" style="34" customWidth="1"/>
    <col min="11544" max="11548" width="0" style="34" hidden="1" customWidth="1"/>
    <col min="11549" max="11793" width="9.08984375" style="34"/>
    <col min="11794" max="11794" width="58.90625" style="34" bestFit="1" customWidth="1"/>
    <col min="11795" max="11795" width="24.08984375" style="34" bestFit="1" customWidth="1"/>
    <col min="11796" max="11796" width="15.6328125" style="34" customWidth="1"/>
    <col min="11797" max="11797" width="42.54296875" style="34" customWidth="1"/>
    <col min="11798" max="11798" width="10.36328125" style="34" customWidth="1"/>
    <col min="11799" max="11799" width="40.453125" style="34" customWidth="1"/>
    <col min="11800" max="11804" width="0" style="34" hidden="1" customWidth="1"/>
    <col min="11805" max="12049" width="9.08984375" style="34"/>
    <col min="12050" max="12050" width="58.90625" style="34" bestFit="1" customWidth="1"/>
    <col min="12051" max="12051" width="24.08984375" style="34" bestFit="1" customWidth="1"/>
    <col min="12052" max="12052" width="15.6328125" style="34" customWidth="1"/>
    <col min="12053" max="12053" width="42.54296875" style="34" customWidth="1"/>
    <col min="12054" max="12054" width="10.36328125" style="34" customWidth="1"/>
    <col min="12055" max="12055" width="40.453125" style="34" customWidth="1"/>
    <col min="12056" max="12060" width="0" style="34" hidden="1" customWidth="1"/>
    <col min="12061" max="12305" width="9.08984375" style="34"/>
    <col min="12306" max="12306" width="58.90625" style="34" bestFit="1" customWidth="1"/>
    <col min="12307" max="12307" width="24.08984375" style="34" bestFit="1" customWidth="1"/>
    <col min="12308" max="12308" width="15.6328125" style="34" customWidth="1"/>
    <col min="12309" max="12309" width="42.54296875" style="34" customWidth="1"/>
    <col min="12310" max="12310" width="10.36328125" style="34" customWidth="1"/>
    <col min="12311" max="12311" width="40.453125" style="34" customWidth="1"/>
    <col min="12312" max="12316" width="0" style="34" hidden="1" customWidth="1"/>
    <col min="12317" max="12561" width="9.08984375" style="34"/>
    <col min="12562" max="12562" width="58.90625" style="34" bestFit="1" customWidth="1"/>
    <col min="12563" max="12563" width="24.08984375" style="34" bestFit="1" customWidth="1"/>
    <col min="12564" max="12564" width="15.6328125" style="34" customWidth="1"/>
    <col min="12565" max="12565" width="42.54296875" style="34" customWidth="1"/>
    <col min="12566" max="12566" width="10.36328125" style="34" customWidth="1"/>
    <col min="12567" max="12567" width="40.453125" style="34" customWidth="1"/>
    <col min="12568" max="12572" width="0" style="34" hidden="1" customWidth="1"/>
    <col min="12573" max="12817" width="9.08984375" style="34"/>
    <col min="12818" max="12818" width="58.90625" style="34" bestFit="1" customWidth="1"/>
    <col min="12819" max="12819" width="24.08984375" style="34" bestFit="1" customWidth="1"/>
    <col min="12820" max="12820" width="15.6328125" style="34" customWidth="1"/>
    <col min="12821" max="12821" width="42.54296875" style="34" customWidth="1"/>
    <col min="12822" max="12822" width="10.36328125" style="34" customWidth="1"/>
    <col min="12823" max="12823" width="40.453125" style="34" customWidth="1"/>
    <col min="12824" max="12828" width="0" style="34" hidden="1" customWidth="1"/>
    <col min="12829" max="13073" width="9.08984375" style="34"/>
    <col min="13074" max="13074" width="58.90625" style="34" bestFit="1" customWidth="1"/>
    <col min="13075" max="13075" width="24.08984375" style="34" bestFit="1" customWidth="1"/>
    <col min="13076" max="13076" width="15.6328125" style="34" customWidth="1"/>
    <col min="13077" max="13077" width="42.54296875" style="34" customWidth="1"/>
    <col min="13078" max="13078" width="10.36328125" style="34" customWidth="1"/>
    <col min="13079" max="13079" width="40.453125" style="34" customWidth="1"/>
    <col min="13080" max="13084" width="0" style="34" hidden="1" customWidth="1"/>
    <col min="13085" max="13329" width="9.08984375" style="34"/>
    <col min="13330" max="13330" width="58.90625" style="34" bestFit="1" customWidth="1"/>
    <col min="13331" max="13331" width="24.08984375" style="34" bestFit="1" customWidth="1"/>
    <col min="13332" max="13332" width="15.6328125" style="34" customWidth="1"/>
    <col min="13333" max="13333" width="42.54296875" style="34" customWidth="1"/>
    <col min="13334" max="13334" width="10.36328125" style="34" customWidth="1"/>
    <col min="13335" max="13335" width="40.453125" style="34" customWidth="1"/>
    <col min="13336" max="13340" width="0" style="34" hidden="1" customWidth="1"/>
    <col min="13341" max="13585" width="9.08984375" style="34"/>
    <col min="13586" max="13586" width="58.90625" style="34" bestFit="1" customWidth="1"/>
    <col min="13587" max="13587" width="24.08984375" style="34" bestFit="1" customWidth="1"/>
    <col min="13588" max="13588" width="15.6328125" style="34" customWidth="1"/>
    <col min="13589" max="13589" width="42.54296875" style="34" customWidth="1"/>
    <col min="13590" max="13590" width="10.36328125" style="34" customWidth="1"/>
    <col min="13591" max="13591" width="40.453125" style="34" customWidth="1"/>
    <col min="13592" max="13596" width="0" style="34" hidden="1" customWidth="1"/>
    <col min="13597" max="13841" width="9.08984375" style="34"/>
    <col min="13842" max="13842" width="58.90625" style="34" bestFit="1" customWidth="1"/>
    <col min="13843" max="13843" width="24.08984375" style="34" bestFit="1" customWidth="1"/>
    <col min="13844" max="13844" width="15.6328125" style="34" customWidth="1"/>
    <col min="13845" max="13845" width="42.54296875" style="34" customWidth="1"/>
    <col min="13846" max="13846" width="10.36328125" style="34" customWidth="1"/>
    <col min="13847" max="13847" width="40.453125" style="34" customWidth="1"/>
    <col min="13848" max="13852" width="0" style="34" hidden="1" customWidth="1"/>
    <col min="13853" max="14097" width="9.08984375" style="34"/>
    <col min="14098" max="14098" width="58.90625" style="34" bestFit="1" customWidth="1"/>
    <col min="14099" max="14099" width="24.08984375" style="34" bestFit="1" customWidth="1"/>
    <col min="14100" max="14100" width="15.6328125" style="34" customWidth="1"/>
    <col min="14101" max="14101" width="42.54296875" style="34" customWidth="1"/>
    <col min="14102" max="14102" width="10.36328125" style="34" customWidth="1"/>
    <col min="14103" max="14103" width="40.453125" style="34" customWidth="1"/>
    <col min="14104" max="14108" width="0" style="34" hidden="1" customWidth="1"/>
    <col min="14109" max="14353" width="9.08984375" style="34"/>
    <col min="14354" max="14354" width="58.90625" style="34" bestFit="1" customWidth="1"/>
    <col min="14355" max="14355" width="24.08984375" style="34" bestFit="1" customWidth="1"/>
    <col min="14356" max="14356" width="15.6328125" style="34" customWidth="1"/>
    <col min="14357" max="14357" width="42.54296875" style="34" customWidth="1"/>
    <col min="14358" max="14358" width="10.36328125" style="34" customWidth="1"/>
    <col min="14359" max="14359" width="40.453125" style="34" customWidth="1"/>
    <col min="14360" max="14364" width="0" style="34" hidden="1" customWidth="1"/>
    <col min="14365" max="14609" width="9.08984375" style="34"/>
    <col min="14610" max="14610" width="58.90625" style="34" bestFit="1" customWidth="1"/>
    <col min="14611" max="14611" width="24.08984375" style="34" bestFit="1" customWidth="1"/>
    <col min="14612" max="14612" width="15.6328125" style="34" customWidth="1"/>
    <col min="14613" max="14613" width="42.54296875" style="34" customWidth="1"/>
    <col min="14614" max="14614" width="10.36328125" style="34" customWidth="1"/>
    <col min="14615" max="14615" width="40.453125" style="34" customWidth="1"/>
    <col min="14616" max="14620" width="0" style="34" hidden="1" customWidth="1"/>
    <col min="14621" max="14865" width="9.08984375" style="34"/>
    <col min="14866" max="14866" width="58.90625" style="34" bestFit="1" customWidth="1"/>
    <col min="14867" max="14867" width="24.08984375" style="34" bestFit="1" customWidth="1"/>
    <col min="14868" max="14868" width="15.6328125" style="34" customWidth="1"/>
    <col min="14869" max="14869" width="42.54296875" style="34" customWidth="1"/>
    <col min="14870" max="14870" width="10.36328125" style="34" customWidth="1"/>
    <col min="14871" max="14871" width="40.453125" style="34" customWidth="1"/>
    <col min="14872" max="14876" width="0" style="34" hidden="1" customWidth="1"/>
    <col min="14877" max="15121" width="9.08984375" style="34"/>
    <col min="15122" max="15122" width="58.90625" style="34" bestFit="1" customWidth="1"/>
    <col min="15123" max="15123" width="24.08984375" style="34" bestFit="1" customWidth="1"/>
    <col min="15124" max="15124" width="15.6328125" style="34" customWidth="1"/>
    <col min="15125" max="15125" width="42.54296875" style="34" customWidth="1"/>
    <col min="15126" max="15126" width="10.36328125" style="34" customWidth="1"/>
    <col min="15127" max="15127" width="40.453125" style="34" customWidth="1"/>
    <col min="15128" max="15132" width="0" style="34" hidden="1" customWidth="1"/>
    <col min="15133" max="15377" width="9.08984375" style="34"/>
    <col min="15378" max="15378" width="58.90625" style="34" bestFit="1" customWidth="1"/>
    <col min="15379" max="15379" width="24.08984375" style="34" bestFit="1" customWidth="1"/>
    <col min="15380" max="15380" width="15.6328125" style="34" customWidth="1"/>
    <col min="15381" max="15381" width="42.54296875" style="34" customWidth="1"/>
    <col min="15382" max="15382" width="10.36328125" style="34" customWidth="1"/>
    <col min="15383" max="15383" width="40.453125" style="34" customWidth="1"/>
    <col min="15384" max="15388" width="0" style="34" hidden="1" customWidth="1"/>
    <col min="15389" max="15633" width="9.08984375" style="34"/>
    <col min="15634" max="15634" width="58.90625" style="34" bestFit="1" customWidth="1"/>
    <col min="15635" max="15635" width="24.08984375" style="34" bestFit="1" customWidth="1"/>
    <col min="15636" max="15636" width="15.6328125" style="34" customWidth="1"/>
    <col min="15637" max="15637" width="42.54296875" style="34" customWidth="1"/>
    <col min="15638" max="15638" width="10.36328125" style="34" customWidth="1"/>
    <col min="15639" max="15639" width="40.453125" style="34" customWidth="1"/>
    <col min="15640" max="15644" width="0" style="34" hidden="1" customWidth="1"/>
    <col min="15645" max="15889" width="9.08984375" style="34"/>
    <col min="15890" max="15890" width="58.90625" style="34" bestFit="1" customWidth="1"/>
    <col min="15891" max="15891" width="24.08984375" style="34" bestFit="1" customWidth="1"/>
    <col min="15892" max="15892" width="15.6328125" style="34" customWidth="1"/>
    <col min="15893" max="15893" width="42.54296875" style="34" customWidth="1"/>
    <col min="15894" max="15894" width="10.36328125" style="34" customWidth="1"/>
    <col min="15895" max="15895" width="40.453125" style="34" customWidth="1"/>
    <col min="15896" max="15900" width="0" style="34" hidden="1" customWidth="1"/>
    <col min="15901" max="16384" width="9.08984375" style="34"/>
  </cols>
  <sheetData>
    <row r="1" spans="2:18" s="30" customFormat="1" ht="12" customHeight="1">
      <c r="B1" s="407">
        <f>COUNTIF(C1:D3,OR("LOS ERRORES DEBEN SER CORREGIDOS ANTES DE REGISTRO DE DATOS","O ERRO DEVE SER CORRIGIDO ANTES DO REGISTRO DE DADOS","ERRORS MUST BE CORRECTED BEFORE LOGGING DATA"))</f>
        <v>0</v>
      </c>
      <c r="C1" s="406" t="str">
        <f>IF(N2="Spanish",IF(OR(D9&lt;&gt;"",H18&lt;&gt;"",B18&lt;&gt;"",D30&lt;&gt;"",B48&lt;&gt;"",I48&lt;&gt;"",D44&lt;&gt;"",D56&lt;&gt;"",G68&lt;&gt;""),"LOS ERRORES DEBEN SER CORREGIDOS ANTES DE REGISTRO DE DATOS",""),IF(N2="Portugese",IF(OR(D9&lt;&gt;"",H18&lt;&gt;"",B18&lt;&gt;"",D30&lt;&gt;"",B48&lt;&gt;"",I48&lt;&gt;"",D44&lt;&gt;"",D56&lt;&gt;"",G68&lt;&gt;""),"O ERRO DEVE SER CORRIGIDO ANTES DO REGISTRO DE DADOS",""),IF(N2="French",IF(OR(D9&lt;&gt;"",H18&lt;&gt;"",B18&lt;&gt;"",D30&lt;&gt;"",B48&lt;&gt;"",I48&lt;&gt;"",D44&lt;&gt;"",D56&lt;&gt;"",G68&lt;&gt;""),"LES ERREURS DOIVENT ETRE CORRIGEES AVANT DE CHARGER DES DONNEES",""),IF(OR(D9&lt;&gt;"",H18&lt;&gt;"",B18&lt;&gt;"",D30&lt;&gt;"",B48&lt;&gt;"",I48&lt;&gt;"",D44&lt;&gt;"",D56&lt;&gt;"",G68&lt;&gt;""),"ERRORS MUST BE CORRECTED BEFORE LOGGING DATA",""))))</f>
        <v/>
      </c>
      <c r="D1" s="406"/>
      <c r="E1" s="413" t="str">
        <f>IF(N2="Spanish","Formulario de Registro de Datos",IF(N2="Portugese","Formulário para entrar dados de OLE",IF(N2="French","Formulaire de saisie des données d' OLE","OLE Data Logging Form")))</f>
        <v>OLE Data Logging Form</v>
      </c>
      <c r="F1" s="413"/>
      <c r="G1" s="413"/>
      <c r="H1" s="413"/>
      <c r="I1" s="142"/>
      <c r="J1" s="142"/>
      <c r="K1" s="29"/>
      <c r="L1" s="29"/>
      <c r="P1" s="31"/>
      <c r="R1" s="32"/>
    </row>
    <row r="2" spans="2:18" s="30" customFormat="1" ht="18" customHeight="1">
      <c r="B2" s="407"/>
      <c r="C2" s="406"/>
      <c r="D2" s="406"/>
      <c r="E2" s="413"/>
      <c r="F2" s="413"/>
      <c r="G2" s="413"/>
      <c r="H2" s="413"/>
      <c r="I2" s="142"/>
      <c r="J2" s="142"/>
      <c r="K2" s="326" t="s">
        <v>171</v>
      </c>
      <c r="L2" s="326"/>
      <c r="M2" s="157"/>
      <c r="N2" s="408" t="s">
        <v>172</v>
      </c>
      <c r="O2" s="409"/>
      <c r="P2" s="31"/>
      <c r="R2" s="32"/>
    </row>
    <row r="3" spans="2:18" s="30" customFormat="1" ht="12" customHeight="1" thickBot="1">
      <c r="B3" s="407"/>
      <c r="C3" s="406"/>
      <c r="D3" s="406"/>
      <c r="E3" s="142"/>
      <c r="F3" s="142"/>
      <c r="G3" s="142"/>
      <c r="H3" s="142"/>
      <c r="I3" s="142"/>
      <c r="J3" s="142"/>
      <c r="K3" s="29"/>
      <c r="L3" s="29"/>
      <c r="P3" s="31"/>
      <c r="R3" s="32"/>
    </row>
    <row r="4" spans="2:18" ht="16" thickTop="1">
      <c r="B4" s="197"/>
      <c r="C4" s="198"/>
      <c r="D4" s="341"/>
      <c r="E4" s="341"/>
      <c r="F4" s="341"/>
      <c r="G4" s="341"/>
      <c r="H4" s="199"/>
      <c r="I4" s="199"/>
      <c r="J4" s="199"/>
      <c r="K4" s="199"/>
      <c r="L4" s="199"/>
      <c r="M4" s="199"/>
      <c r="N4" s="199"/>
      <c r="O4" s="200"/>
    </row>
    <row r="5" spans="2:18" s="121" customFormat="1" ht="18">
      <c r="B5" s="201" t="str">
        <f>IF(N2="Spanish","Fecha:",IF(N2="Portugese","Data:",IF(N2="French","Date:",IF(N2="English","Date:"))))</f>
        <v>Date:</v>
      </c>
      <c r="C5" s="342">
        <v>44366</v>
      </c>
      <c r="D5" s="342"/>
      <c r="E5" s="345" t="str">
        <f>IF(N2="Spanish","Hora Inicio Producción:",IF(N2="Portugese","Hora produção começou:",IF(N2="French","Heure de début de production:","Production Start Time:")))</f>
        <v>Production Start Time:</v>
      </c>
      <c r="F5" s="346"/>
      <c r="G5" s="347"/>
      <c r="H5" s="86">
        <v>1</v>
      </c>
      <c r="I5" s="85"/>
      <c r="J5" s="346" t="str">
        <f>IF(N2="Spanish","Turno:",IF(N2="Portugese","Turno:",IF(N2="French","Equipe:","Shift:")))</f>
        <v>Shift:</v>
      </c>
      <c r="K5" s="346"/>
      <c r="L5" s="343" t="s">
        <v>211</v>
      </c>
      <c r="M5" s="343"/>
      <c r="N5" s="119"/>
      <c r="O5" s="202"/>
      <c r="P5" s="120"/>
      <c r="R5" s="122"/>
    </row>
    <row r="6" spans="2:18" s="121" customFormat="1" ht="18">
      <c r="B6" s="201" t="str">
        <f>IF(N2="Spanish","Supervisor de Línea:",IF(N2="Portugese","Operador Responsável:",IF(N2="French","Chef d'équipe:","Crew Leader:")))</f>
        <v>Crew Leader:</v>
      </c>
      <c r="C6" s="343" t="s">
        <v>423</v>
      </c>
      <c r="D6" s="343"/>
      <c r="E6" s="345" t="str">
        <f>IF(N2="Spanish","Hora Fin Producción:",IF(N2="Portugese","Hora produção terminou:",IF(N2="French","Heure de fin de production:","Production Stop Time:")))</f>
        <v>Production Stop Time:</v>
      </c>
      <c r="F6" s="346"/>
      <c r="G6" s="347"/>
      <c r="H6" s="86">
        <v>0.33333333333333331</v>
      </c>
      <c r="I6" s="345" t="str">
        <f>IF(N2="Spanish","Tiempo Total Turno:",IF(N2="Portugese","Total de horas no turno:",IF(N2="French","Durée totale de l'équipe:","Total Shift Time:")))</f>
        <v>Total Shift Time:</v>
      </c>
      <c r="J6" s="346"/>
      <c r="K6" s="347"/>
      <c r="L6" s="414">
        <f>IF(H5&lt;&gt;"",IF(H6&lt;H5,(1-H5+H6)*24*60,(H6-H5)*24*60),"")</f>
        <v>480</v>
      </c>
      <c r="M6" s="414"/>
      <c r="N6" s="123"/>
      <c r="O6" s="202"/>
      <c r="P6" s="120"/>
      <c r="R6" s="122"/>
    </row>
    <row r="7" spans="2:18" ht="16" thickBot="1">
      <c r="B7" s="203"/>
      <c r="C7" s="39"/>
      <c r="D7" s="344"/>
      <c r="E7" s="344"/>
      <c r="F7" s="344"/>
      <c r="G7" s="344"/>
      <c r="H7" s="40"/>
      <c r="I7" s="40"/>
      <c r="J7" s="40"/>
      <c r="K7" s="40"/>
      <c r="L7" s="40"/>
      <c r="M7" s="40"/>
      <c r="N7" s="40"/>
      <c r="O7" s="204"/>
    </row>
    <row r="8" spans="2:18" ht="15.75" customHeight="1">
      <c r="B8" s="205"/>
      <c r="C8" s="153"/>
      <c r="D8" s="153"/>
      <c r="E8" s="153"/>
      <c r="F8" s="146" t="str">
        <f>IF(N2="Spanish","Cambio",IF(N2="Portugese","Troca de produto",IF(N2="French","Ordre de Fabrication/Changement de format","Products Run / Changeovers")))</f>
        <v>Products Run / Changeovers</v>
      </c>
      <c r="G8" s="146"/>
      <c r="H8" s="146"/>
      <c r="I8" s="146"/>
      <c r="J8" s="146"/>
      <c r="K8" s="146"/>
      <c r="L8" s="146"/>
      <c r="M8" s="146"/>
      <c r="N8" s="146"/>
      <c r="O8" s="206"/>
    </row>
    <row r="9" spans="2:18" ht="15.75" customHeight="1">
      <c r="B9" s="207"/>
      <c r="C9" s="184"/>
      <c r="D9" s="417" t="str">
        <f>IF(N2="Spanish",IF(OR(AND(B12&lt;&gt;"",AND(D11="",D12="")),AND(B13&lt;&gt;"",AND(D11="",D12="",D13="")),AND(B16&lt;&gt;"",AND(D11="",D12="",D13="",D16=""))),"CAMBIO DE HORA DEBE ANOTARSE SI MAS DE UN PRODUCTO ESTA RUN.",""),IF(N2="Portugese",IF(OR(AND(B12&lt;&gt;"",AND(D11="",D12="")),AND(B13&lt;&gt;"",AND(D11="",D12="",D13="")),AND(B16&lt;&gt;"",AND(D11="",D12="",D13="",D16=""))),"TEMPO DE TROCA DEVE SER INSERIDO SE HOUVE MAIS DE UM PRODUTO.",""),IF(N2="French",IF(OR(AND(B12&lt;&gt;"",AND(D11="",D12="")),AND(B13&lt;&gt;"",AND(D11="",D12="",D13="")),AND(B16&lt;&gt;"",AND(D11="",D12="",D13="",D16=""))),"LE TEMPS DE CHANGEMENT DE FORMAT DOIT ETRE SAISI SI ON PRODUIT PLUS D’UNE REFERENCE.",""),IF(OR(AND(B12&lt;&gt;"",AND(D11="",D12="")),AND(B13&lt;&gt;"",AND(D11="",D12="",D13="")),AND(B16&lt;&gt;"",AND(D11="",D12="",D13="",D16=""))),"CHANGEOVER TIME MUST BE ENTERED IF MORE THAN ONE PRODUCT WAS RUN.",""))))</f>
        <v/>
      </c>
      <c r="E9" s="417"/>
      <c r="F9" s="417"/>
      <c r="G9" s="417"/>
      <c r="H9" s="417"/>
      <c r="I9" s="417"/>
      <c r="J9" s="417"/>
      <c r="K9" s="148"/>
      <c r="L9" s="148"/>
      <c r="M9" s="148"/>
      <c r="N9" s="148"/>
      <c r="O9" s="208"/>
    </row>
    <row r="10" spans="2:18" ht="26">
      <c r="B10" s="209" t="str">
        <f>IF(N2="Spanish","Productos",IF(N2="Portugese","Produto",IF(N2="French","référence produit en cours","Products Run")))</f>
        <v>Products Run</v>
      </c>
      <c r="C10" s="190" t="str">
        <f>IF(N2="Spanish","Presentación",IF(N2="Portugese","Tamanho de embalagem",IF(N2="French","taille emballage","Size")))</f>
        <v>Size</v>
      </c>
      <c r="D10" s="190" t="str">
        <f>IF(N2="Spanish","Tiempo de Cambio",IF(N2="Portugese","Tempo de transição",IF(N2="French","Durée du changement de format ","Changeover Time")))</f>
        <v>Changeover Time</v>
      </c>
      <c r="E10" s="351" t="str">
        <f>IF(N2="Spanish","Comentarios",IF(N2="Portugese","Comentários",IF(N2="French","Commentaires","Comments")))</f>
        <v>Comments</v>
      </c>
      <c r="F10" s="351"/>
      <c r="G10" s="351"/>
      <c r="H10" s="351"/>
      <c r="I10" s="351"/>
      <c r="J10" s="351"/>
      <c r="K10" s="351"/>
      <c r="L10" s="351"/>
      <c r="M10" s="351"/>
      <c r="N10" s="351"/>
      <c r="O10" s="352"/>
    </row>
    <row r="11" spans="2:18" s="37" customFormat="1" ht="15.75" customHeight="1">
      <c r="B11" s="210" t="s">
        <v>405</v>
      </c>
      <c r="C11" s="90" t="str">
        <f>IF(B11&lt;&gt;"",VLOOKUP(B11,'Setup Sheet'!C:G,3,FALSE),"")</f>
        <v>0.2L</v>
      </c>
      <c r="D11" s="91"/>
      <c r="E11" s="362" t="s">
        <v>492</v>
      </c>
      <c r="F11" s="363"/>
      <c r="G11" s="363"/>
      <c r="H11" s="363"/>
      <c r="I11" s="363"/>
      <c r="J11" s="363"/>
      <c r="K11" s="363"/>
      <c r="L11" s="363"/>
      <c r="M11" s="363"/>
      <c r="N11" s="363"/>
      <c r="O11" s="364"/>
      <c r="P11" s="36"/>
      <c r="R11" s="38"/>
    </row>
    <row r="12" spans="2:18" s="37" customFormat="1">
      <c r="B12" s="211"/>
      <c r="C12" s="92" t="str">
        <f>IF(B12&lt;&gt;"",VLOOKUP(B12,'Setup Sheet'!C:G,3,FALSE),"")</f>
        <v/>
      </c>
      <c r="D12" s="93"/>
      <c r="E12" s="362"/>
      <c r="F12" s="363"/>
      <c r="G12" s="363"/>
      <c r="H12" s="363"/>
      <c r="I12" s="363"/>
      <c r="J12" s="363"/>
      <c r="K12" s="363"/>
      <c r="L12" s="363"/>
      <c r="M12" s="363"/>
      <c r="N12" s="363"/>
      <c r="O12" s="364"/>
      <c r="P12" s="36"/>
      <c r="R12" s="38"/>
    </row>
    <row r="13" spans="2:18" s="37" customFormat="1" ht="15" customHeight="1">
      <c r="B13" s="211"/>
      <c r="C13" s="92" t="str">
        <f>IF(B13&lt;&gt;"",VLOOKUP(B13,'Setup Sheet'!C:G,3,FALSE),"")</f>
        <v/>
      </c>
      <c r="D13" s="93"/>
      <c r="E13" s="362"/>
      <c r="F13" s="363"/>
      <c r="G13" s="363"/>
      <c r="H13" s="363"/>
      <c r="I13" s="363"/>
      <c r="J13" s="363"/>
      <c r="K13" s="363"/>
      <c r="L13" s="363"/>
      <c r="M13" s="363"/>
      <c r="N13" s="363"/>
      <c r="O13" s="364"/>
      <c r="P13" s="36"/>
      <c r="R13" s="38"/>
    </row>
    <row r="14" spans="2:18" s="37" customFormat="1" ht="15" customHeight="1">
      <c r="B14" s="212"/>
      <c r="C14" s="92" t="str">
        <f>IF(B14&lt;&gt;"",VLOOKUP(B14,'Setup Sheet'!C:G,3,FALSE),"")</f>
        <v/>
      </c>
      <c r="D14" s="175"/>
      <c r="E14" s="362"/>
      <c r="F14" s="363"/>
      <c r="G14" s="363"/>
      <c r="H14" s="363"/>
      <c r="I14" s="363"/>
      <c r="J14" s="363"/>
      <c r="K14" s="363"/>
      <c r="L14" s="363"/>
      <c r="M14" s="363"/>
      <c r="N14" s="363"/>
      <c r="O14" s="364"/>
      <c r="P14" s="36"/>
      <c r="R14" s="38"/>
    </row>
    <row r="15" spans="2:18" s="37" customFormat="1" ht="15" customHeight="1">
      <c r="B15" s="212"/>
      <c r="C15" s="92" t="str">
        <f>IF(B15&lt;&gt;"",VLOOKUP(B15,'Setup Sheet'!C:G,3,FALSE),"")</f>
        <v/>
      </c>
      <c r="D15" s="175"/>
      <c r="E15" s="362"/>
      <c r="F15" s="363"/>
      <c r="G15" s="363"/>
      <c r="H15" s="363"/>
      <c r="I15" s="363"/>
      <c r="J15" s="363"/>
      <c r="K15" s="363"/>
      <c r="L15" s="363"/>
      <c r="M15" s="363"/>
      <c r="N15" s="363"/>
      <c r="O15" s="364"/>
      <c r="P15" s="36"/>
      <c r="R15" s="38"/>
    </row>
    <row r="16" spans="2:18" s="37" customFormat="1" ht="16" thickBot="1">
      <c r="B16" s="213"/>
      <c r="C16" s="144" t="str">
        <f>IF(B16&lt;&gt;"",VLOOKUP(B16,'Setup Sheet'!C:G,3,FALSE),"")</f>
        <v/>
      </c>
      <c r="D16" s="145"/>
      <c r="E16" s="348"/>
      <c r="F16" s="349"/>
      <c r="G16" s="349"/>
      <c r="H16" s="349"/>
      <c r="I16" s="349"/>
      <c r="J16" s="349"/>
      <c r="K16" s="349"/>
      <c r="L16" s="349"/>
      <c r="M16" s="349"/>
      <c r="N16" s="349"/>
      <c r="O16" s="350"/>
      <c r="P16" s="36"/>
      <c r="R16" s="38"/>
    </row>
    <row r="17" spans="2:18" s="37" customFormat="1" ht="15.75" customHeight="1">
      <c r="B17" s="205"/>
      <c r="C17" s="153"/>
      <c r="D17" s="327" t="str">
        <f>IF(N2="Spanish","Tiempo Muerto Planeado",IF(N2="Portugese","Tempo sem produção PLANEJADO",IF(N2="French","Arrets planifiés (mn)","Planned Downtime")))</f>
        <v>Planned Downtime</v>
      </c>
      <c r="E17" s="327"/>
      <c r="F17" s="327"/>
      <c r="G17" s="327"/>
      <c r="H17" s="327"/>
      <c r="I17" s="327"/>
      <c r="J17" s="143"/>
      <c r="K17" s="143"/>
      <c r="L17" s="143"/>
      <c r="M17" s="143"/>
      <c r="N17" s="143"/>
      <c r="O17" s="214"/>
      <c r="P17" s="36"/>
      <c r="R17" s="38"/>
    </row>
    <row r="18" spans="2:18" s="37" customFormat="1" ht="15.75" customHeight="1">
      <c r="B18" s="355" t="str">
        <f>IF(N2="Spanish",IF(OR(AND(B20&lt;&gt;"",D20=""),AND(B21&lt;&gt;"",D21=""),AND(B22&lt;&gt;"",D22=""),AND(B23&lt;&gt;"",D23=""),AND(B24&lt;&gt;"",D24=""),AND(B25&lt;&gt;"",D25=""),AND(B26&lt;&gt;"",D26=""),AND(B27&lt;&gt;"",D27=""),AND(B28&lt;&gt;"",D28="")),"DURACIÓN OBLIGATORIA LA INSCRIPCIÓN PARA CADA CASO DE PLANIFICACIÓN DE TIEMPO MUERTO",""),IF(N2="Portugese",IF(OR(AND(B20&lt;&gt;"",D20=""),AND(B21&lt;&gt;"",D21=""),AND(B22&lt;&gt;"",D22=""),AND(B23&lt;&gt;"",D23=""),AND(B24&lt;&gt;"",D24=""),AND(B25&lt;&gt;"",D25=""),AND(B26&lt;&gt;"",D26=""),AND(B27&lt;&gt;"",D27=""),AND(B28&lt;&gt;"",D28="")),"O TEMPO DEVE SER INSERIDO PARA CADA PARADA PLANEJADA.",""),IF(N2="French",IF(OR(AND(B20&lt;&gt;"",D20=""),AND(B21&lt;&gt;"",D21=""),AND(B22&lt;&gt;"",D22=""),AND(B23&lt;&gt;"",D23=""),AND(B24&lt;&gt;"",D24=""),AND(B25&lt;&gt;"",D25=""),AND(B26&lt;&gt;"",D26=""),AND(B27&lt;&gt;"",D27=""),AND(B28&lt;&gt;"",D28="")),"LA DUREE DOIT ETRE SAISI POUR CHAQUE ARRET PLANIFIE .",""),IF(OR(AND(B20&lt;&gt;"",D20=""),AND(B21&lt;&gt;"",D21=""),AND(B22&lt;&gt;"",D22=""),AND(B23&lt;&gt;"",D23=""),AND(B24&lt;&gt;"",D24=""),AND(B25&lt;&gt;"",D25=""),AND(B26&lt;&gt;"",D26=""),AND(B27&lt;&gt;"",D27=""),AND(B28&lt;&gt;"",D28="")),"DURATION MUST BE ENTERED FOR EACH PLANNED DOWNTIME EVENT.",""))))</f>
        <v/>
      </c>
      <c r="C18" s="353"/>
      <c r="D18" s="353"/>
      <c r="E18" s="353"/>
      <c r="F18" s="156"/>
      <c r="G18" s="156"/>
      <c r="H18" s="353" t="str">
        <f>IF(N2="Spanish",IF(OR(AND(B20&lt;&gt;"",F20=""),AND(B21&lt;&gt;"",F21=""),AND(B22&lt;&gt;"",F22=""),AND(B23&lt;&gt;"",F23=""),AND(B24&lt;&gt;"",F24=""),AND(B25&lt;&gt;"",F25=""),AND(B26&lt;&gt;"",F26=""),AND(B27&lt;&gt;"",F27=""),AND(B28&lt;&gt;"",F28="")),"PRODUCTO DEBE SER SELECCIONADO PARA CADA CASO DE PLANIFICACIÓN DE TIEMPO MUERTO",""),IF(N2="Portugese",IF(OR(AND(B20&lt;&gt;"",F20=""),AND(B21&lt;&gt;"",F21=""),AND(B22&lt;&gt;"",F22=""),AND(B23&lt;&gt;"",F23=""),AND(B24&lt;&gt;"",F24=""),AND(B25&lt;&gt;"",F25=""),AND(B26&lt;&gt;"",F26=""),AND(B27&lt;&gt;"",F27=""),AND(B28&lt;&gt;"",F28="")),"O PRODUTO DEVE SER SELECIONADO PARA CADA PARADA PLANEJADA.",""),IF(N2="French",IF(OR(AND(B20&lt;&gt;"",F20=""),AND(B21&lt;&gt;"",F21=""),AND(B22&lt;&gt;"",F22=""),AND(B23&lt;&gt;"",F23=""),AND(B24&lt;&gt;"",F24=""),AND(B25&lt;&gt;"",F25=""),AND(B26&lt;&gt;"",F26=""),AND(B27&lt;&gt;"",F27=""),AND(B28&lt;&gt;"",F28="")),"LA REFERENCE PRODUIT DOIT ETRE SELECTIONNEE POUR CHAQUE ARRET PLANIFIE.",""),IF(OR(AND(B20&lt;&gt;"",F20=""),AND(B21&lt;&gt;"",F21=""),AND(B22&lt;&gt;"",F22=""),AND(B23&lt;&gt;"",F23=""),AND(B24&lt;&gt;"",F24=""),AND(B25&lt;&gt;"",F25=""),AND(B26&lt;&gt;"",F26=""),AND(B27&lt;&gt;"",F27=""),AND(B28&lt;&gt;"",F28="")),"PRODUCT MUST BE SELECTED FOR EACH PLANNED DOWNTIME EVENT.",""))))</f>
        <v/>
      </c>
      <c r="I18" s="353"/>
      <c r="J18" s="353"/>
      <c r="K18" s="353"/>
      <c r="L18" s="353"/>
      <c r="M18" s="353"/>
      <c r="N18" s="353"/>
      <c r="O18" s="354"/>
      <c r="P18" s="36"/>
      <c r="R18" s="38"/>
    </row>
    <row r="19" spans="2:18" s="37" customFormat="1">
      <c r="B19" s="215" t="str">
        <f>IF(N2="Spanish","Razón",IF(N2="Portugese","Razão",IF(N2="French","Cause ","Reason")))</f>
        <v>Reason</v>
      </c>
      <c r="C19" s="102" t="str">
        <f>IF(N2="Spanish","Tiempo Programado",IF(N2="Portugese","Horas planejadas",IF(N2="French","Temps planifié","Planned Time")))</f>
        <v>Planned Time</v>
      </c>
      <c r="D19" s="87" t="str">
        <f>IF(N2="Spanish","Duración (min)",IF(N2="Portugese","Duração (min)",IF(N2="French","Durée (min)","Duration (min)")))</f>
        <v>Duration (min)</v>
      </c>
      <c r="E19" s="187" t="str">
        <f>IF(N2="Spanish","Excedido",IF(N2="Portugese","Excedente",IF(N2="French","Dépassement","Over-Run")))</f>
        <v>Over-Run</v>
      </c>
      <c r="F19" s="361" t="str">
        <f>IF(N2="Spanish","Producto",IF(N2="Portugese","Produto",IF(N2="French","Référence produit","Product")))</f>
        <v>Product</v>
      </c>
      <c r="G19" s="361"/>
      <c r="H19" s="415" t="str">
        <f>IF(N2="Spanish","Comentarios",IF(N2="Portugese","Comentários",IF(N2="French","Commentaires","Comments")))</f>
        <v>Comments</v>
      </c>
      <c r="I19" s="415"/>
      <c r="J19" s="415"/>
      <c r="K19" s="415"/>
      <c r="L19" s="415"/>
      <c r="M19" s="415"/>
      <c r="N19" s="415"/>
      <c r="O19" s="416"/>
      <c r="P19" s="36"/>
      <c r="R19" s="38"/>
    </row>
    <row r="20" spans="2:18" s="37" customFormat="1">
      <c r="B20" s="211" t="s">
        <v>212</v>
      </c>
      <c r="C20" s="106">
        <v>30</v>
      </c>
      <c r="D20" s="88">
        <v>30</v>
      </c>
      <c r="E20" s="105"/>
      <c r="F20" s="359" t="s">
        <v>405</v>
      </c>
      <c r="G20" s="360"/>
      <c r="H20" s="356"/>
      <c r="I20" s="357"/>
      <c r="J20" s="357"/>
      <c r="K20" s="357"/>
      <c r="L20" s="357"/>
      <c r="M20" s="357"/>
      <c r="N20" s="357"/>
      <c r="O20" s="358"/>
      <c r="P20" s="36"/>
      <c r="R20" s="38"/>
    </row>
    <row r="21" spans="2:18" s="37" customFormat="1">
      <c r="B21" s="211"/>
      <c r="C21" s="106"/>
      <c r="D21" s="88"/>
      <c r="E21" s="89"/>
      <c r="F21" s="331"/>
      <c r="G21" s="332"/>
      <c r="H21" s="335"/>
      <c r="I21" s="336"/>
      <c r="J21" s="336"/>
      <c r="K21" s="336"/>
      <c r="L21" s="336"/>
      <c r="M21" s="336"/>
      <c r="N21" s="336"/>
      <c r="O21" s="337"/>
      <c r="P21" s="36"/>
      <c r="R21" s="38"/>
    </row>
    <row r="22" spans="2:18" s="37" customFormat="1">
      <c r="B22" s="211"/>
      <c r="C22" s="106"/>
      <c r="D22" s="106"/>
      <c r="E22" s="89"/>
      <c r="F22" s="331"/>
      <c r="G22" s="332"/>
      <c r="H22" s="335"/>
      <c r="I22" s="336"/>
      <c r="J22" s="336"/>
      <c r="K22" s="336"/>
      <c r="L22" s="336"/>
      <c r="M22" s="336"/>
      <c r="N22" s="336"/>
      <c r="O22" s="337"/>
      <c r="P22" s="36"/>
      <c r="R22" s="38"/>
    </row>
    <row r="23" spans="2:18" s="37" customFormat="1">
      <c r="B23" s="211"/>
      <c r="C23" s="106"/>
      <c r="D23" s="106"/>
      <c r="E23" s="89"/>
      <c r="F23" s="331"/>
      <c r="G23" s="332"/>
      <c r="H23" s="335"/>
      <c r="I23" s="336"/>
      <c r="J23" s="336"/>
      <c r="K23" s="336"/>
      <c r="L23" s="336"/>
      <c r="M23" s="336"/>
      <c r="N23" s="336"/>
      <c r="O23" s="337"/>
      <c r="P23" s="36"/>
      <c r="R23" s="38"/>
    </row>
    <row r="24" spans="2:18" s="37" customFormat="1">
      <c r="B24" s="211"/>
      <c r="C24" s="106"/>
      <c r="D24" s="106"/>
      <c r="E24" s="89"/>
      <c r="F24" s="331"/>
      <c r="G24" s="332"/>
      <c r="H24" s="335"/>
      <c r="I24" s="336"/>
      <c r="J24" s="336"/>
      <c r="K24" s="336"/>
      <c r="L24" s="336"/>
      <c r="M24" s="336"/>
      <c r="N24" s="336"/>
      <c r="O24" s="337"/>
      <c r="P24" s="36"/>
      <c r="R24" s="38"/>
    </row>
    <row r="25" spans="2:18" s="37" customFormat="1">
      <c r="B25" s="211"/>
      <c r="C25" s="106"/>
      <c r="D25" s="106"/>
      <c r="E25" s="89"/>
      <c r="F25" s="331"/>
      <c r="G25" s="332"/>
      <c r="H25" s="335"/>
      <c r="I25" s="336"/>
      <c r="J25" s="336"/>
      <c r="K25" s="336"/>
      <c r="L25" s="336"/>
      <c r="M25" s="336"/>
      <c r="N25" s="336"/>
      <c r="O25" s="337"/>
      <c r="P25" s="36"/>
      <c r="R25" s="38"/>
    </row>
    <row r="26" spans="2:18" s="37" customFormat="1">
      <c r="B26" s="211"/>
      <c r="C26" s="106"/>
      <c r="D26" s="106"/>
      <c r="E26" s="89"/>
      <c r="F26" s="331"/>
      <c r="G26" s="332"/>
      <c r="H26" s="335"/>
      <c r="I26" s="336"/>
      <c r="J26" s="336"/>
      <c r="K26" s="336"/>
      <c r="L26" s="336"/>
      <c r="M26" s="336"/>
      <c r="N26" s="336"/>
      <c r="O26" s="337"/>
      <c r="P26" s="36"/>
      <c r="R26" s="38"/>
    </row>
    <row r="27" spans="2:18" s="37" customFormat="1">
      <c r="B27" s="211"/>
      <c r="C27" s="106"/>
      <c r="D27" s="106"/>
      <c r="E27" s="89"/>
      <c r="F27" s="331"/>
      <c r="G27" s="332"/>
      <c r="H27" s="335"/>
      <c r="I27" s="336"/>
      <c r="J27" s="336"/>
      <c r="K27" s="336"/>
      <c r="L27" s="336"/>
      <c r="M27" s="336"/>
      <c r="N27" s="336"/>
      <c r="O27" s="337"/>
      <c r="P27" s="36"/>
      <c r="R27" s="38"/>
    </row>
    <row r="28" spans="2:18" s="37" customFormat="1" ht="16.5" customHeight="1" thickBot="1">
      <c r="B28" s="216"/>
      <c r="C28" s="140"/>
      <c r="D28" s="140"/>
      <c r="E28" s="141" t="str">
        <f t="shared" ref="E28" si="0">IF(D28&gt;C28,D28-C28,"")</f>
        <v/>
      </c>
      <c r="F28" s="333"/>
      <c r="G28" s="334"/>
      <c r="H28" s="338"/>
      <c r="I28" s="339"/>
      <c r="J28" s="339"/>
      <c r="K28" s="339"/>
      <c r="L28" s="339"/>
      <c r="M28" s="339"/>
      <c r="N28" s="339"/>
      <c r="O28" s="340"/>
      <c r="P28" s="36"/>
      <c r="R28" s="38"/>
    </row>
    <row r="29" spans="2:18" ht="15.75" customHeight="1">
      <c r="B29" s="328"/>
      <c r="C29" s="329"/>
      <c r="D29" s="329"/>
      <c r="E29" s="329"/>
      <c r="F29" s="327" t="str">
        <f>IF(N2="Spanish","Pérdidas por Disponibilidad",IF(N2="Portugese","Perdas de Disponibilidade",IF(N2="French","Arrets non planifiés (mn)","Unplanned Downtime")))</f>
        <v>Unplanned Downtime</v>
      </c>
      <c r="G29" s="327"/>
      <c r="H29" s="143"/>
      <c r="I29" s="143"/>
      <c r="J29" s="143"/>
      <c r="K29" s="143"/>
      <c r="L29" s="143"/>
      <c r="M29" s="143"/>
      <c r="N29" s="143"/>
      <c r="O29" s="214"/>
    </row>
    <row r="30" spans="2:18" ht="15.75" customHeight="1">
      <c r="B30" s="207"/>
      <c r="C30" s="184"/>
      <c r="D30" s="330" t="str">
        <f>IF(N2="Spanish",IF(OR(AND(B32&lt;&gt;"",G32=""),AND(B33&lt;&gt;"",G33=""),AND(B34&lt;&gt;"",G34=""),AND(B35&lt;&gt;"",G35=""),AND(B36&lt;&gt;"",G36=""),AND(B37&lt;&gt;"",G37=""),AND(B38&lt;&gt;"",G38=""),AND(B39&lt;&gt;"",G39=""),AND(B40&lt;&gt;"",G40=""),AND(B41&lt;&gt;"",G41=""),AND(B42&lt;&gt;"",G42=""),AND(B43&lt;&gt;"",G43="")),"PRODUCTO DEBE SER SELECCIONADO PARA CADA EVENTO PARADAS IMPREVISTAS",""),IF(N2="Portugese",IF(OR(AND(B32&lt;&gt;"",G32=""),AND(B33&lt;&gt;"",G33=""),AND(B34&lt;&gt;"",G34=""),AND(B35&lt;&gt;"",G35=""),AND(B36&lt;&gt;"",G36=""),AND(B37&lt;&gt;"",G37=""),AND(B38&lt;&gt;"",G38=""),AND(B39&lt;&gt;"",G39=""),AND(B40&lt;&gt;"",G40=""),AND(B41&lt;&gt;"",G41=""),AND(B42&lt;&gt;"",G42=""),AND(B43&lt;&gt;"",G43="")),"O PRODUTO DEVE SER SELECIONADO PARA CADA PARADA NÃO PLANEJADA.",""),IF(N2="French",IF(OR(AND(B32&lt;&gt;"",G32=""),AND(B33&lt;&gt;"",G33=""),AND(B34&lt;&gt;"",G34=""),AND(B35&lt;&gt;"",G35=""),AND(B36&lt;&gt;"",G36=""),AND(B37&lt;&gt;"",G37=""),AND(B38&lt;&gt;"",G38=""),AND(B39&lt;&gt;"",G39=""),AND(B40&lt;&gt;"",G40=""),AND(B41&lt;&gt;"",G41=""),AND(B42&lt;&gt;"",G42=""),AND(B43&lt;&gt;"",G43="")),"UN ORDRE DE FABRICATION DOIT ETRE SELECTIONNE POUR CHAQUE ARRET NON PLANIFIE.",""),IF(OR(AND(B32&lt;&gt;"",G32=""),AND(B33&lt;&gt;"",G33=""),AND(B34&lt;&gt;"",G34=""),AND(B35&lt;&gt;"",G35=""),AND(B36&lt;&gt;"",G36=""),AND(B37&lt;&gt;"",G37=""),AND(B38&lt;&gt;"",G38=""),AND(B39&lt;&gt;"",G39=""),AND(B40&lt;&gt;"",G40=""),AND(B41&lt;&gt;"",G41=""),AND(B42&lt;&gt;"",G42=""),AND(B43&lt;&gt;"",G43="")),"PRODUCT MUST BE SELECTED FOR EACH UNPLANNED DOWNTIME EVENT.",""))))</f>
        <v/>
      </c>
      <c r="E30" s="330"/>
      <c r="F30" s="330"/>
      <c r="G30" s="330"/>
      <c r="H30" s="330"/>
      <c r="I30" s="330"/>
      <c r="J30" s="147"/>
      <c r="K30" s="147"/>
      <c r="L30" s="147"/>
      <c r="M30" s="147"/>
      <c r="N30" s="147"/>
      <c r="O30" s="217"/>
    </row>
    <row r="31" spans="2:18" ht="15.75" customHeight="1">
      <c r="B31" s="110" t="str">
        <f>IF(N2="Spanish","Razón de Tiempo Muerto No Planeado",IF(N2="Portugese","Razão de tempo parado",IF(N2="French","Cause (apparente) de l'arret non planifié","Reason for Unplanned Downtime")))</f>
        <v>Reason for Unplanned Downtime</v>
      </c>
      <c r="C31" s="87" t="str">
        <f>IF(N2="Spanish","Duración (min)",IF(N2="Portugese","Duração (min)",IF(N2="French","Durée (min)","Duration (min)")))</f>
        <v>Duration (min)</v>
      </c>
      <c r="D31" s="361" t="str">
        <f>IF(N2="Spanish","Descripción Detallada",IF(N2="Portugese","Descrição Detalhada",IF(N2="French","Desciption détaillée","Detailed Description")))</f>
        <v>Detailed Description</v>
      </c>
      <c r="E31" s="361"/>
      <c r="F31" s="361"/>
      <c r="G31" s="361" t="str">
        <f>IF(N2="Spanish","Producto",IF(N2="Portugese","Produto",IF(N2="French","Référence produit","Product")))</f>
        <v>Product</v>
      </c>
      <c r="H31" s="361"/>
      <c r="I31" s="361" t="str">
        <f>IF(N2="Spanish","Comentarios (indicar si el tiempo muerto afectó varios turnos)",IF(N2="Portugese","Comentários (indicar se parada durou mais que um turno)",IF(N2="French","Commentaires (indiquer si l'arret a duré plusieurs équipes)","Comments (indicate if downtime spans multiple shifts)")))</f>
        <v>Comments (indicate if downtime spans multiple shifts)</v>
      </c>
      <c r="J31" s="361"/>
      <c r="K31" s="361"/>
      <c r="L31" s="361"/>
      <c r="M31" s="361"/>
      <c r="N31" s="361"/>
      <c r="O31" s="431"/>
    </row>
    <row r="32" spans="2:18" s="37" customFormat="1" ht="17.25" customHeight="1">
      <c r="B32" s="218" t="s">
        <v>395</v>
      </c>
      <c r="C32" s="94">
        <v>95</v>
      </c>
      <c r="D32" s="373" t="s">
        <v>490</v>
      </c>
      <c r="E32" s="374"/>
      <c r="F32" s="374"/>
      <c r="G32" s="410" t="s">
        <v>405</v>
      </c>
      <c r="H32" s="411"/>
      <c r="I32" s="392" t="s">
        <v>489</v>
      </c>
      <c r="J32" s="393"/>
      <c r="K32" s="393"/>
      <c r="L32" s="393"/>
      <c r="M32" s="393"/>
      <c r="N32" s="393"/>
      <c r="O32" s="394"/>
      <c r="P32" s="41">
        <f t="shared" ref="P32:Q42" si="1">IF(C32&gt;$H$5,$C$5+C32,$C$5+1+C32)</f>
        <v>44461</v>
      </c>
      <c r="Q32" s="41" t="e">
        <f t="shared" si="1"/>
        <v>#VALUE!</v>
      </c>
      <c r="R32" s="38"/>
    </row>
    <row r="33" spans="2:19" s="37" customFormat="1" ht="17.25" customHeight="1">
      <c r="B33" s="218" t="s">
        <v>239</v>
      </c>
      <c r="C33" s="94">
        <v>25</v>
      </c>
      <c r="D33" s="373" t="s">
        <v>491</v>
      </c>
      <c r="E33" s="374"/>
      <c r="F33" s="374"/>
      <c r="G33" s="410" t="s">
        <v>405</v>
      </c>
      <c r="H33" s="411"/>
      <c r="I33" s="392"/>
      <c r="J33" s="393"/>
      <c r="K33" s="393"/>
      <c r="L33" s="393"/>
      <c r="M33" s="393"/>
      <c r="N33" s="393"/>
      <c r="O33" s="394"/>
      <c r="P33" s="41">
        <f t="shared" si="1"/>
        <v>44391</v>
      </c>
      <c r="Q33" s="41" t="e">
        <f t="shared" si="1"/>
        <v>#VALUE!</v>
      </c>
      <c r="R33" s="38"/>
    </row>
    <row r="34" spans="2:19" s="37" customFormat="1" ht="17.25" customHeight="1">
      <c r="B34" s="218" t="s">
        <v>218</v>
      </c>
      <c r="C34" s="94">
        <v>20</v>
      </c>
      <c r="D34" s="373" t="s">
        <v>493</v>
      </c>
      <c r="E34" s="374"/>
      <c r="F34" s="374"/>
      <c r="G34" s="410" t="s">
        <v>405</v>
      </c>
      <c r="H34" s="411"/>
      <c r="I34" s="392" t="s">
        <v>494</v>
      </c>
      <c r="J34" s="393"/>
      <c r="K34" s="393"/>
      <c r="L34" s="393"/>
      <c r="M34" s="393"/>
      <c r="N34" s="393"/>
      <c r="O34" s="394"/>
      <c r="P34" s="41">
        <f t="shared" si="1"/>
        <v>44386</v>
      </c>
      <c r="Q34" s="41" t="e">
        <f t="shared" si="1"/>
        <v>#VALUE!</v>
      </c>
      <c r="R34" s="38"/>
    </row>
    <row r="35" spans="2:19" s="37" customFormat="1" ht="17.25" customHeight="1">
      <c r="B35" s="218" t="s">
        <v>218</v>
      </c>
      <c r="C35" s="94">
        <v>30</v>
      </c>
      <c r="D35" s="373" t="s">
        <v>495</v>
      </c>
      <c r="E35" s="374"/>
      <c r="F35" s="374"/>
      <c r="G35" s="410" t="s">
        <v>405</v>
      </c>
      <c r="H35" s="411"/>
      <c r="I35" s="392"/>
      <c r="J35" s="393"/>
      <c r="K35" s="393"/>
      <c r="L35" s="393"/>
      <c r="M35" s="393"/>
      <c r="N35" s="393"/>
      <c r="O35" s="394"/>
      <c r="P35" s="41">
        <f t="shared" si="1"/>
        <v>44396</v>
      </c>
      <c r="Q35" s="41" t="e">
        <f t="shared" si="1"/>
        <v>#VALUE!</v>
      </c>
      <c r="R35" s="42"/>
    </row>
    <row r="36" spans="2:19" s="37" customFormat="1" ht="17.25" customHeight="1">
      <c r="B36" s="218"/>
      <c r="C36" s="94"/>
      <c r="D36" s="373"/>
      <c r="E36" s="374"/>
      <c r="F36" s="374"/>
      <c r="G36" s="412"/>
      <c r="H36" s="412"/>
      <c r="I36" s="392"/>
      <c r="J36" s="393"/>
      <c r="K36" s="393"/>
      <c r="L36" s="393"/>
      <c r="M36" s="393"/>
      <c r="N36" s="393"/>
      <c r="O36" s="394"/>
      <c r="P36" s="41">
        <f t="shared" si="1"/>
        <v>44367</v>
      </c>
      <c r="Q36" s="41">
        <f t="shared" si="1"/>
        <v>44367</v>
      </c>
      <c r="R36" s="42"/>
    </row>
    <row r="37" spans="2:19" s="37" customFormat="1" ht="17.25" customHeight="1">
      <c r="B37" s="218"/>
      <c r="C37" s="94"/>
      <c r="D37" s="373"/>
      <c r="E37" s="374"/>
      <c r="F37" s="374"/>
      <c r="G37" s="412"/>
      <c r="H37" s="412"/>
      <c r="I37" s="392"/>
      <c r="J37" s="393"/>
      <c r="K37" s="393"/>
      <c r="L37" s="393"/>
      <c r="M37" s="393"/>
      <c r="N37" s="393"/>
      <c r="O37" s="394"/>
      <c r="P37" s="41">
        <f t="shared" si="1"/>
        <v>44367</v>
      </c>
      <c r="Q37" s="41">
        <f t="shared" si="1"/>
        <v>44367</v>
      </c>
      <c r="R37" s="42"/>
    </row>
    <row r="38" spans="2:19" s="37" customFormat="1" ht="17.25" customHeight="1">
      <c r="B38" s="218"/>
      <c r="C38" s="94"/>
      <c r="D38" s="373"/>
      <c r="E38" s="374"/>
      <c r="F38" s="374"/>
      <c r="G38" s="412"/>
      <c r="H38" s="412"/>
      <c r="I38" s="392"/>
      <c r="J38" s="393"/>
      <c r="K38" s="393"/>
      <c r="L38" s="393"/>
      <c r="M38" s="393"/>
      <c r="N38" s="393"/>
      <c r="O38" s="394"/>
      <c r="P38" s="41">
        <f t="shared" si="1"/>
        <v>44367</v>
      </c>
      <c r="Q38" s="41">
        <f t="shared" si="1"/>
        <v>44367</v>
      </c>
      <c r="R38" s="42"/>
    </row>
    <row r="39" spans="2:19" s="37" customFormat="1" ht="17.25" customHeight="1">
      <c r="B39" s="218"/>
      <c r="C39" s="94"/>
      <c r="D39" s="373"/>
      <c r="E39" s="374"/>
      <c r="F39" s="374"/>
      <c r="G39" s="412"/>
      <c r="H39" s="412"/>
      <c r="I39" s="392"/>
      <c r="J39" s="393"/>
      <c r="K39" s="393"/>
      <c r="L39" s="393"/>
      <c r="M39" s="393"/>
      <c r="N39" s="393"/>
      <c r="O39" s="394"/>
      <c r="P39" s="41">
        <f t="shared" si="1"/>
        <v>44367</v>
      </c>
      <c r="Q39" s="41"/>
      <c r="R39" s="42"/>
    </row>
    <row r="40" spans="2:19" s="37" customFormat="1" ht="17.25" customHeight="1">
      <c r="B40" s="218"/>
      <c r="C40" s="94"/>
      <c r="D40" s="373"/>
      <c r="E40" s="374"/>
      <c r="F40" s="374"/>
      <c r="G40" s="412"/>
      <c r="H40" s="412"/>
      <c r="I40" s="392"/>
      <c r="J40" s="393"/>
      <c r="K40" s="393"/>
      <c r="L40" s="393"/>
      <c r="M40" s="393"/>
      <c r="N40" s="393"/>
      <c r="O40" s="394"/>
      <c r="P40" s="41">
        <f t="shared" si="1"/>
        <v>44367</v>
      </c>
      <c r="Q40" s="41"/>
      <c r="R40" s="42"/>
    </row>
    <row r="41" spans="2:19" s="37" customFormat="1" ht="17.25" customHeight="1">
      <c r="B41" s="218"/>
      <c r="C41" s="94"/>
      <c r="D41" s="373"/>
      <c r="E41" s="374"/>
      <c r="F41" s="374"/>
      <c r="G41" s="412"/>
      <c r="H41" s="412"/>
      <c r="I41" s="392"/>
      <c r="J41" s="393"/>
      <c r="K41" s="393"/>
      <c r="L41" s="393"/>
      <c r="M41" s="393"/>
      <c r="N41" s="393"/>
      <c r="O41" s="394"/>
      <c r="P41" s="41">
        <f t="shared" si="1"/>
        <v>44367</v>
      </c>
      <c r="Q41" s="41"/>
      <c r="R41" s="42"/>
      <c r="S41" s="241" t="b">
        <f>OR(D51="")</f>
        <v>1</v>
      </c>
    </row>
    <row r="42" spans="2:19" s="37" customFormat="1" ht="17.25" customHeight="1">
      <c r="B42" s="218"/>
      <c r="C42" s="94"/>
      <c r="D42" s="373"/>
      <c r="E42" s="374"/>
      <c r="F42" s="374"/>
      <c r="G42" s="412"/>
      <c r="H42" s="412"/>
      <c r="I42" s="392"/>
      <c r="J42" s="393"/>
      <c r="K42" s="393"/>
      <c r="L42" s="393"/>
      <c r="M42" s="393"/>
      <c r="N42" s="393"/>
      <c r="O42" s="394"/>
      <c r="P42" s="41">
        <f t="shared" si="1"/>
        <v>44367</v>
      </c>
      <c r="Q42" s="41"/>
      <c r="R42" s="42"/>
    </row>
    <row r="43" spans="2:19" s="37" customFormat="1" ht="17.25" customHeight="1">
      <c r="B43" s="219"/>
      <c r="C43" s="95"/>
      <c r="D43" s="373"/>
      <c r="E43" s="374"/>
      <c r="F43" s="385"/>
      <c r="G43" s="412"/>
      <c r="H43" s="412"/>
      <c r="I43" s="392"/>
      <c r="J43" s="393"/>
      <c r="K43" s="393"/>
      <c r="L43" s="393"/>
      <c r="M43" s="393"/>
      <c r="N43" s="393"/>
      <c r="O43" s="394"/>
      <c r="P43" s="41">
        <f>IF(C43&gt;$H$5,$C$5+C43,$C$5+1+C43)</f>
        <v>44367</v>
      </c>
      <c r="Q43" s="41">
        <f>IF(D43&gt;$H$5,$C$5+D43,$C$5+1+D43)</f>
        <v>44367</v>
      </c>
      <c r="R43" s="38"/>
    </row>
    <row r="44" spans="2:19" s="37" customFormat="1" ht="15.75" customHeight="1">
      <c r="B44" s="112" t="str">
        <f>IF(N2="Spanish","Total Tiempo de Producción Programado:",IF(N2="Portugese","Tempo total de produção planejada:",IF(N2="French","Durée totale de la production planifiée:","Total Planned Production Time:")))</f>
        <v>Total Planned Production Time:</v>
      </c>
      <c r="C44" s="96">
        <f>IF(L6&lt;&gt;"",L6-SUMIF(D20:D28,"&gt;0",C20:C28),"")</f>
        <v>450</v>
      </c>
      <c r="D44" s="395" t="str">
        <f>IF(C46&lt;0,"ERROR - TOTAL UNPLANNED DOWNTIME MUST BE LESS THAN THE TOTAL PLANNED PRODUCTION TIME","")</f>
        <v/>
      </c>
      <c r="E44" s="396"/>
      <c r="F44" s="396"/>
      <c r="G44" s="396"/>
      <c r="H44" s="396"/>
      <c r="I44" s="396"/>
      <c r="J44" s="396"/>
      <c r="K44" s="396"/>
      <c r="L44" s="162"/>
      <c r="M44" s="97"/>
      <c r="N44" s="97"/>
      <c r="O44" s="220"/>
      <c r="P44" s="41"/>
      <c r="Q44" s="41"/>
      <c r="R44" s="38"/>
    </row>
    <row r="45" spans="2:19" s="37" customFormat="1" ht="15.75" customHeight="1">
      <c r="B45" s="112" t="str">
        <f>IF(N2="Spanish","Total Tiempo Muerto No Planeado:",IF(N2="Portugese","Tempo total de parada não-planejada:",IF(N2="French","Durée total des arrets non planifiés:","Total Unplanned Downtime:")))</f>
        <v>Total Unplanned Downtime:</v>
      </c>
      <c r="C45" s="98">
        <f>IF(B11&lt;&gt;"",SUM(C32:C43)+SUM(D11:D16)+SUM(E20:E28),"")</f>
        <v>170</v>
      </c>
      <c r="D45" s="99"/>
      <c r="E45" s="163"/>
      <c r="F45" s="100"/>
      <c r="G45" s="100"/>
      <c r="H45" s="100"/>
      <c r="I45" s="100"/>
      <c r="J45" s="100"/>
      <c r="K45" s="100"/>
      <c r="L45" s="100"/>
      <c r="M45" s="100"/>
      <c r="N45" s="100"/>
      <c r="O45" s="221"/>
      <c r="P45" s="36"/>
      <c r="R45" s="38"/>
    </row>
    <row r="46" spans="2:19" s="37" customFormat="1" ht="15.75" customHeight="1">
      <c r="B46" s="114" t="str">
        <f>IF(N2="Spanish","Total Tiempo Operativo:",IF(N2="Portugese","Tempo total em operação:",IF(N2="French","Temps total d'opération:","Total Operating Time:")))</f>
        <v>Total Operating Time:</v>
      </c>
      <c r="C46" s="101">
        <f>IF(B11&lt;&gt;"",C44-C45,0)</f>
        <v>280</v>
      </c>
      <c r="D46" s="99"/>
      <c r="E46" s="100"/>
      <c r="F46" s="100"/>
      <c r="G46" s="100"/>
      <c r="H46" s="100"/>
      <c r="I46" s="100"/>
      <c r="J46" s="100"/>
      <c r="K46" s="100"/>
      <c r="L46" s="100"/>
      <c r="M46" s="100"/>
      <c r="N46" s="100"/>
      <c r="O46" s="221"/>
      <c r="P46" s="36"/>
      <c r="R46" s="38"/>
    </row>
    <row r="47" spans="2:19" s="37" customFormat="1" ht="23.5" thickBot="1">
      <c r="B47" s="222" t="str">
        <f>IF(N2="Spanish","Disponibilidad:",IF(N2="Portugese","Disponibilidade:",IF(N2="French","Disponibilité:","Availability:")))</f>
        <v>Availability:</v>
      </c>
      <c r="C47" s="83">
        <f>IF(B11&lt;&gt;"",C46/C44,"")</f>
        <v>0.62222222222222223</v>
      </c>
      <c r="D47" s="426" t="str">
        <f>IF(N2="Spanish","= Tiempo Operativo / Tiempo de Producción Programado",IF(N2="Portugese","= Tempo em operação / Tempo de produção planejado",IF(N2="French","= Temps d'opération / Temps de production planifiée","= Operating Time / Planned Production Time")))</f>
        <v>= Operating Time / Planned Production Time</v>
      </c>
      <c r="E47" s="427"/>
      <c r="F47" s="427"/>
      <c r="G47" s="427"/>
      <c r="H47" s="427"/>
      <c r="I47" s="427"/>
      <c r="J47" s="427"/>
      <c r="K47" s="427"/>
      <c r="L47" s="427"/>
      <c r="M47" s="427"/>
      <c r="N47" s="427"/>
      <c r="O47" s="428"/>
      <c r="P47" s="36"/>
      <c r="R47" s="38"/>
    </row>
    <row r="48" spans="2:19" ht="15.75" customHeight="1">
      <c r="B48" s="424" t="str">
        <f>IF(N2="Spanish",IF(OR(AND(B50&lt;&gt;"",D50=""),AND(B51&lt;&gt;"",OR(C51="",D51="")),AND(B52&lt;&gt;"",OR(C52="",D52="")),AND(B55&lt;&gt;"",OR(C55="",D55=""))),"INICIO Y FINAL DEBEN SER INTRODUCIDOS PARA CADA EJECUCION PRODUCTO",""),IF(N2="Portugese",IF(OR(AND(B50&lt;&gt;"",D50=""),AND(B51&lt;&gt;"",OR(C51="",D51="")),AND(B52&lt;&gt;"",OR(C52="",D52="")),AND(B55&lt;&gt;"",OR(C55="",D55=""))),"HORA DE INICIO E FINAL DEVEM SER INSERIDAS POR PRODUTO.",""),IF(N2="French",IF(OR(AND(B50&lt;&gt;"",D50=""),AND(B51&lt;&gt;"",OR(C51="",D51="")),AND(B52&lt;&gt;"",OR(C52="",D52="")),AND(B55&lt;&gt;"",OR(C55="",D55=""))),"L 'HEURE DE DEBUT ET FIN DE CHAQUE ORDRE DE FABRICATION DOIT ETRE SAISI.",""),IF(OR(AND(B50&lt;&gt;"",D50=""),AND(B51&lt;&gt;"",OR(C51="",D51="")),AND(B52&lt;&gt;"",OR(C52="",D52="")),AND(B55&lt;&gt;"",OR(C55="",D55=""))),"START AND STOP TIME MUST BE ENTERED FOR EACH PRODUCT RUN.",""))))</f>
        <v/>
      </c>
      <c r="C48" s="425"/>
      <c r="D48" s="425"/>
      <c r="E48" s="327" t="str">
        <f>IF(N2="Spanish","Pérdidas por Rapidez (Desempeño)",IF(N2="Portugese","Perdas de Velocidade (Execução)",IF(N2="French","Perte de cadence ( performance )(mn)","Speed Losses (Performance)")))</f>
        <v>Speed Losses (Performance)</v>
      </c>
      <c r="F48" s="327"/>
      <c r="G48" s="327"/>
      <c r="H48" s="327"/>
      <c r="I48" s="390" t="str">
        <f>IF(N2="Spanish",IF(OR(AND(B50&lt;&gt;"",G50=""),AND(B51&lt;&gt;"",G51=""),AND(B52&lt;&gt;"",G52=""),AND(B55&lt;&gt;"",G55="")),"CASOS RUN SE DEBE INTRODUCIR PARA CADA PRODUCTO",""),IF(N2="Portugese",IF(OR(AND(B50&lt;&gt;"",G50=""),AND(B51&lt;&gt;"",G51=""),AND(B52&lt;&gt;"",G52=""),AND(B55&lt;&gt;"",G55="")),"EMBALAGENS FEITAS DEVEM SER INSERIDAS POR PRODUTO.",""),IF(N2="French",IF(OR(AND(B50&lt;&gt;"",G50=""),AND(B51&lt;&gt;"",G51=""),AND(B52&lt;&gt;"",G52=""),AND(B55&lt;&gt;"",G55="")),"LE NOMBRE DE CAISSES PRODUITES DOIT ETRE ENTRE POUR CHAQUE ORDRE DE FABRICATION.",""),IF(OR(AND(B50&lt;&gt;"",G50=""),AND(B51&lt;&gt;"",G51=""),AND(B52&lt;&gt;"",G52=""),AND(B55&lt;&gt;"",G55="")),"CASES RUN MUST BE ENTERED FOR EACH PRODUCT.",""))))</f>
        <v/>
      </c>
      <c r="J48" s="390"/>
      <c r="K48" s="390"/>
      <c r="L48" s="390"/>
      <c r="M48" s="390"/>
      <c r="N48" s="390"/>
      <c r="O48" s="391"/>
      <c r="P48" s="154"/>
    </row>
    <row r="49" spans="1:19" ht="40.5" customHeight="1" thickBot="1">
      <c r="B49" s="223" t="str">
        <f>IF(N2="Spanish","Producto",IF(N2="Portugese","Produto",IF(N2="French","Référence Produit","Product")))</f>
        <v>Product</v>
      </c>
      <c r="C49" s="155" t="str">
        <f>IF(N2="Spanish","Hora Inicio",IF(N2="Portugese","Hora de Início",IF(N2="French","Heure de début","Start Time")))</f>
        <v>Start Time</v>
      </c>
      <c r="D49" s="189" t="str">
        <f>IF(N2="Spanish","Hora Fin",IF(N2="Portugese","Hora de para",IF(N2="French","Heure de fin","Stop Time")))</f>
        <v>Stop Time</v>
      </c>
      <c r="E49" s="155" t="str">
        <f>IF(N2="Spanish","Pérdidas por Disponibilidad (min)",IF(N2="Portugese","Perdas de Disponibilidade (min)",IF(N2="French","Perte de disponibilté (min)","Avail losses (min)")))</f>
        <v>Avail losses (min)</v>
      </c>
      <c r="F49" s="155" t="str">
        <f>IF(N2="Spanish","Tiempo Muerto No Planeado (min)",IF(N2="Portugese","Tempo Parada Planejada (min)",IF(N2="French","Arrets planifiés (min)","Planned Downtime (min)")))</f>
        <v>Planned Downtime (min)</v>
      </c>
      <c r="G49" s="155" t="str">
        <f>IF(N2="Spanish","Cajas Empacadas",IF(N2="Portugese","Número de caixas montadas",IF(N2="French","Nombre de caisses produites","Cases Run")))</f>
        <v>Cases Run</v>
      </c>
      <c r="H49" s="155" t="str">
        <f>IF(N2="Spanish","Tiempo de Funcionamiento",IF(N2="Portugese","Tempo Operacional",IF(N2="French","Temps de Fonctionnement","Operating Time")))</f>
        <v>Operating Time</v>
      </c>
      <c r="I49" s="155" t="str">
        <f>IF(N2="Spanish","Tiempo de Funcionamiento Neto",IF(N2="Portugese","Tempo de operação líquido",IF(N2="French","Temps de Fonctionnement Net","Net Operating Time")))</f>
        <v>Net Operating Time</v>
      </c>
      <c r="J49" s="386" t="str">
        <f>IF(N2="Spanish","Comentarios",IF(N2="Portugese","Comentários",IF(N2="French","Commentaires","Comments")))</f>
        <v>Comments</v>
      </c>
      <c r="K49" s="386"/>
      <c r="L49" s="386"/>
      <c r="M49" s="386"/>
      <c r="N49" s="386"/>
      <c r="O49" s="387"/>
      <c r="P49" s="43"/>
    </row>
    <row r="50" spans="1:19" ht="16.5" customHeight="1">
      <c r="B50" s="224" t="str">
        <f t="shared" ref="B50:B55" si="2">IF(B11&lt;&gt;"",B11,"")</f>
        <v>TENANO360SC BTLPET24X0.2L IDN</v>
      </c>
      <c r="C50" s="103">
        <f>IF(H5&lt;&gt;"",H5,"")</f>
        <v>1</v>
      </c>
      <c r="D50" s="104">
        <v>0.33333333333333331</v>
      </c>
      <c r="E50" s="105">
        <f t="shared" ref="E50:E55" ca="1" si="3">SUMIF($G$32:$H$43,B50,$C$32:$C$43)+SUMIF($B$11:$B$16,B50,$D$11:$D$16)+SUMIF($F$20:$G$28,B50,$E$20:$E$28)</f>
        <v>170</v>
      </c>
      <c r="F50" s="105">
        <f>SUMIF($F$20:$F$28,B50,$C$20:$C$28)</f>
        <v>30</v>
      </c>
      <c r="G50" s="106">
        <v>448</v>
      </c>
      <c r="H50" s="105">
        <f ca="1">IF(B50&lt;&gt;"",C62/((G50*VLOOKUP(B50,'Setup Sheet'!C:G,5,FALSE))/(IF(C50&gt;D50,(1-C50+D50)*60*24,(D50-C50)*60*24)-E50-F50)),"")</f>
        <v>280</v>
      </c>
      <c r="I50" s="105">
        <f>IF(AND(D50&lt;&gt;"",C50&lt;&gt;""),C62/(IF(D50-C50&lt;&gt;0,IF(B50&lt;&gt;"",VLOOKUP(B50,'Setup Sheet'!C:G,4,FALSE),0),0)),0)</f>
        <v>107.52</v>
      </c>
      <c r="J50" s="381"/>
      <c r="K50" s="381"/>
      <c r="L50" s="381"/>
      <c r="M50" s="381"/>
      <c r="N50" s="381"/>
      <c r="O50" s="382"/>
      <c r="S50" s="164"/>
    </row>
    <row r="51" spans="1:19" ht="16.5" customHeight="1">
      <c r="B51" s="225" t="str">
        <f t="shared" si="2"/>
        <v/>
      </c>
      <c r="C51" s="158">
        <f>IF(D50=H6,0, D50)</f>
        <v>0</v>
      </c>
      <c r="D51" s="107"/>
      <c r="E51" s="89">
        <f t="shared" ca="1" si="3"/>
        <v>0</v>
      </c>
      <c r="F51" s="105">
        <f t="shared" ref="F51:F55" si="4">SUMIF($F$20:$F$28,B51,$C$20:$C$28)</f>
        <v>0</v>
      </c>
      <c r="G51" s="88"/>
      <c r="H51" s="105" t="str">
        <f>IF(B51&lt;&gt;"",C63/((G51*VLOOKUP(B51,'Setup Sheet'!C:G,5,FALSE))/(IF(C51&gt;D51,(1-C51+D51)*60*24,(D51-C51)*60*24)-E51-F51)),"")</f>
        <v/>
      </c>
      <c r="I51" s="105">
        <f>IF(AND(D51&lt;&gt;"",C51&lt;&gt;""),C63/(IF(D51-C51&lt;&gt;0,IF(B51&lt;&gt;"",VLOOKUP(B51,'Setup Sheet'!C:G,4,FALSE),0),0)),0)</f>
        <v>0</v>
      </c>
      <c r="J51" s="383"/>
      <c r="K51" s="383"/>
      <c r="L51" s="383"/>
      <c r="M51" s="383"/>
      <c r="N51" s="383"/>
      <c r="O51" s="384"/>
      <c r="Q51" s="33"/>
      <c r="S51" s="78"/>
    </row>
    <row r="52" spans="1:19" ht="16.5" customHeight="1">
      <c r="B52" s="225" t="str">
        <f t="shared" si="2"/>
        <v/>
      </c>
      <c r="C52" s="158">
        <f>IF(D51=H6,0,D51)</f>
        <v>0</v>
      </c>
      <c r="D52" s="107"/>
      <c r="E52" s="89">
        <f t="shared" ca="1" si="3"/>
        <v>0</v>
      </c>
      <c r="F52" s="105">
        <f t="shared" si="4"/>
        <v>0</v>
      </c>
      <c r="G52" s="88"/>
      <c r="H52" s="105" t="str">
        <f>IF(B52&lt;&gt;"",C64/((G52*VLOOKUP(B52,'Setup Sheet'!C:G,5,FALSE))/(IF(C52&gt;D52,(1-C52+D52)*60*24,(D52-C52)*60*24)-E52-F52)),"")</f>
        <v/>
      </c>
      <c r="I52" s="105">
        <f>IF(AND(D52&lt;&gt;"",C52&lt;&gt;""),C64/(IF(D52-C52&lt;&gt;0,IF(B52&lt;&gt;"",VLOOKUP(B52,'Setup Sheet'!C:G,4,FALSE),0),0)),0)</f>
        <v>0</v>
      </c>
      <c r="J52" s="383"/>
      <c r="K52" s="383"/>
      <c r="L52" s="383"/>
      <c r="M52" s="383"/>
      <c r="N52" s="383"/>
      <c r="O52" s="384"/>
      <c r="S52" s="77"/>
    </row>
    <row r="53" spans="1:19" ht="16.5" customHeight="1">
      <c r="B53" s="225" t="str">
        <f t="shared" si="2"/>
        <v/>
      </c>
      <c r="C53" s="158">
        <f>IF(D52=H6,0,D52)</f>
        <v>0</v>
      </c>
      <c r="D53" s="107"/>
      <c r="E53" s="89">
        <f t="shared" ca="1" si="3"/>
        <v>0</v>
      </c>
      <c r="F53" s="105">
        <f t="shared" si="4"/>
        <v>0</v>
      </c>
      <c r="G53" s="88"/>
      <c r="H53" s="105" t="str">
        <f>IF(B53&lt;&gt;"",C65/((G53*VLOOKUP(B53,'Setup Sheet'!C:G,5,FALSE))/(IF(C53&gt;D53,(1-C53+D53)*60*24,(D53-C53)*60*24)-E53-F53)),"")</f>
        <v/>
      </c>
      <c r="I53" s="105">
        <f>IF(AND(D53&lt;&gt;"",C53&lt;&gt;""),C65/(IF(D53-C53&lt;&gt;0,IF(B53&lt;&gt;"",VLOOKUP(B53,'Setup Sheet'!C:G,4,FALSE),0),0)),0)</f>
        <v>0</v>
      </c>
      <c r="J53" s="383"/>
      <c r="K53" s="383"/>
      <c r="L53" s="383"/>
      <c r="M53" s="383"/>
      <c r="N53" s="383"/>
      <c r="O53" s="384"/>
      <c r="S53" s="77"/>
    </row>
    <row r="54" spans="1:19" ht="16.5" customHeight="1">
      <c r="B54" s="225" t="str">
        <f t="shared" si="2"/>
        <v/>
      </c>
      <c r="C54" s="158">
        <f>IF(D53=H6,0,D53)</f>
        <v>0</v>
      </c>
      <c r="D54" s="107"/>
      <c r="E54" s="89">
        <f t="shared" ca="1" si="3"/>
        <v>0</v>
      </c>
      <c r="F54" s="105">
        <f t="shared" si="4"/>
        <v>0</v>
      </c>
      <c r="G54" s="88"/>
      <c r="H54" s="105" t="str">
        <f>IF(B54&lt;&gt;"",C66/((G54*VLOOKUP(B54,'Setup Sheet'!C:G,5,FALSE))/(IF(C54&gt;D54,(1-C54+D54)*60*24,(D54-C54)*60*24)-E54-F54)),"")</f>
        <v/>
      </c>
      <c r="I54" s="105">
        <f>IF(AND(D54&lt;&gt;"",C54&lt;&gt;""),C66/(IF(D54-C54&lt;&gt;0,IF(B54&lt;&gt;"",VLOOKUP(B54,'Setup Sheet'!C:G,4,FALSE),0),0)),0)</f>
        <v>0</v>
      </c>
      <c r="J54" s="383"/>
      <c r="K54" s="383"/>
      <c r="L54" s="383"/>
      <c r="M54" s="383"/>
      <c r="N54" s="383"/>
      <c r="O54" s="384"/>
      <c r="S54" s="77"/>
    </row>
    <row r="55" spans="1:19" ht="16.5" customHeight="1">
      <c r="B55" s="225" t="str">
        <f t="shared" si="2"/>
        <v/>
      </c>
      <c r="C55" s="158">
        <f>IF(D54=H6,0,D54)</f>
        <v>0</v>
      </c>
      <c r="D55" s="107"/>
      <c r="E55" s="89">
        <f t="shared" ca="1" si="3"/>
        <v>0</v>
      </c>
      <c r="F55" s="105">
        <f t="shared" si="4"/>
        <v>0</v>
      </c>
      <c r="G55" s="88"/>
      <c r="H55" s="105" t="str">
        <f>IF(B55&lt;&gt;"",C67/((G55*VLOOKUP(B55,'Setup Sheet'!C:G,5,FALSE))/(IF(C55&gt;D55,(1-C55+D55)*60*24,(D55-C55)*60*24)-E55-F55)),"")</f>
        <v/>
      </c>
      <c r="I55" s="105">
        <f>IF(AND(D55&lt;&gt;"",C55&lt;&gt;""),C67/(IF(D55-C55&lt;&gt;0,IF(B55&lt;&gt;"",VLOOKUP(B55,'Setup Sheet'!C:G,4,FALSE),0),0)),0)</f>
        <v>0</v>
      </c>
      <c r="J55" s="383"/>
      <c r="K55" s="383"/>
      <c r="L55" s="383"/>
      <c r="M55" s="383"/>
      <c r="N55" s="383"/>
      <c r="O55" s="384"/>
      <c r="S55" s="165"/>
    </row>
    <row r="56" spans="1:19" ht="15" customHeight="1">
      <c r="B56" s="112" t="str">
        <f>IF(N2="Spanish","Tiempo de funcionamiento neto:",IF(N2="Portugese","Tempo de operação líquido:",IF(N2="French","Temps de fonctionnement net:","Net Operating Time:")))</f>
        <v>Net Operating Time:</v>
      </c>
      <c r="C56" s="108">
        <f>SUM(I50:I55)</f>
        <v>107.52</v>
      </c>
      <c r="D56" s="429" t="str">
        <f>IF(N2="Spanish",IF(OR(D50=H6,D51=H6,D52=H6,D53=H6,D54=H6,D55=H6),"","ERROR - LA HORA FINAL PARO DEBE SER IGUAL A LA HORA DE PARADA PRODUCCIÓN"),IF(N2="Portugese",IF(OR(D50=H6,D51=H6,D52=H6,D53=H6,D54=H6,D55=H6),"","ERRO - O TEMPO DE PARAGEM FINAL DEVE SER IGUAL AO TEMPO DE PARAD DE PRODUÇÃO"),IF(N2="French",IF(OR(D50=H6,D51=H6,D52=H6,D53=H6,D54=H6,D55=H6),"","ERREUR-L'HEURE DE FIN DOIT ETRE EGALE A L'HEURE DE FIN DE PRODUCTION"),IF(OR(D50=H6,D51=H6,D52=H6,D53=H6,D54=H6,D55=H6),"","ERROR - THE FINAL STOP TIME MUST BE EQUAL TO THE PRODUCTION STOP TIME"))))</f>
        <v/>
      </c>
      <c r="E56" s="430"/>
      <c r="F56" s="430"/>
      <c r="G56" s="430"/>
      <c r="H56" s="430"/>
      <c r="I56" s="430"/>
      <c r="J56" s="430"/>
      <c r="K56" s="161"/>
      <c r="L56" s="161"/>
      <c r="M56" s="161"/>
      <c r="N56" s="161"/>
      <c r="O56" s="226"/>
      <c r="S56" s="77"/>
    </row>
    <row r="57" spans="1:19">
      <c r="B57" s="114" t="str">
        <f>IF(N2="Spanish","Total Tiempo Operativo:",IF(N2="Portugese","Tempo total em operação:",IF(N2="French","Temps total d'opération:","Total Operating Time:")))</f>
        <v>Total Operating Time:</v>
      </c>
      <c r="C57" s="109">
        <f>C46</f>
        <v>280</v>
      </c>
      <c r="D57" s="378"/>
      <c r="E57" s="379"/>
      <c r="F57" s="379"/>
      <c r="G57" s="379"/>
      <c r="H57" s="379"/>
      <c r="I57" s="379"/>
      <c r="J57" s="379"/>
      <c r="K57" s="379"/>
      <c r="L57" s="379"/>
      <c r="M57" s="379"/>
      <c r="N57" s="379"/>
      <c r="O57" s="380"/>
      <c r="S57" s="159"/>
    </row>
    <row r="58" spans="1:19" s="46" customFormat="1" ht="24" customHeight="1" thickBot="1">
      <c r="A58" s="44"/>
      <c r="B58" s="48" t="str">
        <f>IF(N2="Spanish","Desempeño:",IF(N2="Portugese","Desempenho:",IF(N2="fRENCH","Performance:","Performance:")))</f>
        <v>Performance:</v>
      </c>
      <c r="C58" s="84">
        <f>IF(C56&lt;&gt;0,C56/C57,"")</f>
        <v>0.38400000000000001</v>
      </c>
      <c r="D58" s="375" t="str">
        <f>IF(N2="Spanish","= Tiempo de Funcionamiento Neto / Tiempo Total de Funcionamiento",IF(N2="Portugese","= Tempo de Operação Líquido / Tempo Operacional Total",IF(N2="French","= Temps de Fonctionnement Net / Durée Totale de Fonctionnement","= Net Operating Time / Total Operating Time")))</f>
        <v>= Net Operating Time / Total Operating Time</v>
      </c>
      <c r="E58" s="376"/>
      <c r="F58" s="376"/>
      <c r="G58" s="376"/>
      <c r="H58" s="376"/>
      <c r="I58" s="376"/>
      <c r="J58" s="376"/>
      <c r="K58" s="376"/>
      <c r="L58" s="376"/>
      <c r="M58" s="376"/>
      <c r="N58" s="376"/>
      <c r="O58" s="377"/>
      <c r="P58" s="45"/>
      <c r="R58" s="47"/>
      <c r="S58" s="160"/>
    </row>
    <row r="59" spans="1:19" ht="15.75" customHeight="1">
      <c r="B59" s="388" t="str">
        <f>IF(N2="Spanish","Desempeño:",IF(N2="Portugese","Desempenho:",IF(N2="French","Pertes qualités:","Quality Losses")))</f>
        <v>Quality Losses</v>
      </c>
      <c r="C59" s="327"/>
      <c r="D59" s="327"/>
      <c r="E59" s="327"/>
      <c r="F59" s="327"/>
      <c r="G59" s="327"/>
      <c r="H59" s="327"/>
      <c r="I59" s="327"/>
      <c r="J59" s="327"/>
      <c r="K59" s="327"/>
      <c r="L59" s="327"/>
      <c r="M59" s="327"/>
      <c r="N59" s="327"/>
      <c r="O59" s="389"/>
    </row>
    <row r="60" spans="1:19">
      <c r="B60" s="191"/>
      <c r="C60" s="418" t="str">
        <f>IF(N1="Spanish","Botellas Empacadas (N)",IF(N1="Portugese","Embalagems feitas (N)",IF(N1="French","Bouteilles produites (N)","Bottles Packaged (N)")))</f>
        <v>Bottles Packaged (N)</v>
      </c>
      <c r="D60" s="420" t="str">
        <f>IF(N2="Spanish","Despaletizador",IF(N2="Portugese","Despaletizador",IF(N2="French","Dépalettiseur","Depalletizer")))</f>
        <v>Depalletizer</v>
      </c>
      <c r="E60" s="421"/>
      <c r="F60" s="422" t="str">
        <f>IF(N2="Spanish","Llenadora/Taponadora",IF(N2="Portugese","Enchedor/Capper",IF(N2="French","Remplisseur/Capsuleur","Filler/Capper")))</f>
        <v>Filler/Capper</v>
      </c>
      <c r="G60" s="422"/>
      <c r="H60" s="420" t="str">
        <f>IF(N2="Spanish","Etiquetadora",IF(N2="Portugese","Rotuladora",IF(N2="French","Étiqueteur","Labeler")))</f>
        <v>Labeler</v>
      </c>
      <c r="I60" s="421"/>
      <c r="J60" s="422" t="str">
        <f>IF(N2="Spanish","Formadora/Empacadora de Cajas",IF(N2="Portugese","Estojo/Empacotador",IF(N2="French","Monteur/Emballeur de Caisses","Case Erector/Packer")))</f>
        <v>Case Erector/Packer</v>
      </c>
      <c r="K60" s="422"/>
      <c r="L60" s="420" t="str">
        <f>IF(N2="Spanish","Pesaje / inspección de cajas",IF(N2="Portugese","Pesagem / inspeção da caixa",IF(N2="French","Pesage/Inspection des Caisses","Case Weigh/Inspection")))</f>
        <v>Case Weigh/Inspection</v>
      </c>
      <c r="M60" s="421"/>
      <c r="N60" s="422" t="str">
        <f>IF(N2="Spanish","Paletizadora/Envolvedora",IF(N2="Portugese","Paletizador/Máquina de Stretch",IF(N2="French","Pallettiseur/Emballage Extensible","Palletizer/Stretchwrapper")))</f>
        <v>Palletizer/Stretchwrapper</v>
      </c>
      <c r="O60" s="423"/>
    </row>
    <row r="61" spans="1:19" ht="15" customHeight="1">
      <c r="B61" s="110" t="str">
        <f>IF(N2="Spanish","Productos",IF(N2="Portugese","Produto",IF(N2="French","Référence produit","Product")))</f>
        <v>Product</v>
      </c>
      <c r="C61" s="419"/>
      <c r="D61" s="192" t="str">
        <f>IF(N2="Spanish","Contador",IF(N2="Portugese","Contador",IF(N2="French","Compteur","Counter")))</f>
        <v>Counter</v>
      </c>
      <c r="E61" s="193" t="str">
        <f>IF(N2="Spanish","Rechazos",IF(N2="Portugese","Rejeições",IF(N2="French","Rejets","Rejections")))</f>
        <v>Rejections</v>
      </c>
      <c r="F61" s="229" t="str">
        <f>IF(N2="Spanish","Contador",IF(N2="Portugese","Contador",IF(N2="French","Compteur","Counter")))</f>
        <v>Counter</v>
      </c>
      <c r="G61" s="230" t="str">
        <f>IF(N2="Spanish","Rechazos",IF(N2="Portugese","Rejeições",IF(N2="French","Rejets","Rejections")))</f>
        <v>Rejections</v>
      </c>
      <c r="H61" s="194" t="str">
        <f>IF(N2="Spanish","Contador",IF(N2="Portugese","Contador",IF(N2="French","Compteur","Counter")))</f>
        <v>Counter</v>
      </c>
      <c r="I61" s="195" t="str">
        <f>IF(N2="Spanish","Rechazos",IF(N2="Portugese","Rejeições",IF(N2="French","Rejets","Rejections")))</f>
        <v>Rejections</v>
      </c>
      <c r="J61" s="187" t="str">
        <f>IF(N2="Spanish","Contador",IF(N2="Portugese","Contador",IF(N2="French","Compteur","Counter")))</f>
        <v>Counter</v>
      </c>
      <c r="K61" s="187" t="str">
        <f>IF(N2="Spanish","Rechazos",IF(N2="Portugese","Rejeições",IF(N2="French","Rejets","Rejections")))</f>
        <v>Rejections</v>
      </c>
      <c r="L61" s="194" t="str">
        <f>IF(N2="Spanish","Contador",IF(N2="Portugese","Contador",IF(N2="French","Compteur","Counter")))</f>
        <v>Counter</v>
      </c>
      <c r="M61" s="195" t="str">
        <f>IF(N2="Spanish","Rechazos",IF(N2="Portugese","Rejeições",IF(N2="French","Rejets","Rejections")))</f>
        <v>Rejections</v>
      </c>
      <c r="N61" s="187" t="str">
        <f>IF(N2="Spanish","Contador",IF(N2="Portugese","Contador",IF(N2="French","Compteur","Counter")))</f>
        <v>Counter</v>
      </c>
      <c r="O61" s="188" t="str">
        <f>IF(N2="Spanish","Rechazos",IF(N2="Portugese","Rejeições",IF(N2="French","Rejets","Rejections")))</f>
        <v>Rejections</v>
      </c>
    </row>
    <row r="62" spans="1:19" ht="15.75" customHeight="1">
      <c r="B62" s="111" t="str">
        <f t="shared" ref="B62:B67" si="5">IF(B50&lt;&gt;0,B50,"")</f>
        <v>TENANO360SC BTLPET24X0.2L IDN</v>
      </c>
      <c r="C62" s="92">
        <f>IF(G50&lt;&gt;0,G50*VLOOKUP(B62,'Setup Sheet'!C:G,5,FALSE),0)</f>
        <v>10752</v>
      </c>
      <c r="D62" s="88">
        <v>10752</v>
      </c>
      <c r="E62" s="88">
        <v>0</v>
      </c>
      <c r="F62" s="88">
        <v>10752</v>
      </c>
      <c r="G62" s="88">
        <v>116</v>
      </c>
      <c r="H62" s="88">
        <v>10752</v>
      </c>
      <c r="I62" s="88">
        <v>103</v>
      </c>
      <c r="J62" s="88">
        <v>448</v>
      </c>
      <c r="K62" s="88">
        <v>16</v>
      </c>
      <c r="L62" s="88">
        <v>448</v>
      </c>
      <c r="M62" s="88">
        <v>0</v>
      </c>
      <c r="N62" s="88">
        <v>448</v>
      </c>
      <c r="O62" s="196">
        <v>0</v>
      </c>
      <c r="S62" s="34">
        <f>10+10+5+5+15+10+1+40+20</f>
        <v>116</v>
      </c>
    </row>
    <row r="63" spans="1:19" ht="15.75" customHeight="1">
      <c r="B63" s="111" t="str">
        <f t="shared" si="5"/>
        <v/>
      </c>
      <c r="C63" s="92">
        <f>IF(G51&lt;&gt;0,G51*VLOOKUP(B63,'Setup Sheet'!C:G,5,FALSE),0)</f>
        <v>0</v>
      </c>
      <c r="D63" s="88"/>
      <c r="E63" s="88"/>
      <c r="F63" s="88"/>
      <c r="G63" s="88"/>
      <c r="H63" s="88"/>
      <c r="I63" s="88"/>
      <c r="J63" s="88"/>
      <c r="K63" s="88"/>
      <c r="L63" s="88"/>
      <c r="M63" s="88"/>
      <c r="N63" s="88"/>
      <c r="O63" s="196"/>
      <c r="S63" s="34">
        <f>36+36+61</f>
        <v>133</v>
      </c>
    </row>
    <row r="64" spans="1:19" ht="15.75" customHeight="1">
      <c r="B64" s="111" t="str">
        <f t="shared" si="5"/>
        <v/>
      </c>
      <c r="C64" s="92">
        <f>IF(G52&lt;&gt;0,G52*VLOOKUP(B64,'Setup Sheet'!C:G,5,FALSE),0)</f>
        <v>0</v>
      </c>
      <c r="D64" s="88"/>
      <c r="E64" s="88"/>
      <c r="F64" s="88"/>
      <c r="G64" s="88"/>
      <c r="H64" s="88"/>
      <c r="I64" s="88"/>
      <c r="J64" s="88"/>
      <c r="K64" s="88"/>
      <c r="L64" s="88"/>
      <c r="M64" s="88"/>
      <c r="N64" s="88"/>
      <c r="O64" s="196"/>
    </row>
    <row r="65" spans="1:18" ht="15.75" customHeight="1">
      <c r="B65" s="111" t="str">
        <f t="shared" si="5"/>
        <v/>
      </c>
      <c r="C65" s="92">
        <f>IF(G53&lt;&gt;0,G53*VLOOKUP(B65,'Setup Sheet'!C:G,5,FALSE),0)</f>
        <v>0</v>
      </c>
      <c r="D65" s="88"/>
      <c r="E65" s="88"/>
      <c r="F65" s="88"/>
      <c r="G65" s="88"/>
      <c r="H65" s="88"/>
      <c r="I65" s="88"/>
      <c r="J65" s="88"/>
      <c r="K65" s="88"/>
      <c r="L65" s="88"/>
      <c r="M65" s="88"/>
      <c r="N65" s="88"/>
      <c r="O65" s="196"/>
    </row>
    <row r="66" spans="1:18" ht="15.75" customHeight="1">
      <c r="B66" s="111" t="str">
        <f t="shared" si="5"/>
        <v/>
      </c>
      <c r="C66" s="92">
        <f>IF(G54&lt;&gt;0,G54*VLOOKUP(B66,'Setup Sheet'!C:G,5,FALSE),0)</f>
        <v>0</v>
      </c>
      <c r="D66" s="88"/>
      <c r="E66" s="88"/>
      <c r="F66" s="88"/>
      <c r="G66" s="88"/>
      <c r="H66" s="88"/>
      <c r="I66" s="88"/>
      <c r="J66" s="88"/>
      <c r="K66" s="88"/>
      <c r="L66" s="88"/>
      <c r="M66" s="88"/>
      <c r="N66" s="88"/>
      <c r="O66" s="196"/>
    </row>
    <row r="67" spans="1:18" ht="15.75" customHeight="1">
      <c r="B67" s="111" t="str">
        <f t="shared" si="5"/>
        <v/>
      </c>
      <c r="C67" s="92">
        <f>IF(G55&lt;&gt;0,G55*VLOOKUP(B67,'Setup Sheet'!C:G,5,FALSE),0)</f>
        <v>0</v>
      </c>
      <c r="D67" s="88"/>
      <c r="E67" s="88"/>
      <c r="F67" s="88"/>
      <c r="G67" s="88"/>
      <c r="H67" s="88"/>
      <c r="I67" s="88"/>
      <c r="J67" s="88"/>
      <c r="K67" s="88"/>
      <c r="L67" s="88"/>
      <c r="M67" s="88"/>
      <c r="N67" s="88"/>
      <c r="O67" s="196"/>
    </row>
    <row r="68" spans="1:18" ht="15.75" customHeight="1">
      <c r="B68" s="112" t="str">
        <f>IF(N2="Spanish","Rechazos Totales (∑R_Mi ):",IF(N2="Portugese","Total de Rejeições (∑R_Mi ):",IF(N2="French","Total des Rejets (∑R_Mi ):","Total Rejects (∑R_Mi ):")))</f>
        <v>Total Rejects (∑R_Mi ):</v>
      </c>
      <c r="C68" s="113">
        <f>IF(B11&lt;&gt;"",SUM(E62:E67,G62:G67,I62:I67)+IF(G50&gt;0,SUM(K62,M62,O62)*C62/G50,0)+IF(G51&gt;0,SUM(K63,M63,O63)*C63/G51,0)+IF(G52&gt;0,SUM(K64,M64,O64)*C64/G52,0)+IF(G53&gt;0,SUM(K65,M65,O65)*C65/G53,0)+IF(G54&gt;0,SUM(K66,M66,O66)*C66/G54,0)+IF(G55&gt;0,SUM(K67,M67,O67)*C67/G55,0),"")</f>
        <v>603</v>
      </c>
      <c r="D68" s="115"/>
      <c r="E68" s="116"/>
      <c r="F68" s="116"/>
      <c r="G68" s="403" t="str">
        <f>IF(OR(D76&lt;0,F76&lt;0,H76&lt;0,J76&lt;0,L76&lt;0,N76&lt;0,D77&lt;0,F77&lt;0,H77&lt;0,J77&lt;0,L77&lt;0,N77&lt;0,D78&lt;0,F78&lt;0,H78&lt;0,J78&lt;0,L78&lt;0,N78&lt;0,D79&lt;0,F79&lt;0,H79&lt;0,J79&lt;0,L79&lt;0,N79&lt;0,D80&lt;0,F80&lt;0,H80&lt;0,J80&lt;0,L80&lt;0,N80&lt;0,D81&lt;0,F81&lt;0,H81&lt;0,J81&lt;0,L81&lt;0,N81&lt;0),"Error:  All machine counters must be equal to or greater than the number of bottles packaged per product.","")</f>
        <v/>
      </c>
      <c r="H68" s="403"/>
      <c r="I68" s="403"/>
      <c r="J68" s="231"/>
      <c r="K68" s="397"/>
      <c r="L68" s="397"/>
      <c r="M68" s="397"/>
      <c r="N68" s="397"/>
      <c r="O68" s="398"/>
    </row>
    <row r="69" spans="1:18" ht="15.75" customHeight="1">
      <c r="B69" s="114" t="str">
        <f>IF(N2="Spanish","Diferencia de Contador (∑(C_Mi-N)) :",IF(N2="Portugese","Contra Diferença (∑(C_Mi-N)):",IF(N2="French","Différence de Compteur (∑(C_Mi-N)):","Counter Difference (∑(C_Mi-N)):")))</f>
        <v>Counter Difference (∑(C_Mi-N)):</v>
      </c>
      <c r="C69" s="113">
        <f>IF(B11&lt;&gt;"",SUM(D82:N82),"")</f>
        <v>0</v>
      </c>
      <c r="D69" s="117"/>
      <c r="E69" s="118"/>
      <c r="F69" s="118"/>
      <c r="G69" s="404"/>
      <c r="H69" s="404"/>
      <c r="I69" s="404"/>
      <c r="J69" s="232"/>
      <c r="K69" s="399"/>
      <c r="L69" s="399"/>
      <c r="M69" s="399"/>
      <c r="N69" s="399"/>
      <c r="O69" s="400"/>
    </row>
    <row r="70" spans="1:18" s="46" customFormat="1" ht="24" customHeight="1" thickBot="1">
      <c r="A70" s="44"/>
      <c r="B70" s="48" t="str">
        <f>IF(N2="Spanish","Calidad:",IF(N2="Portugese","Qualidade:",IF(N2="French","Qualité:","Quality:")))</f>
        <v>Quality:</v>
      </c>
      <c r="C70" s="182">
        <f>IF(C69&lt;&gt;"",SUM(C62:C67)/(SUM(C62:C67)+C68+C69),"")</f>
        <v>0.94689564068692211</v>
      </c>
      <c r="D70" s="227"/>
      <c r="E70" s="228"/>
      <c r="F70" s="228"/>
      <c r="G70" s="405"/>
      <c r="H70" s="405"/>
      <c r="I70" s="405"/>
      <c r="J70" s="233"/>
      <c r="K70" s="401"/>
      <c r="L70" s="401"/>
      <c r="M70" s="401"/>
      <c r="N70" s="401"/>
      <c r="O70" s="402"/>
      <c r="P70" s="45"/>
      <c r="R70" s="49"/>
    </row>
    <row r="71" spans="1:18" s="50" customFormat="1" ht="22.5">
      <c r="B71" s="367"/>
      <c r="C71" s="368"/>
      <c r="D71" s="368"/>
      <c r="E71" s="368"/>
      <c r="F71" s="368"/>
      <c r="G71" s="368"/>
      <c r="H71" s="368"/>
      <c r="I71" s="368"/>
      <c r="J71" s="368"/>
      <c r="K71" s="368"/>
      <c r="L71" s="368"/>
      <c r="M71" s="368"/>
      <c r="N71" s="368"/>
      <c r="O71" s="369"/>
      <c r="P71" s="51"/>
      <c r="R71" s="49"/>
    </row>
    <row r="72" spans="1:18" s="50" customFormat="1" ht="17.5">
      <c r="B72" s="370"/>
      <c r="C72" s="371"/>
      <c r="D72" s="371"/>
      <c r="E72" s="371"/>
      <c r="F72" s="371"/>
      <c r="G72" s="371"/>
      <c r="H72" s="371"/>
      <c r="I72" s="371"/>
      <c r="J72" s="371"/>
      <c r="K72" s="371"/>
      <c r="L72" s="371"/>
      <c r="M72" s="371"/>
      <c r="N72" s="371"/>
      <c r="O72" s="372"/>
      <c r="P72" s="51"/>
      <c r="R72" s="52"/>
    </row>
    <row r="73" spans="1:18" s="50" customFormat="1" ht="57" customHeight="1" thickBot="1">
      <c r="A73" s="44"/>
      <c r="B73" s="124" t="str">
        <f>IF(N2="Spanish","Eficiencia Total del Linea (OEE):",IF(N2="Portugese","Eficácia de Linha (OEE)","Overall Line Effectiveness:"))</f>
        <v>Overall Line Effectiveness:</v>
      </c>
      <c r="C73" s="365">
        <f>IF(C47&lt;&gt;"",C47*C58*C70,"")</f>
        <v>0.2262449317481286</v>
      </c>
      <c r="D73" s="365"/>
      <c r="E73" s="53" t="str">
        <f>IF(N2="Spanish","= Disponibilidad x Desempeño x Calidad",IF(N2="Portugese","Disponibilidade x Desempenho x Qualidade",IF(N2="French","= Disponibilité x Performance x Qualité","= Availability x Performance x Quality")))</f>
        <v>= Availability x Performance x Quality</v>
      </c>
      <c r="F73" s="54"/>
      <c r="G73" s="54"/>
      <c r="H73" s="54"/>
      <c r="I73" s="54"/>
      <c r="J73" s="54"/>
      <c r="K73" s="54"/>
      <c r="L73" s="54"/>
      <c r="M73" s="54"/>
      <c r="N73" s="54"/>
      <c r="O73" s="55"/>
      <c r="P73" s="51"/>
      <c r="R73" s="52"/>
    </row>
    <row r="74" spans="1:18" s="241" customFormat="1" ht="16" thickTop="1">
      <c r="B74" s="238"/>
      <c r="C74" s="238"/>
      <c r="D74" s="366"/>
      <c r="E74" s="366"/>
      <c r="F74" s="366"/>
      <c r="G74" s="366"/>
      <c r="H74" s="306"/>
      <c r="I74" s="306"/>
      <c r="J74" s="306"/>
      <c r="K74" s="306"/>
      <c r="L74" s="306"/>
      <c r="P74" s="307"/>
      <c r="R74" s="308"/>
    </row>
    <row r="75" spans="1:18" s="238" customFormat="1">
      <c r="C75" s="234"/>
      <c r="D75" s="235" t="s">
        <v>349</v>
      </c>
      <c r="E75" s="236"/>
      <c r="F75" s="237" t="s">
        <v>349</v>
      </c>
      <c r="G75" s="236"/>
      <c r="H75" s="237" t="s">
        <v>349</v>
      </c>
      <c r="I75" s="237"/>
      <c r="J75" s="237" t="s">
        <v>349</v>
      </c>
      <c r="K75" s="237"/>
      <c r="L75" s="237" t="s">
        <v>349</v>
      </c>
      <c r="N75" s="238" t="s">
        <v>349</v>
      </c>
      <c r="P75" s="309"/>
      <c r="R75" s="310"/>
    </row>
    <row r="76" spans="1:18" s="238" customFormat="1">
      <c r="C76" s="239"/>
      <c r="D76" s="240">
        <f>D62-$C62</f>
        <v>0</v>
      </c>
      <c r="E76" s="236"/>
      <c r="F76" s="240">
        <f>F62-$C62</f>
        <v>0</v>
      </c>
      <c r="G76" s="236"/>
      <c r="H76" s="240">
        <f>H62-$C62</f>
        <v>0</v>
      </c>
      <c r="I76" s="237"/>
      <c r="J76" s="240">
        <f>IF($C62&gt;0,J62*VLOOKUP($B62,'Setup Sheet'!$C$8:$G$205,5,FALSE)-Form!$C62,"")</f>
        <v>0</v>
      </c>
      <c r="K76" s="237"/>
      <c r="L76" s="240">
        <f>IF($C62&gt;0,L62*VLOOKUP($B62,'Setup Sheet'!$C$8:$G$205,5,FALSE)-Form!$C62,"")</f>
        <v>0</v>
      </c>
      <c r="N76" s="240">
        <f>IF($C62&gt;0,N62*VLOOKUP($B62,'Setup Sheet'!$C$8:$G$205,5,FALSE)-Form!$C62,"")</f>
        <v>0</v>
      </c>
      <c r="P76" s="309"/>
      <c r="R76" s="310"/>
    </row>
    <row r="77" spans="1:18" s="238" customFormat="1">
      <c r="D77" s="240">
        <f t="shared" ref="D77:D81" si="6">D63-$C63</f>
        <v>0</v>
      </c>
      <c r="E77" s="236"/>
      <c r="F77" s="240">
        <f t="shared" ref="F77:F81" si="7">F63-$C63</f>
        <v>0</v>
      </c>
      <c r="G77" s="236"/>
      <c r="H77" s="240">
        <f t="shared" ref="H77:H81" si="8">H63-$C63</f>
        <v>0</v>
      </c>
      <c r="I77" s="237"/>
      <c r="J77" s="240" t="str">
        <f>IF($C63&gt;0,J63*VLOOKUP($B63,'Setup Sheet'!$C$8:$G$205,5,FALSE)-Form!$C63,"")</f>
        <v/>
      </c>
      <c r="K77" s="237"/>
      <c r="L77" s="240" t="str">
        <f>IF($C63&gt;0,L63*VLOOKUP($B63,'Setup Sheet'!$C$8:$G$205,5,FALSE)-Form!$C63,"")</f>
        <v/>
      </c>
      <c r="N77" s="240" t="str">
        <f>IF($C63&gt;0,N63*VLOOKUP($B63,'Setup Sheet'!$C$8:$G$205,5,FALSE)-Form!$C63,"")</f>
        <v/>
      </c>
      <c r="P77" s="309"/>
      <c r="R77" s="310"/>
    </row>
    <row r="78" spans="1:18" s="238" customFormat="1">
      <c r="D78" s="240">
        <f t="shared" si="6"/>
        <v>0</v>
      </c>
      <c r="E78" s="236"/>
      <c r="F78" s="240">
        <f t="shared" si="7"/>
        <v>0</v>
      </c>
      <c r="G78" s="236"/>
      <c r="H78" s="240">
        <f t="shared" si="8"/>
        <v>0</v>
      </c>
      <c r="I78" s="237"/>
      <c r="J78" s="240" t="str">
        <f>IF($C64&gt;0,J64*VLOOKUP($B64,'Setup Sheet'!$C$8:$G$205,5,FALSE)-Form!$C64,"")</f>
        <v/>
      </c>
      <c r="K78" s="237"/>
      <c r="L78" s="240" t="str">
        <f>IF($C64&gt;0,L64*VLOOKUP($B64,'Setup Sheet'!$C$8:$G$205,5,FALSE)-Form!$C64,"")</f>
        <v/>
      </c>
      <c r="N78" s="240" t="str">
        <f>IF($C64&gt;0,N64*VLOOKUP($B64,'Setup Sheet'!$C$8:$G$205,5,FALSE)-Form!$C64,"")</f>
        <v/>
      </c>
      <c r="P78" s="309"/>
      <c r="R78" s="310"/>
    </row>
    <row r="79" spans="1:18" s="238" customFormat="1">
      <c r="D79" s="240">
        <f t="shared" si="6"/>
        <v>0</v>
      </c>
      <c r="E79" s="236"/>
      <c r="F79" s="240">
        <f t="shared" si="7"/>
        <v>0</v>
      </c>
      <c r="G79" s="236"/>
      <c r="H79" s="240">
        <f t="shared" si="8"/>
        <v>0</v>
      </c>
      <c r="I79" s="237"/>
      <c r="J79" s="240">
        <f>IF($C65&gt;0,J65*VLOOKUP($B65,'Setup Sheet'!$C$8:$G$205,5,FALSE)-Form!$C65,0)</f>
        <v>0</v>
      </c>
      <c r="K79" s="237"/>
      <c r="L79" s="240">
        <f>IF($C65&gt;0,L65*VLOOKUP($B65,'Setup Sheet'!$C$8:$G$205,5,FALSE)-Form!$C65,0)</f>
        <v>0</v>
      </c>
      <c r="N79" s="240">
        <f>IF($C65&gt;0,N65*VLOOKUP($B65,'Setup Sheet'!$C$8:$G$205,5,FALSE)-Form!$C65,0)</f>
        <v>0</v>
      </c>
      <c r="P79" s="309"/>
      <c r="R79" s="310"/>
    </row>
    <row r="80" spans="1:18" s="238" customFormat="1">
      <c r="D80" s="240">
        <f t="shared" si="6"/>
        <v>0</v>
      </c>
      <c r="E80" s="236"/>
      <c r="F80" s="240">
        <f t="shared" si="7"/>
        <v>0</v>
      </c>
      <c r="G80" s="236"/>
      <c r="H80" s="240">
        <f t="shared" si="8"/>
        <v>0</v>
      </c>
      <c r="I80" s="237"/>
      <c r="J80" s="240">
        <f>IF($C66&gt;0,J66*VLOOKUP($B66,'Setup Sheet'!$C$8:$G$205,5,FALSE)-Form!$C66,0)</f>
        <v>0</v>
      </c>
      <c r="K80" s="237"/>
      <c r="L80" s="240">
        <f>IF($C66&gt;0,L66*VLOOKUP($B66,'Setup Sheet'!$C$8:$G$205,5,FALSE)-Form!$C66,0)</f>
        <v>0</v>
      </c>
      <c r="N80" s="240">
        <f>IF($C66&gt;0,N66*VLOOKUP($B66,'Setup Sheet'!$C$8:$G$205,5,FALSE)-Form!$C66,0)</f>
        <v>0</v>
      </c>
      <c r="P80" s="309"/>
      <c r="R80" s="310"/>
    </row>
    <row r="81" spans="3:18" s="238" customFormat="1">
      <c r="D81" s="240">
        <f t="shared" si="6"/>
        <v>0</v>
      </c>
      <c r="E81" s="236"/>
      <c r="F81" s="240">
        <f t="shared" si="7"/>
        <v>0</v>
      </c>
      <c r="G81" s="236"/>
      <c r="H81" s="240">
        <f t="shared" si="8"/>
        <v>0</v>
      </c>
      <c r="I81" s="237"/>
      <c r="J81" s="240">
        <f>IF($C67&gt;0,J67*VLOOKUP($B67,'Setup Sheet'!$C$8:$G$205,5,FALSE)-Form!$C67,0)</f>
        <v>0</v>
      </c>
      <c r="K81" s="237"/>
      <c r="L81" s="240">
        <f>IF($C67&gt;0,L67*VLOOKUP($B67,'Setup Sheet'!$C$8:$G$205,5,FALSE)-Form!$C67,0)</f>
        <v>0</v>
      </c>
      <c r="N81" s="240">
        <f>IF($C67&gt;0,N67*VLOOKUP($B67,'Setup Sheet'!$C$8:$G$205,5,FALSE)-Form!$C67,0)</f>
        <v>0</v>
      </c>
      <c r="P81" s="309"/>
      <c r="R81" s="310"/>
    </row>
    <row r="82" spans="3:18" s="238" customFormat="1">
      <c r="C82" s="238" t="s">
        <v>350</v>
      </c>
      <c r="D82" s="236">
        <f>SUM(D76:D81)</f>
        <v>0</v>
      </c>
      <c r="E82" s="236"/>
      <c r="F82" s="236">
        <f>SUM(F76:F81)</f>
        <v>0</v>
      </c>
      <c r="G82" s="236"/>
      <c r="H82" s="236">
        <f>SUM(H76:H81)</f>
        <v>0</v>
      </c>
      <c r="I82" s="237"/>
      <c r="J82" s="236">
        <f>SUM(J76:J81)</f>
        <v>0</v>
      </c>
      <c r="K82" s="237"/>
      <c r="L82" s="236">
        <f>SUM(L76:L81)</f>
        <v>0</v>
      </c>
      <c r="N82" s="236">
        <f>SUM(N76:N81)</f>
        <v>0</v>
      </c>
      <c r="P82" s="309"/>
      <c r="R82" s="310"/>
    </row>
    <row r="83" spans="3:18" s="238" customFormat="1">
      <c r="D83" s="236"/>
      <c r="E83" s="236"/>
      <c r="F83" s="236"/>
      <c r="G83" s="236"/>
      <c r="H83" s="237"/>
      <c r="I83" s="237"/>
      <c r="J83" s="237"/>
      <c r="K83" s="237"/>
      <c r="L83" s="237"/>
      <c r="P83" s="309"/>
      <c r="R83" s="310"/>
    </row>
    <row r="84" spans="3:18" s="238" customFormat="1">
      <c r="E84" s="237"/>
      <c r="H84" s="237"/>
      <c r="I84" s="237"/>
      <c r="J84" s="237"/>
      <c r="K84" s="237"/>
      <c r="L84" s="237"/>
      <c r="P84" s="309"/>
      <c r="R84" s="310"/>
    </row>
    <row r="85" spans="3:18" s="238" customFormat="1">
      <c r="E85" s="237"/>
      <c r="H85" s="237"/>
      <c r="I85" s="237"/>
      <c r="J85" s="237"/>
      <c r="K85" s="237"/>
      <c r="L85" s="237"/>
      <c r="P85" s="309"/>
      <c r="R85" s="310"/>
    </row>
    <row r="86" spans="3:18" s="238" customFormat="1">
      <c r="E86" s="237"/>
      <c r="H86" s="237"/>
      <c r="I86" s="237"/>
      <c r="J86" s="237"/>
      <c r="K86" s="237"/>
      <c r="L86" s="237"/>
      <c r="P86" s="309"/>
      <c r="R86" s="310"/>
    </row>
  </sheetData>
  <sheetProtection selectLockedCells="1"/>
  <mergeCells count="116">
    <mergeCell ref="D9:J9"/>
    <mergeCell ref="C60:C61"/>
    <mergeCell ref="D60:E60"/>
    <mergeCell ref="F60:G60"/>
    <mergeCell ref="H60:I60"/>
    <mergeCell ref="J60:K60"/>
    <mergeCell ref="L60:M60"/>
    <mergeCell ref="N60:O60"/>
    <mergeCell ref="J53:O53"/>
    <mergeCell ref="J54:O54"/>
    <mergeCell ref="D38:F38"/>
    <mergeCell ref="B48:D48"/>
    <mergeCell ref="D39:F39"/>
    <mergeCell ref="D47:O47"/>
    <mergeCell ref="D37:F37"/>
    <mergeCell ref="I37:O37"/>
    <mergeCell ref="D56:J56"/>
    <mergeCell ref="I31:O31"/>
    <mergeCell ref="I32:O32"/>
    <mergeCell ref="I34:O34"/>
    <mergeCell ref="F22:G22"/>
    <mergeCell ref="D36:F36"/>
    <mergeCell ref="G31:H31"/>
    <mergeCell ref="D33:F33"/>
    <mergeCell ref="D34:F34"/>
    <mergeCell ref="I33:O33"/>
    <mergeCell ref="I35:O35"/>
    <mergeCell ref="I36:O36"/>
    <mergeCell ref="D32:F32"/>
    <mergeCell ref="D31:F31"/>
    <mergeCell ref="H23:O23"/>
    <mergeCell ref="F23:G23"/>
    <mergeCell ref="D35:F35"/>
    <mergeCell ref="C1:D3"/>
    <mergeCell ref="B1:B3"/>
    <mergeCell ref="N2:O2"/>
    <mergeCell ref="I43:O43"/>
    <mergeCell ref="G32:H32"/>
    <mergeCell ref="G33:H33"/>
    <mergeCell ref="G34:H34"/>
    <mergeCell ref="G35:H35"/>
    <mergeCell ref="G36:H36"/>
    <mergeCell ref="G37:H37"/>
    <mergeCell ref="G38:H38"/>
    <mergeCell ref="G39:H39"/>
    <mergeCell ref="G40:H40"/>
    <mergeCell ref="G41:H41"/>
    <mergeCell ref="G42:H42"/>
    <mergeCell ref="G43:H43"/>
    <mergeCell ref="I38:O38"/>
    <mergeCell ref="I39:O39"/>
    <mergeCell ref="I40:O40"/>
    <mergeCell ref="E1:H2"/>
    <mergeCell ref="J5:K5"/>
    <mergeCell ref="L5:M5"/>
    <mergeCell ref="L6:M6"/>
    <mergeCell ref="H19:O19"/>
    <mergeCell ref="C73:D73"/>
    <mergeCell ref="D74:G74"/>
    <mergeCell ref="B71:O72"/>
    <mergeCell ref="D40:F40"/>
    <mergeCell ref="D41:F41"/>
    <mergeCell ref="D58:O58"/>
    <mergeCell ref="D42:F42"/>
    <mergeCell ref="D57:O57"/>
    <mergeCell ref="J50:O50"/>
    <mergeCell ref="J51:O51"/>
    <mergeCell ref="D43:F43"/>
    <mergeCell ref="J52:O52"/>
    <mergeCell ref="J55:O55"/>
    <mergeCell ref="J49:O49"/>
    <mergeCell ref="B59:O59"/>
    <mergeCell ref="E48:H48"/>
    <mergeCell ref="I48:O48"/>
    <mergeCell ref="I41:O41"/>
    <mergeCell ref="I42:O42"/>
    <mergeCell ref="D44:K44"/>
    <mergeCell ref="K68:O70"/>
    <mergeCell ref="G68:I70"/>
    <mergeCell ref="D17:I17"/>
    <mergeCell ref="H18:O18"/>
    <mergeCell ref="B18:E18"/>
    <mergeCell ref="H20:O20"/>
    <mergeCell ref="H21:O21"/>
    <mergeCell ref="F20:G20"/>
    <mergeCell ref="F21:G21"/>
    <mergeCell ref="F19:G19"/>
    <mergeCell ref="E11:O11"/>
    <mergeCell ref="E12:O12"/>
    <mergeCell ref="E13:O13"/>
    <mergeCell ref="E14:O14"/>
    <mergeCell ref="E15:O15"/>
    <mergeCell ref="K2:L2"/>
    <mergeCell ref="F29:G29"/>
    <mergeCell ref="B29:E29"/>
    <mergeCell ref="D30:I30"/>
    <mergeCell ref="F24:G24"/>
    <mergeCell ref="F25:G25"/>
    <mergeCell ref="F26:G26"/>
    <mergeCell ref="F27:G27"/>
    <mergeCell ref="F28:G28"/>
    <mergeCell ref="H24:O24"/>
    <mergeCell ref="H25:O25"/>
    <mergeCell ref="H26:O26"/>
    <mergeCell ref="H27:O27"/>
    <mergeCell ref="H28:O28"/>
    <mergeCell ref="D4:G4"/>
    <mergeCell ref="C5:D5"/>
    <mergeCell ref="C6:D6"/>
    <mergeCell ref="D7:G7"/>
    <mergeCell ref="H22:O22"/>
    <mergeCell ref="I6:K6"/>
    <mergeCell ref="E5:G5"/>
    <mergeCell ref="E6:G6"/>
    <mergeCell ref="E16:O16"/>
    <mergeCell ref="E10:O10"/>
  </mergeCells>
  <phoneticPr fontId="17" type="noConversion"/>
  <conditionalFormatting sqref="D45:D46">
    <cfRule type="cellIs" dxfId="53" priority="576" operator="equal">
      <formula>"Error:"</formula>
    </cfRule>
  </conditionalFormatting>
  <conditionalFormatting sqref="B28">
    <cfRule type="expression" dxfId="52" priority="435">
      <formula>AND(#REF!="Changeover",(#REF!-#REF!)*24*60&gt;30)</formula>
    </cfRule>
  </conditionalFormatting>
  <conditionalFormatting sqref="B18 G18">
    <cfRule type="containsText" dxfId="51" priority="89" operator="containsText" text="PRODUCT">
      <formula>NOT(ISERROR(SEARCH("PRODUCT",B18)))</formula>
    </cfRule>
  </conditionalFormatting>
  <conditionalFormatting sqref="B9:D9">
    <cfRule type="containsText" dxfId="50" priority="88" operator="containsText" text="CHANGEOVER">
      <formula>NOT(ISERROR(SEARCH("CHANGEOVER",B9)))</formula>
    </cfRule>
  </conditionalFormatting>
  <conditionalFormatting sqref="B30:D30">
    <cfRule type="containsText" dxfId="49" priority="87" operator="containsText" text="PRODUCT">
      <formula>NOT(ISERROR(SEARCH("PRODUCT",B30)))</formula>
    </cfRule>
  </conditionalFormatting>
  <conditionalFormatting sqref="B29:E29">
    <cfRule type="containsText" dxfId="48" priority="84" operator="containsText" text="PRODUCT">
      <formula>NOT(ISERROR(SEARCH("PRODUCT",B29)))</formula>
    </cfRule>
  </conditionalFormatting>
  <conditionalFormatting sqref="B8:E8">
    <cfRule type="containsText" dxfId="47" priority="83" operator="containsText" text="PRODUCT">
      <formula>NOT(ISERROR(SEARCH("PRODUCT",B8)))</formula>
    </cfRule>
  </conditionalFormatting>
  <conditionalFormatting sqref="B17:C17">
    <cfRule type="containsText" dxfId="46" priority="82" operator="containsText" text="PRODUCT">
      <formula>NOT(ISERROR(SEARCH("PRODUCT",B17)))</formula>
    </cfRule>
  </conditionalFormatting>
  <conditionalFormatting sqref="E52:E54">
    <cfRule type="expression" dxfId="45" priority="58">
      <formula>IF(B52="",TRUE,FALSE)</formula>
    </cfRule>
  </conditionalFormatting>
  <conditionalFormatting sqref="F52:F54">
    <cfRule type="expression" dxfId="44" priority="57">
      <formula>IF(B52="",TRUE,FALSE)</formula>
    </cfRule>
  </conditionalFormatting>
  <conditionalFormatting sqref="E51:F51">
    <cfRule type="expression" dxfId="43" priority="55">
      <formula>IF(B51="",TRUE,FALSE)</formula>
    </cfRule>
  </conditionalFormatting>
  <conditionalFormatting sqref="E55">
    <cfRule type="expression" dxfId="42" priority="52">
      <formula>IF(B55="",TRUE,FALSE)</formula>
    </cfRule>
  </conditionalFormatting>
  <conditionalFormatting sqref="F55">
    <cfRule type="expression" dxfId="41" priority="51">
      <formula>IF(B55="",TRUE,FALSE)</formula>
    </cfRule>
  </conditionalFormatting>
  <conditionalFormatting sqref="D44">
    <cfRule type="cellIs" dxfId="40" priority="30" operator="equal">
      <formula>"Error:"</formula>
    </cfRule>
  </conditionalFormatting>
  <conditionalFormatting sqref="D44:K44">
    <cfRule type="containsText" dxfId="39" priority="29" operator="containsText" text="ERROR">
      <formula>NOT(ISERROR(SEARCH("ERROR",D44)))</formula>
    </cfRule>
  </conditionalFormatting>
  <conditionalFormatting sqref="C55">
    <cfRule type="expression" dxfId="38" priority="12">
      <formula>OR(C55=0)</formula>
    </cfRule>
  </conditionalFormatting>
  <conditionalFormatting sqref="C54">
    <cfRule type="expression" dxfId="37" priority="11">
      <formula>OR(C54=0)</formula>
    </cfRule>
  </conditionalFormatting>
  <conditionalFormatting sqref="C53">
    <cfRule type="expression" dxfId="36" priority="10">
      <formula>OR(C53=0)</formula>
    </cfRule>
  </conditionalFormatting>
  <conditionalFormatting sqref="C52">
    <cfRule type="expression" dxfId="35" priority="9">
      <formula>OR(C52=0)</formula>
    </cfRule>
  </conditionalFormatting>
  <conditionalFormatting sqref="C51">
    <cfRule type="expression" dxfId="34" priority="8">
      <formula>OR(C51=0)</formula>
    </cfRule>
  </conditionalFormatting>
  <conditionalFormatting sqref="C1:D3">
    <cfRule type="cellIs" dxfId="33" priority="7" operator="notEqual">
      <formula>""</formula>
    </cfRule>
  </conditionalFormatting>
  <conditionalFormatting sqref="I48:O48">
    <cfRule type="cellIs" dxfId="32" priority="6" operator="notEqual">
      <formula>""</formula>
    </cfRule>
  </conditionalFormatting>
  <conditionalFormatting sqref="C62:C67">
    <cfRule type="cellIs" dxfId="31" priority="5" operator="equal">
      <formula>0</formula>
    </cfRule>
  </conditionalFormatting>
  <conditionalFormatting sqref="F51">
    <cfRule type="cellIs" dxfId="30" priority="4" operator="equal">
      <formula>0</formula>
    </cfRule>
  </conditionalFormatting>
  <conditionalFormatting sqref="I51:I55">
    <cfRule type="cellIs" dxfId="29" priority="3" operator="equal">
      <formula>0</formula>
    </cfRule>
  </conditionalFormatting>
  <conditionalFormatting sqref="C46 E50:F50 I50 C56:C57">
    <cfRule type="cellIs" dxfId="28" priority="2" operator="equal">
      <formula>0</formula>
    </cfRule>
  </conditionalFormatting>
  <conditionalFormatting sqref="G68">
    <cfRule type="cellIs" dxfId="27" priority="1" operator="notEqual">
      <formula>""</formula>
    </cfRule>
  </conditionalFormatting>
  <dataValidations xWindow="1128" yWindow="249" count="22">
    <dataValidation allowBlank="1" showInputMessage="1" showErrorMessage="1" errorTitle="Product Not Found" error="Select a different product or add this product to the list." sqref="B62:B69" xr:uid="{00000000-0002-0000-0000-000000000000}"/>
    <dataValidation type="decimal" operator="greaterThanOrEqual" allowBlank="1" showErrorMessage="1" errorTitle="Input Error" error="Value must be a whole number, greater than or equal to zero!" promptTitle="Availability Downtime" prompt="Input the amount of downtime associated with the given reason." sqref="C44" xr:uid="{00000000-0002-0000-0000-000001000000}">
      <formula1>0</formula1>
    </dataValidation>
    <dataValidation allowBlank="1" showInputMessage="1" showErrorMessage="1" errorTitle="Product Not Found" error="Please select a different product or add this product to the list." sqref="B50:B57" xr:uid="{00000000-0002-0000-0000-000002000000}"/>
    <dataValidation allowBlank="1" showErrorMessage="1" promptTitle="Availability Losses" prompt="Input any lost time from availability (above) that falls within the time that the given product was run." sqref="E50:F55" xr:uid="{00000000-0002-0000-0000-000003000000}"/>
    <dataValidation allowBlank="1" showInputMessage="1" showErrorMessage="1" promptTitle="Performance Start Time" prompt="Enter the start time for each product.  NOTE:  The time must be expressed in military time.  (e.g. 7:00 AM = 7:00.  3:00 PM = 15:00)" sqref="C50:C55" xr:uid="{00000000-0002-0000-0000-000004000000}"/>
    <dataValidation allowBlank="1" showErrorMessage="1" promptTitle="Performance Pallet Count" prompt="Enter the number of pallets run using GPI data." sqref="G50:G55" xr:uid="{00000000-0002-0000-0000-000005000000}"/>
    <dataValidation type="list" allowBlank="1" showErrorMessage="1" promptTitle="Products Run" prompt="Select product run from the drop down list." sqref="B12:B16" xr:uid="{00000000-0002-0000-0000-000006000000}">
      <formula1>GMIDTable</formula1>
    </dataValidation>
    <dataValidation type="list" allowBlank="1" showInputMessage="1" showErrorMessage="1" sqref="L5" xr:uid="{00000000-0002-0000-0000-000007000000}">
      <formula1>Shifts</formula1>
    </dataValidation>
    <dataValidation type="decimal" allowBlank="1" showInputMessage="1" showErrorMessage="1" errorTitle="Input Error" error="Value must be a number between zero and 24!" promptTitle="Start Time:" prompt="Enter the time that production is scheduled to begin.  _x000a__x000a_NOTE:  The time must be expressed in military time.  (e.g. 7:00 AM = 7:00.  3:00 PM = 15:00)" sqref="H5" xr:uid="{00000000-0002-0000-0000-000008000000}">
      <formula1>0</formula1>
      <formula2>24</formula2>
    </dataValidation>
    <dataValidation allowBlank="1" showInputMessage="1" showErrorMessage="1" errorTitle="Input Error" error="Please select a description from the drop-down list!" promptTitle="End Time:" prompt="Enter the time that production is scheduled to end._x000a__x000a_NOTE:  The time must be expressed in military time.  (e.g. 7:00 AM = 7:00.  3:00 PM = 15:00)" sqref="H6" xr:uid="{00000000-0002-0000-0000-000009000000}"/>
    <dataValidation allowBlank="1" showErrorMessage="1" sqref="C56:C57 C20:C28" xr:uid="{00000000-0002-0000-0000-00000A000000}"/>
    <dataValidation allowBlank="1" showErrorMessage="1" promptTitle="Changeover Stop Time" prompt="Enter the stop time for the changeover.  NOTE:  The time must be expressed in military time.  (e.g. 7:00 AM = 7:00.  3:00 PM = 15:00)" sqref="I32:I43" xr:uid="{00000000-0002-0000-0000-00000B000000}"/>
    <dataValidation type="list" allowBlank="1" showErrorMessage="1" promptTitle="Planned Downtime Reason" prompt="Enter the reason for the planned downtime" sqref="B20:B28" xr:uid="{00000000-0002-0000-0000-00000C000000}">
      <formula1>Planned_Table</formula1>
    </dataValidation>
    <dataValidation type="list" allowBlank="1" showErrorMessage="1" promptTitle="Products Run" prompt="Select product run from the drop down list" sqref="B11" xr:uid="{00000000-0002-0000-0000-00000D000000}">
      <formula1>GMIDTable</formula1>
    </dataValidation>
    <dataValidation allowBlank="1" showErrorMessage="1" promptTitle="Stop Time" prompt="Enter the time that packaging of this product ended.  NOTE:  The time must be expressed in military time.  (e.g. 7:00 AM = 7:00.  3:00 PM = 15:00)" sqref="D50:D55" xr:uid="{00000000-0002-0000-0000-00000E000000}"/>
    <dataValidation allowBlank="1" showErrorMessage="1" promptTitle="Unplanned Downtime Description" prompt="Select a detailed description of the downtime from the list._x000a__x000a_" sqref="D32:F43" xr:uid="{00000000-0002-0000-0000-00000F000000}"/>
    <dataValidation type="list" allowBlank="1" showErrorMessage="1" promptTitle="Unplanned Downtime Reason" prompt="Select a downtime source from the list.  If the desired item cannot be found on the list, it may be added to the 'Lost Time Causes Input' worksheet at the bottom of the list." sqref="B32:B43" xr:uid="{00000000-0002-0000-0000-000010000000}">
      <formula1>Unplanned</formula1>
    </dataValidation>
    <dataValidation allowBlank="1" showErrorMessage="1" promptTitle="Planned Downtime Description" prompt="Enter any related notes or relevant information for the planned downtime" sqref="H20:H28 D20:E28" xr:uid="{00000000-0002-0000-0000-000011000000}"/>
    <dataValidation type="date" operator="greaterThanOrEqual" allowBlank="1" showErrorMessage="1" errorTitle="Input Error" error="Value must be a date in the format mm/dd/yyyy!_x000a__x000a_Date must be later than 01/01/2001!" promptTitle="Begin Date" prompt="Please enter the date for the OEE data collection." sqref="C5:D5" xr:uid="{00000000-0002-0000-0000-000012000000}">
      <formula1>36892</formula1>
    </dataValidation>
    <dataValidation type="list" allowBlank="1" showErrorMessage="1" promptTitle="Crew Leader" prompt="Enter the name of the crew leader for the given shift." sqref="C6:D6" xr:uid="{00000000-0002-0000-0000-000013000000}">
      <formula1>SL3s</formula1>
    </dataValidation>
    <dataValidation type="list" allowBlank="1" showInputMessage="1" showErrorMessage="1" sqref="F20:G28 G32:H43" xr:uid="{00000000-0002-0000-0000-000014000000}">
      <formula1>$B$11:$B$16</formula1>
    </dataValidation>
    <dataValidation type="list" allowBlank="1" showInputMessage="1" showErrorMessage="1" sqref="N2:O2" xr:uid="{00000000-0002-0000-0000-000015000000}">
      <formula1>Language</formula1>
    </dataValidation>
  </dataValidations>
  <printOptions horizontalCentered="1" verticalCentered="1"/>
  <pageMargins left="0.25" right="0.25" top="0.75" bottom="0.75" header="0.3" footer="0.3"/>
  <pageSetup scale="37" orientation="portrait" r:id="rId1"/>
  <headerFooter alignWithMargins="0">
    <oddHeader>&amp;C&amp;"Arial,Bold"&amp;36&amp;UOverall Equipment Effectiveness (OEE) Worksheet</oddHeader>
    <oddFooter>&amp;R&amp;1#&amp;"Arial"&amp;10&amp;K000000---Internal Use---&amp;C&amp;"Calibri"&amp;11&amp;K000000DOW RESTRICTED_x000D_&amp;1#&amp;"Arial"&amp;10&amp;K000000---Internal Use---</oddFooter>
  </headerFooter>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84" r:id="rId4" name="Button 36">
              <controlPr defaultSize="0" autoFill="0" autoPict="0" macro="[0]!Reset_Form">
                <anchor moveWithCells="1" sizeWithCells="1">
                  <from>
                    <xdr:col>1</xdr:col>
                    <xdr:colOff>1568450</xdr:colOff>
                    <xdr:row>0</xdr:row>
                    <xdr:rowOff>107950</xdr:rowOff>
                  </from>
                  <to>
                    <xdr:col>1</xdr:col>
                    <xdr:colOff>2273300</xdr:colOff>
                    <xdr:row>2</xdr:row>
                    <xdr:rowOff>38100</xdr:rowOff>
                  </to>
                </anchor>
              </controlPr>
            </control>
          </mc:Choice>
        </mc:AlternateContent>
        <mc:AlternateContent xmlns:mc="http://schemas.openxmlformats.org/markup-compatibility/2006">
          <mc:Choice Requires="x14">
            <control shapeId="2079" r:id="rId5" name="Button 31">
              <controlPr defaultSize="0" autoFill="0" autoPict="0" macro="[0]!Log_Data_2">
                <anchor moveWithCells="1" sizeWithCells="1">
                  <from>
                    <xdr:col>1</xdr:col>
                    <xdr:colOff>304800</xdr:colOff>
                    <xdr:row>0</xdr:row>
                    <xdr:rowOff>107950</xdr:rowOff>
                  </from>
                  <to>
                    <xdr:col>1</xdr:col>
                    <xdr:colOff>1511300</xdr:colOff>
                    <xdr:row>2</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79" id="{5DF9052D-6A2A-4E81-9F46-EEE689354E64}">
            <x14:iconSet iconSet="3Symbols" showValue="0" custom="1">
              <x14:cfvo type="percent">
                <xm:f>0</xm:f>
              </x14:cfvo>
              <x14:cfvo type="num">
                <xm:f>0</xm:f>
              </x14:cfvo>
              <x14:cfvo type="num">
                <xm:f>1</xm:f>
              </x14:cfvo>
              <x14:cfIcon iconSet="3Symbols" iconId="0"/>
              <x14:cfIcon iconSet="3Symbols" iconId="2"/>
              <x14:cfIcon iconSet="3Symbols" iconId="0"/>
            </x14:iconSet>
          </x14:cfRule>
          <xm:sqref>B1:B3</xm:sqref>
        </x14:conditionalFormatting>
        <x14:conditionalFormatting xmlns:xm="http://schemas.microsoft.com/office/excel/2006/main">
          <x14:cfRule type="containsText" priority="32" operator="containsText" id="{79DBA386-8381-4D50-9108-CA36FE833B18}">
            <xm:f>NOT(ISERROR(SEARCH("ERRO",D56)))</xm:f>
            <xm:f>"ERRO"</xm:f>
            <x14:dxf>
              <font>
                <b/>
                <i/>
                <color rgb="FFFFFF00"/>
              </font>
              <fill>
                <patternFill>
                  <bgColor theme="1"/>
                </patternFill>
              </fill>
            </x14:dxf>
          </x14:cfRule>
          <xm:sqref>D56 M56:O56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autoPageBreaks="0"/>
  </sheetPr>
  <dimension ref="B1:Q100"/>
  <sheetViews>
    <sheetView showGridLines="0" zoomScale="72" zoomScaleNormal="72" workbookViewId="0">
      <selection activeCell="I41" sqref="I41"/>
    </sheetView>
  </sheetViews>
  <sheetFormatPr baseColWidth="10" defaultColWidth="8.7265625" defaultRowHeight="14.5"/>
  <cols>
    <col min="1" max="1" width="2.36328125" customWidth="1"/>
    <col min="2" max="2" width="40.36328125" bestFit="1" customWidth="1"/>
    <col min="3" max="3" width="10.90625" style="10" bestFit="1" customWidth="1"/>
    <col min="4" max="4" width="10.36328125" style="10" bestFit="1" customWidth="1"/>
    <col min="5" max="5" width="10.36328125" style="10" customWidth="1"/>
    <col min="6" max="6" width="10.36328125" customWidth="1"/>
    <col min="7" max="7" width="7.453125" bestFit="1" customWidth="1"/>
    <col min="8" max="11" width="13.453125" customWidth="1"/>
    <col min="12" max="12" width="7.453125" bestFit="1" customWidth="1"/>
    <col min="13" max="13" width="30.08984375" bestFit="1" customWidth="1"/>
    <col min="14" max="14" width="9.54296875" bestFit="1" customWidth="1"/>
    <col min="15" max="15" width="10.90625" bestFit="1" customWidth="1"/>
    <col min="16" max="16" width="10.36328125" bestFit="1" customWidth="1"/>
    <col min="17" max="17" width="8.6328125" bestFit="1" customWidth="1"/>
  </cols>
  <sheetData>
    <row r="1" spans="2:7" ht="21">
      <c r="B1" s="126" t="s">
        <v>351</v>
      </c>
    </row>
    <row r="2" spans="2:7" ht="6" customHeight="1">
      <c r="B2" s="80"/>
      <c r="G2" s="81"/>
    </row>
    <row r="24" spans="2:17" ht="22" customHeight="1">
      <c r="B24" s="134" t="s">
        <v>168</v>
      </c>
      <c r="C24" s="82">
        <v>44287</v>
      </c>
    </row>
    <row r="25" spans="2:17">
      <c r="B25" s="134" t="s">
        <v>169</v>
      </c>
      <c r="C25" s="82">
        <v>44378</v>
      </c>
      <c r="G25" s="179">
        <v>1</v>
      </c>
    </row>
    <row r="26" spans="2:17" ht="48.75" customHeight="1">
      <c r="B26" s="133" t="s">
        <v>3</v>
      </c>
      <c r="C26" s="132" t="s">
        <v>7</v>
      </c>
      <c r="D26" s="9" t="s">
        <v>173</v>
      </c>
      <c r="E26" s="9" t="s">
        <v>174</v>
      </c>
      <c r="G26" s="13"/>
      <c r="H26" s="14" t="s">
        <v>126</v>
      </c>
      <c r="I26" s="14" t="s">
        <v>125</v>
      </c>
      <c r="J26" s="14" t="s">
        <v>175</v>
      </c>
      <c r="K26" s="14" t="s">
        <v>352</v>
      </c>
      <c r="M26" s="168" t="s">
        <v>3</v>
      </c>
      <c r="N26" s="169" t="s">
        <v>177</v>
      </c>
      <c r="O26" s="9" t="s">
        <v>7</v>
      </c>
      <c r="P26" s="9" t="s">
        <v>173</v>
      </c>
      <c r="Q26" s="9" t="s">
        <v>174</v>
      </c>
    </row>
    <row r="27" spans="2:17">
      <c r="B27" s="127" t="str">
        <f>IF('Setup Sheet'!A10&lt;&gt;"",'Setup Sheet'!A10,"")</f>
        <v>Bottle_Labeler_(Other)</v>
      </c>
      <c r="C27" s="128">
        <f>SUMIFS('Master Log'!$CS$2:$CS$9839,'Master Log'!$A$2:$A$9839,"&gt;="&amp;$C$24,'Master Log'!$A$2:$A$9839,"&lt;="&amp;$C$25,'Master Log'!$CR$2:$CR$9839,B27)+SUMIFS('Master Log'!$CX$2:$CX$9839,'Master Log'!$A$2:$A$9839,"&gt;="&amp;$C$24,'Master Log'!$A$2:$A$9839,"&lt;="&amp;$C$25,'Master Log'!$CW$2:$CW$9839,B27)+SUMIFS('Master Log'!$DC$2:$DC$9839,'Master Log'!$A$2:$A$9839,"&gt;="&amp;$C$24,'Master Log'!$A$2:$A$9839,"&lt;="&amp;$C$25,'Master Log'!$DB$2:$DB$9839,B27)+SUMIFS('Master Log'!$DH$2:$DH$9839,'Master Log'!$A$2:$A$9839,"&gt;="&amp;$C$24,'Master Log'!$A$2:$A$9839,"&lt;="&amp;$C$25,'Master Log'!$DG$2:$DG$9839,B27)+SUMIFS('Master Log'!$DM$2:$DM$9839,'Master Log'!$A$2:$A$9839,"&gt;="&amp;$C$24,'Master Log'!$A$2:$A$9839,"&lt;="&amp;$C$25,'Master Log'!$DL$2:$DL$9839,B27)+SUMIFS('Master Log'!$DR$2:$DR$9839,'Master Log'!$A$2:$A$9839,"&gt;="&amp;$C$24,'Master Log'!$A$2:$A$9839,"&lt;="&amp;$C$25,'Master Log'!$DQ$2:$DQ$9839,B27)+SUMIFS('Master Log'!$DW$2:$DW$9839,'Master Log'!$A$2:$A$9839,"&gt;="&amp;$C$24,'Master Log'!$A$2:$A$9839,"&lt;="&amp;$C$25,'Master Log'!$DV$2:$DV$9839,B27)+SUMIFS('Master Log'!$EB$2:$EB$9839,'Master Log'!$A$2:$A$9839,"&gt;="&amp;$C$24,'Master Log'!$A$2:$A$9839,"&lt;="&amp;$C$25,'Master Log'!$EA$2:$EA$9839,B27)+SUMIFS('Master Log'!$EG$2:$EG$9839,'Master Log'!$A$2:$A$9839,"&gt;="&amp;$C$24,'Master Log'!$A$2:$A$9839,"&lt;="&amp;$C$25,'Master Log'!$EF$2:$EF$9839,B27)+SUMIFS('Master Log'!$EL$2:$EL$9839,'Master Log'!$A$2:$A$9839,"&gt;="&amp;$C$24,'Master Log'!$A$2:$A$9839,"&lt;="&amp;$C$25,'Master Log'!$EK$2:$EK$9839,B27)+SUMIFS('Master Log'!$EQ$2:$EQ$9839,'Master Log'!$A$2:$A$9839,"&gt;="&amp;$C$24,'Master Log'!$A$2:$A$9839,"&lt;="&amp;$C$25,'Master Log'!$EP$2:$EP$9839,B27)+SUMIFS('Master Log'!$EV$2:$EV$9839,'Master Log'!$A$2:$A$9839,"&gt;="&amp;$C$24,'Master Log'!$A$2:$A$9839,"&lt;="&amp;$C$25,'Master Log'!$EU$2:$EU$9839,B27)</f>
        <v>980</v>
      </c>
      <c r="D27" s="130">
        <f>IF(B27&lt;&gt;"",COUNTIFS('Master Log'!A:A,"&gt;="&amp;$C$24,'Master Log'!A:A,"&lt;="&amp;$C$25,'Master Log'!CR:CR,B27)+COUNTIFS('Master Log'!A:A,"&gt;="&amp;$C$24,'Master Log'!A:A,"&lt;="&amp;$C$25,'Master Log'!CW:CW,B27)+COUNTIFS('Master Log'!A:A,"&gt;="&amp;$C$24,'Master Log'!A:A,"&lt;="&amp;$C$25,'Master Log'!DB:DB,B27)+COUNTIFS('Master Log'!A:A,"&gt;="&amp;$C$24,'Master Log'!A:A,"&lt;="&amp;$C$25,'Master Log'!DG:DG,B27)+COUNTIFS('Master Log'!A:A,"&gt;="&amp;$C$24,'Master Log'!A:A,"&lt;="&amp;$C$25,'Master Log'!DL:DL,B27)+COUNTIFS('Master Log'!A:A,"&gt;="&amp;$C$24,'Master Log'!A:A,"&lt;="&amp;$C$25,'Master Log'!DQ:DQ,B27)+COUNTIFS('Master Log'!A:A,"&gt;="&amp;$C$24,'Master Log'!A:A,"&lt;="&amp;$C$25,'Master Log'!DV:DV,B27)+COUNTIFS('Master Log'!A:A,"&gt;="&amp;$C$24,'Master Log'!A:A,"&lt;="&amp;$C$25,'Master Log'!EA:EA,B27)+COUNTIFS('Master Log'!A:A,"&gt;="&amp;$C$24,'Master Log'!A:A,"&lt;="&amp;$C$25,'Master Log'!EF:EF,B27)+COUNTIFS('Master Log'!A:A,"&gt;="&amp;$C$24,'Master Log'!A:A,"&lt;="&amp;$C$25,'Master Log'!EK:EK,B27)+COUNTIFS('Master Log'!A:A,"&gt;="&amp;$C$24,'Master Log'!A:A,"&lt;="&amp;$C$25,'Master Log'!EP:EP,B27)+COUNTIFS('Master Log'!A:A,"&gt;="&amp;$C$24,'Master Log'!A:A,"&lt;="&amp;$C$25,'Master Log'!EU:EU,B27),"")</f>
        <v>26</v>
      </c>
      <c r="E27" s="135">
        <f t="shared" ref="E27:E28" si="0">IF(B27&lt;&gt;"",IF(C27&gt;0,C27/D27,0),"")</f>
        <v>37.692307692307693</v>
      </c>
      <c r="G27" s="139">
        <f ca="1">DATE(YEAR(TODAY()),MONTH(TODAY())-11,1)</f>
        <v>44136</v>
      </c>
      <c r="H27" s="129" t="e">
        <f ca="1">IF($G$25=1,'Monthly Chart Data'!D3,'Monthly Chart Data'!Q3)</f>
        <v>#N/A</v>
      </c>
      <c r="I27" s="129" t="e">
        <f ca="1">'Monthly Chart Data'!H3</f>
        <v>#N/A</v>
      </c>
      <c r="J27" s="129" t="e">
        <f ca="1">'Monthly Chart Data'!L3</f>
        <v>#N/A</v>
      </c>
      <c r="K27" s="129" t="e">
        <f ca="1">+H27*I27*J27</f>
        <v>#N/A</v>
      </c>
      <c r="M27" s="171" t="str">
        <f>CHOOSE(M28,'Setup Sheet'!A8,'Setup Sheet'!A9,'Setup Sheet'!A10,'Setup Sheet'!A11,'Setup Sheet'!A12,'Setup Sheet'!A13,'Setup Sheet'!A14,'Setup Sheet'!A15,'Setup Sheet'!A16,'Setup Sheet'!A17,'Setup Sheet'!A18,'Setup Sheet'!A19,'Setup Sheet'!A20,'Setup Sheet'!A21,'Setup Sheet'!A22,'Setup Sheet'!A23,'Setup Sheet'!A24,'Setup Sheet'!A25,'Setup Sheet'!A26,'Setup Sheet'!A27,'Setup Sheet'!A28,'Setup Sheet'!A29,'Setup Sheet'!A30,'Setup Sheet'!A31,'Setup Sheet'!A32,'Setup Sheet'!A33,'Setup Sheet'!A34,'Setup Sheet'!A35,'Setup Sheet'!A36,'Setup Sheet'!A37,'Setup Sheet'!A38,'Setup Sheet'!A39,'Setup Sheet'!A40,'Setup Sheet'!A41,'Setup Sheet'!A42,'Setup Sheet'!A43,'Setup Sheet'!A44,'Setup Sheet'!A45,'Setup Sheet'!A46,'Setup Sheet'!A47,'Setup Sheet'!A48,'Setup Sheet'!A49,'Setup Sheet'!A50,'Setup Sheet'!A51,'Setup Sheet'!A52,'Setup Sheet'!A53,'Setup Sheet'!A54,'Setup Sheet'!A55,'Setup Sheet'!A56,'Setup Sheet'!A57,'Setup Sheet'!A58,'Setup Sheet'!A59,'Setup Sheet'!A60,'Setup Sheet'!A61,'Setup Sheet'!A62,'Setup Sheet'!A63,'Setup Sheet'!A64,'Setup Sheet'!A65,'Setup Sheet'!A66,'Setup Sheet'!A67,'Setup Sheet'!A68,'Setup Sheet'!A69,'Setup Sheet'!A70,'Setup Sheet'!A71,'Setup Sheet'!A72,'Setup Sheet'!A73,'Setup Sheet'!A74,'Setup Sheet'!A75,'Setup Sheet'!A76,'Setup Sheet'!A77,'Setup Sheet'!A78,'Setup Sheet'!A79,'Setup Sheet'!A80,'Setup Sheet'!A81,'Setup Sheet'!A82,'Setup Sheet'!A83,'Setup Sheet'!A84,'Setup Sheet'!A85,'Setup Sheet'!A86,'Setup Sheet'!A87,'Setup Sheet'!A88,'Setup Sheet'!A89,'Setup Sheet'!A90,'Setup Sheet'!A91,'Setup Sheet'!A92,'Setup Sheet'!A93,'Setup Sheet'!A94,'Setup Sheet'!A95,'Setup Sheet'!A96,'Setup Sheet'!A97,'Setup Sheet'!A98,'Setup Sheet'!A99,'Setup Sheet'!A100,'Setup Sheet'!A101,'Setup Sheet'!A102)</f>
        <v>Bottle_Labeler_(Other)</v>
      </c>
      <c r="N27" s="138">
        <f ca="1">DATE(YEAR(TODAY()),MONTH(TODAY())-11,1)</f>
        <v>44136</v>
      </c>
      <c r="O27" s="128">
        <f ca="1">SUMIFS('Master Log'!$CS$2:$CS$9838,'Master Log'!$A$2:$A$9838,"&gt;="&amp;N27,'Master Log'!$A$2:$A$9838,"&lt;="&amp;N28,'Master Log'!$CR$2:$CR$9838,$M$27)+SUMIFS('Master Log'!$CX$2:$CX$9838,'Master Log'!$A$2:$A$9838,"&gt;="&amp;N27,'Master Log'!$A$2:$A$9838,"&lt;="&amp;N28,'Master Log'!$CW$2:$CW$9838,$M$27)+SUMIFS('Master Log'!$DC$2:$DC$9838,'Master Log'!$A$2:$A$9838,"&gt;="&amp;N27,'Master Log'!$A$2:$A$9838,"&lt;="&amp;N28,'Master Log'!$DB$2:$DB$9838,$M$27)+SUMIFS('Master Log'!$DH$2:$DH$9838,'Master Log'!$A$2:$A$9838,"&gt;="&amp;N27,'Master Log'!$A$2:$A$9838,"&lt;="&amp;N28,'Master Log'!$DG$2:$DG$9838,$M$27)+SUMIFS('Master Log'!$DM$2:$DM$9838,'Master Log'!$A$2:$A$9838,"&gt;="&amp;N27,'Master Log'!$A$2:$A$9838,"&lt;="&amp;N28,'Master Log'!$DL$2:$DL$9838,$M$27)+SUMIFS('Master Log'!$DR$2:$DR$9838,'Master Log'!$A$2:$A$9838,"&gt;="&amp;N27,'Master Log'!$A$2:$A$9838,"&lt;="&amp;N28,'Master Log'!$DQ$2:$DQ$9838,$M$27)+SUMIFS('Master Log'!$DW$2:$DW$9838,'Master Log'!$A$2:$A$9838,"&gt;="&amp;N27,'Master Log'!$A$2:$A$9838,"&lt;="&amp;N28,'Master Log'!$DV$2:$DV$9838,$M$27)+SUMIFS('Master Log'!$EB$2:$EB$9838,'Master Log'!$A$2:$A$9838,"&gt;="&amp;N27,'Master Log'!$A$2:$A$9838,"&lt;="&amp;N28,'Master Log'!$EA$2:$EA$9838,$M$27)+SUMIFS('Master Log'!$EG$2:$EG$9838,'Master Log'!$A$2:$A$9838,"&gt;="&amp;N27,'Master Log'!$A$2:$A$9838,"&lt;="&amp;N28,'Master Log'!$EF$2:$EF$9838,$M$27)+SUMIFS('Master Log'!$EL$2:$EL$9838,'Master Log'!$A$2:$A$9838,"&gt;="&amp;N27,'Master Log'!$A$2:$A$9838,"&lt;="&amp;N28,'Master Log'!$EK$2:$EK$9838,$M$27)+SUMIFS('Master Log'!$EQ$2:$EQ$9838,'Master Log'!$A$2:$A$9838,"&gt;="&amp;N27,'Master Log'!$A$2:$A$9838,"&lt;="&amp;N28,'Master Log'!$EP$2:$EP$9838,$M$27)+SUMIFS('Master Log'!$EV$2:$EV$9838,'Master Log'!$A$2:$A$9838,"&gt;="&amp;N27,'Master Log'!$A$2:$A$9838,"&lt;="&amp;N28,'Master Log'!$EU$2:$EU$9838,$M$27)</f>
        <v>0</v>
      </c>
      <c r="P27" s="167">
        <f ca="1">IF($M$27&lt;&gt;"",COUNTIFS('Master Log'!A:A,"&gt;="&amp;N27,'Master Log'!A:A,"&lt;="&amp;N28,'Master Log'!CR:CR,$M$27)+COUNTIFS('Master Log'!A:A,"&gt;="&amp;N27,'Master Log'!A:A,"&lt;="&amp;N28,'Master Log'!CW:CW,$M$27)+COUNTIFS('Master Log'!A:A,"&gt;="&amp;N27,'Master Log'!A:A,"&lt;="&amp;N28,'Master Log'!DB:DB,$M$27)+COUNTIFS('Master Log'!A:A,"&gt;="&amp;N27,'Master Log'!A:A,"&lt;="&amp;N28,'Master Log'!DG:DG,$M$27)+COUNTIFS('Master Log'!A:A,"&gt;="&amp;N27,'Master Log'!A:A,"&lt;="&amp;N28,'Master Log'!DL:DL,$M$27)+COUNTIFS('Master Log'!A:A,"&gt;="&amp;N27,'Master Log'!A:A,"&lt;="&amp;N28,'Master Log'!DQ:DQ,$M$27)+COUNTIFS('Master Log'!A:A,"&gt;="&amp;N27,'Master Log'!A:A,"&lt;="&amp;N28,'Master Log'!DV:DV,$M$27)+COUNTIFS('Master Log'!A:A,"&gt;="&amp;N27,'Master Log'!A:A,"&lt;="&amp;N28,'Master Log'!EA:EA,$M$27)+COUNTIFS('Master Log'!A:A,"&gt;="&amp;N27,'Master Log'!A:A,"&lt;="&amp;N28,'Master Log'!EF:EF,$M$27)+COUNTIFS('Master Log'!A:A,"&gt;="&amp;N27,'Master Log'!A:A,"&lt;="&amp;N28,'Master Log'!EK:EK,$M$27)+COUNTIFS('Master Log'!A:A,"&gt;="&amp;N27,'Master Log'!A:A,"&lt;="&amp;N28,'Master Log'!EP:EP,$M$27)+COUNTIFS('Master Log'!A:A,"&gt;="&amp;N27,'Master Log'!A:A,"&lt;="&amp;N28,'Master Log'!EU:EU,$M$27),"")</f>
        <v>0</v>
      </c>
      <c r="Q27" s="135">
        <f ca="1">IF($M$27&lt;&gt;"",IF(O27&gt;0,O27/P27,0),"")</f>
        <v>0</v>
      </c>
    </row>
    <row r="28" spans="2:17">
      <c r="B28" s="127" t="str">
        <f>IF('Setup Sheet'!A11&lt;&gt;"",'Setup Sheet'!A11,"")</f>
        <v>Bottle_Printer_(Equipment)</v>
      </c>
      <c r="C28" s="128">
        <f>SUMIFS('Master Log'!$CS$2:$CS$9839,'Master Log'!$A$2:$A$9839,"&gt;="&amp;$C$24,'Master Log'!$A$2:$A$9839,"&lt;="&amp;$C$25,'Master Log'!$CR$2:$CR$9839,B28)+SUMIFS('Master Log'!$CX$2:$CX$9839,'Master Log'!$A$2:$A$9839,"&gt;="&amp;$C$24,'Master Log'!$A$2:$A$9839,"&lt;="&amp;$C$25,'Master Log'!$CW$2:$CW$9839,B28)+SUMIFS('Master Log'!$DC$2:$DC$9839,'Master Log'!$A$2:$A$9839,"&gt;="&amp;$C$24,'Master Log'!$A$2:$A$9839,"&lt;="&amp;$C$25,'Master Log'!$DB$2:$DB$9839,B28)+SUMIFS('Master Log'!$DH$2:$DH$9839,'Master Log'!$A$2:$A$9839,"&gt;="&amp;$C$24,'Master Log'!$A$2:$A$9839,"&lt;="&amp;$C$25,'Master Log'!$DG$2:$DG$9839,B28)+SUMIFS('Master Log'!$DM$2:$DM$9839,'Master Log'!$A$2:$A$9839,"&gt;="&amp;$C$24,'Master Log'!$A$2:$A$9839,"&lt;="&amp;$C$25,'Master Log'!$DL$2:$DL$9839,B28)+SUMIFS('Master Log'!$DR$2:$DR$9839,'Master Log'!$A$2:$A$9839,"&gt;="&amp;$C$24,'Master Log'!$A$2:$A$9839,"&lt;="&amp;$C$25,'Master Log'!$DQ$2:$DQ$9839,B28)+SUMIFS('Master Log'!$DW$2:$DW$9839,'Master Log'!$A$2:$A$9839,"&gt;="&amp;$C$24,'Master Log'!$A$2:$A$9839,"&lt;="&amp;$C$25,'Master Log'!$DV$2:$DV$9839,B28)+SUMIFS('Master Log'!$EB$2:$EB$9839,'Master Log'!$A$2:$A$9839,"&gt;="&amp;$C$24,'Master Log'!$A$2:$A$9839,"&lt;="&amp;$C$25,'Master Log'!$EA$2:$EA$9839,B28)+SUMIFS('Master Log'!$EG$2:$EG$9839,'Master Log'!$A$2:$A$9839,"&gt;="&amp;$C$24,'Master Log'!$A$2:$A$9839,"&lt;="&amp;$C$25,'Master Log'!$EF$2:$EF$9839,B28)+SUMIFS('Master Log'!$EL$2:$EL$9839,'Master Log'!$A$2:$A$9839,"&gt;="&amp;$C$24,'Master Log'!$A$2:$A$9839,"&lt;="&amp;$C$25,'Master Log'!$EK$2:$EK$9839,B28)+SUMIFS('Master Log'!$EQ$2:$EQ$9839,'Master Log'!$A$2:$A$9839,"&gt;="&amp;$C$24,'Master Log'!$A$2:$A$9839,"&lt;="&amp;$C$25,'Master Log'!$EP$2:$EP$9839,B28)+SUMIFS('Master Log'!$EV$2:$EV$9839,'Master Log'!$A$2:$A$9839,"&gt;="&amp;$C$24,'Master Log'!$A$2:$A$9839,"&lt;="&amp;$C$25,'Master Log'!$EU$2:$EU$9839,B28)</f>
        <v>370</v>
      </c>
      <c r="D28" s="130">
        <f>IF(B28&lt;&gt;"",COUNTIFS('Master Log'!A:A,"&gt;="&amp;$C$24,'Master Log'!A:A,"&lt;="&amp;$C$25,'Master Log'!CR:CR,B28)+COUNTIFS('Master Log'!A:A,"&gt;="&amp;$C$24,'Master Log'!A:A,"&lt;="&amp;$C$25,'Master Log'!CW:CW,B28)+COUNTIFS('Master Log'!A:A,"&gt;="&amp;$C$24,'Master Log'!A:A,"&lt;="&amp;$C$25,'Master Log'!DB:DB,B28)+COUNTIFS('Master Log'!A:A,"&gt;="&amp;$C$24,'Master Log'!A:A,"&lt;="&amp;$C$25,'Master Log'!DG:DG,B28)+COUNTIFS('Master Log'!A:A,"&gt;="&amp;$C$24,'Master Log'!A:A,"&lt;="&amp;$C$25,'Master Log'!DL:DL,B28)+COUNTIFS('Master Log'!A:A,"&gt;="&amp;$C$24,'Master Log'!A:A,"&lt;="&amp;$C$25,'Master Log'!DQ:DQ,B28)+COUNTIFS('Master Log'!A:A,"&gt;="&amp;$C$24,'Master Log'!A:A,"&lt;="&amp;$C$25,'Master Log'!DV:DV,B28)+COUNTIFS('Master Log'!A:A,"&gt;="&amp;$C$24,'Master Log'!A:A,"&lt;="&amp;$C$25,'Master Log'!EA:EA,B28)+COUNTIFS('Master Log'!A:A,"&gt;="&amp;$C$24,'Master Log'!A:A,"&lt;="&amp;$C$25,'Master Log'!EF:EF,B28)+COUNTIFS('Master Log'!A:A,"&gt;="&amp;$C$24,'Master Log'!A:A,"&lt;="&amp;$C$25,'Master Log'!EK:EK,B28)+COUNTIFS('Master Log'!A:A,"&gt;="&amp;$C$24,'Master Log'!A:A,"&lt;="&amp;$C$25,'Master Log'!EP:EP,B28)+COUNTIFS('Master Log'!A:A,"&gt;="&amp;$C$24,'Master Log'!A:A,"&lt;="&amp;$C$25,'Master Log'!EU:EU,B28),"")</f>
        <v>4</v>
      </c>
      <c r="E28" s="135">
        <f t="shared" si="0"/>
        <v>92.5</v>
      </c>
      <c r="G28" s="139">
        <f ca="1">DATE(YEAR(TODAY()),MONTH(TODAY())-10,1)</f>
        <v>44166</v>
      </c>
      <c r="H28" s="129" t="e">
        <f ca="1">IF($G$25=1,'Monthly Chart Data'!D4,'Monthly Chart Data'!Q4)</f>
        <v>#N/A</v>
      </c>
      <c r="I28" s="129" t="e">
        <f ca="1">'Monthly Chart Data'!H4</f>
        <v>#N/A</v>
      </c>
      <c r="J28" s="129" t="e">
        <f ca="1">'Monthly Chart Data'!L4</f>
        <v>#N/A</v>
      </c>
      <c r="K28" s="129" t="e">
        <f t="shared" ref="K28:K38" ca="1" si="1">+H28*I28*J28</f>
        <v>#N/A</v>
      </c>
      <c r="M28" s="172">
        <v>3</v>
      </c>
      <c r="N28" s="166">
        <f ca="1">DATE(YEAR(TODAY()),MONTH(TODAY())-10,1)</f>
        <v>44166</v>
      </c>
      <c r="O28" s="128">
        <f ca="1">SUMIFS('Master Log'!$CS$2:$CS$9838,'Master Log'!$A$2:$A$9838,"&gt;="&amp;N28,'Master Log'!$A$2:$A$9838,"&lt;="&amp;N29,'Master Log'!$CR$2:$CR$9838,$M$27)+SUMIFS('Master Log'!$CX$2:$CX$9838,'Master Log'!$A$2:$A$9838,"&gt;="&amp;N28,'Master Log'!$A$2:$A$9838,"&lt;="&amp;N29,'Master Log'!$CW$2:$CW$9838,$M$27)+SUMIFS('Master Log'!$DC$2:$DC$9838,'Master Log'!$A$2:$A$9838,"&gt;="&amp;N28,'Master Log'!$A$2:$A$9838,"&lt;="&amp;N29,'Master Log'!$DB$2:$DB$9838,$M$27)+SUMIFS('Master Log'!$DH$2:$DH$9838,'Master Log'!$A$2:$A$9838,"&gt;="&amp;N28,'Master Log'!$A$2:$A$9838,"&lt;="&amp;N29,'Master Log'!$DG$2:$DG$9838,$M$27)+SUMIFS('Master Log'!$DM$2:$DM$9838,'Master Log'!$A$2:$A$9838,"&gt;="&amp;N28,'Master Log'!$A$2:$A$9838,"&lt;="&amp;N29,'Master Log'!$DL$2:$DL$9838,$M$27)+SUMIFS('Master Log'!$DR$2:$DR$9838,'Master Log'!$A$2:$A$9838,"&gt;="&amp;N28,'Master Log'!$A$2:$A$9838,"&lt;="&amp;N29,'Master Log'!$DQ$2:$DQ$9838,$M$27)+SUMIFS('Master Log'!$DW$2:$DW$9838,'Master Log'!$A$2:$A$9838,"&gt;="&amp;N28,'Master Log'!$A$2:$A$9838,"&lt;="&amp;N29,'Master Log'!$DV$2:$DV$9838,$M$27)+SUMIFS('Master Log'!$EB$2:$EB$9838,'Master Log'!$A$2:$A$9838,"&gt;="&amp;N28,'Master Log'!$A$2:$A$9838,"&lt;="&amp;N29,'Master Log'!$EA$2:$EA$9838,$M$27)+SUMIFS('Master Log'!$EG$2:$EG$9838,'Master Log'!$A$2:$A$9838,"&gt;="&amp;N28,'Master Log'!$A$2:$A$9838,"&lt;="&amp;N29,'Master Log'!$EF$2:$EF$9838,$M$27)+SUMIFS('Master Log'!$EL$2:$EL$9838,'Master Log'!$A$2:$A$9838,"&gt;="&amp;N28,'Master Log'!$A$2:$A$9838,"&lt;="&amp;N29,'Master Log'!$EK$2:$EK$9838,$M$27)+SUMIFS('Master Log'!$EQ$2:$EQ$9838,'Master Log'!$A$2:$A$9838,"&gt;="&amp;N28,'Master Log'!$A$2:$A$9838,"&lt;="&amp;N29,'Master Log'!$EP$2:$EP$9838,$M$27)+SUMIFS('Master Log'!$EV$2:$EV$9838,'Master Log'!$A$2:$A$9838,"&gt;="&amp;N28,'Master Log'!$A$2:$A$9838,"&lt;="&amp;N29,'Master Log'!$EU$2:$EU$9838,$M$27)</f>
        <v>0</v>
      </c>
      <c r="P28" s="167">
        <f ca="1">IF($M$27&lt;&gt;"",COUNTIFS('Master Log'!A:A,"&gt;="&amp;N28,'Master Log'!A:A,"&lt;="&amp;N29,'Master Log'!CR:CR,$M$27)+COUNTIFS('Master Log'!A:A,"&gt;="&amp;N28,'Master Log'!A:A,"&lt;="&amp;N29,'Master Log'!CW:CW,$M$27)+COUNTIFS('Master Log'!A:A,"&gt;="&amp;N28,'Master Log'!A:A,"&lt;="&amp;N29,'Master Log'!DB:DB,$M$27)+COUNTIFS('Master Log'!A:A,"&gt;="&amp;N28,'Master Log'!A:A,"&lt;="&amp;N29,'Master Log'!DG:DG,$M$27)+COUNTIFS('Master Log'!A:A,"&gt;="&amp;N28,'Master Log'!A:A,"&lt;="&amp;N29,'Master Log'!DL:DL,$M$27)+COUNTIFS('Master Log'!A:A,"&gt;="&amp;N28,'Master Log'!A:A,"&lt;="&amp;N29,'Master Log'!DQ:DQ,$M$27)+COUNTIFS('Master Log'!A:A,"&gt;="&amp;N28,'Master Log'!A:A,"&lt;="&amp;N29,'Master Log'!DV:DV,$M$27)+COUNTIFS('Master Log'!A:A,"&gt;="&amp;N28,'Master Log'!A:A,"&lt;="&amp;N29,'Master Log'!EA:EA,$M$27)+COUNTIFS('Master Log'!A:A,"&gt;="&amp;N28,'Master Log'!A:A,"&lt;="&amp;N29,'Master Log'!EF:EF,$M$27)+COUNTIFS('Master Log'!A:A,"&gt;="&amp;N28,'Master Log'!A:A,"&lt;="&amp;N29,'Master Log'!EK:EK,$M$27)+COUNTIFS('Master Log'!A:A,"&gt;="&amp;N28,'Master Log'!A:A,"&lt;="&amp;N29,'Master Log'!EP:EP,$M$27)+COUNTIFS('Master Log'!A:A,"&gt;="&amp;N28,'Master Log'!A:A,"&lt;="&amp;N29,'Master Log'!EU:EU,$M$27),"")</f>
        <v>0</v>
      </c>
      <c r="Q28" s="135">
        <f ca="1">IF($M$27&lt;&gt;"",IF(O28&gt;0,O28/P28,0),"")</f>
        <v>0</v>
      </c>
    </row>
    <row r="29" spans="2:17">
      <c r="B29" s="127" t="str">
        <f>IF('Setup Sheet'!A44&lt;&gt;"",'Setup Sheet'!A44,"")</f>
        <v>Waiting_For_Product</v>
      </c>
      <c r="C29" s="128">
        <f>SUMIFS('Master Log'!$CS$2:$CS$9839,'Master Log'!$A$2:$A$9839,"&gt;="&amp;$C$24,'Master Log'!$A$2:$A$9839,"&lt;="&amp;$C$25,'Master Log'!$CR$2:$CR$9839,B29)+SUMIFS('Master Log'!$CX$2:$CX$9839,'Master Log'!$A$2:$A$9839,"&gt;="&amp;$C$24,'Master Log'!$A$2:$A$9839,"&lt;="&amp;$C$25,'Master Log'!$CW$2:$CW$9839,B29)+SUMIFS('Master Log'!$DC$2:$DC$9839,'Master Log'!$A$2:$A$9839,"&gt;="&amp;$C$24,'Master Log'!$A$2:$A$9839,"&lt;="&amp;$C$25,'Master Log'!$DB$2:$DB$9839,B29)+SUMIFS('Master Log'!$DH$2:$DH$9839,'Master Log'!$A$2:$A$9839,"&gt;="&amp;$C$24,'Master Log'!$A$2:$A$9839,"&lt;="&amp;$C$25,'Master Log'!$DG$2:$DG$9839,B29)+SUMIFS('Master Log'!$DM$2:$DM$9839,'Master Log'!$A$2:$A$9839,"&gt;="&amp;$C$24,'Master Log'!$A$2:$A$9839,"&lt;="&amp;$C$25,'Master Log'!$DL$2:$DL$9839,B29)+SUMIFS('Master Log'!$DR$2:$DR$9839,'Master Log'!$A$2:$A$9839,"&gt;="&amp;$C$24,'Master Log'!$A$2:$A$9839,"&lt;="&amp;$C$25,'Master Log'!$DQ$2:$DQ$9839,B29)+SUMIFS('Master Log'!$DW$2:$DW$9839,'Master Log'!$A$2:$A$9839,"&gt;="&amp;$C$24,'Master Log'!$A$2:$A$9839,"&lt;="&amp;$C$25,'Master Log'!$DV$2:$DV$9839,B29)+SUMIFS('Master Log'!$EB$2:$EB$9839,'Master Log'!$A$2:$A$9839,"&gt;="&amp;$C$24,'Master Log'!$A$2:$A$9839,"&lt;="&amp;$C$25,'Master Log'!$EA$2:$EA$9839,B29)+SUMIFS('Master Log'!$EG$2:$EG$9839,'Master Log'!$A$2:$A$9839,"&gt;="&amp;$C$24,'Master Log'!$A$2:$A$9839,"&lt;="&amp;$C$25,'Master Log'!$EF$2:$EF$9839,B29)+SUMIFS('Master Log'!$EL$2:$EL$9839,'Master Log'!$A$2:$A$9839,"&gt;="&amp;$C$24,'Master Log'!$A$2:$A$9839,"&lt;="&amp;$C$25,'Master Log'!$EK$2:$EK$9839,B29)+SUMIFS('Master Log'!$EQ$2:$EQ$9839,'Master Log'!$A$2:$A$9839,"&gt;="&amp;$C$24,'Master Log'!$A$2:$A$9839,"&lt;="&amp;$C$25,'Master Log'!$EP$2:$EP$9839,B29)+SUMIFS('Master Log'!$EV$2:$EV$9839,'Master Log'!$A$2:$A$9839,"&gt;="&amp;$C$24,'Master Log'!$A$2:$A$9839,"&lt;="&amp;$C$25,'Master Log'!$EU$2:$EU$9839,B29)</f>
        <v>234</v>
      </c>
      <c r="D29" s="130">
        <f>IF(B29&lt;&gt;"",COUNTIFS('Master Log'!A:A,"&gt;="&amp;$C$24,'Master Log'!A:A,"&lt;="&amp;$C$25,'Master Log'!CR:CR,B29)+COUNTIFS('Master Log'!A:A,"&gt;="&amp;$C$24,'Master Log'!A:A,"&lt;="&amp;$C$25,'Master Log'!CW:CW,B29)+COUNTIFS('Master Log'!A:A,"&gt;="&amp;$C$24,'Master Log'!A:A,"&lt;="&amp;$C$25,'Master Log'!DB:DB,B29)+COUNTIFS('Master Log'!A:A,"&gt;="&amp;$C$24,'Master Log'!A:A,"&lt;="&amp;$C$25,'Master Log'!DG:DG,B29)+COUNTIFS('Master Log'!A:A,"&gt;="&amp;$C$24,'Master Log'!A:A,"&lt;="&amp;$C$25,'Master Log'!DL:DL,B29)+COUNTIFS('Master Log'!A:A,"&gt;="&amp;$C$24,'Master Log'!A:A,"&lt;="&amp;$C$25,'Master Log'!DQ:DQ,B29)+COUNTIFS('Master Log'!A:A,"&gt;="&amp;$C$24,'Master Log'!A:A,"&lt;="&amp;$C$25,'Master Log'!DV:DV,B29)+COUNTIFS('Master Log'!A:A,"&gt;="&amp;$C$24,'Master Log'!A:A,"&lt;="&amp;$C$25,'Master Log'!EA:EA,B29)+COUNTIFS('Master Log'!A:A,"&gt;="&amp;$C$24,'Master Log'!A:A,"&lt;="&amp;$C$25,'Master Log'!EF:EF,B29)+COUNTIFS('Master Log'!A:A,"&gt;="&amp;$C$24,'Master Log'!A:A,"&lt;="&amp;$C$25,'Master Log'!EK:EK,B29)+COUNTIFS('Master Log'!A:A,"&gt;="&amp;$C$24,'Master Log'!A:A,"&lt;="&amp;$C$25,'Master Log'!EP:EP,B29)+COUNTIFS('Master Log'!A:A,"&gt;="&amp;$C$24,'Master Log'!A:A,"&lt;="&amp;$C$25,'Master Log'!EU:EU,B29),"")</f>
        <v>4</v>
      </c>
      <c r="E29" s="135">
        <f t="shared" ref="E29:E92" si="2">IF(B29&lt;&gt;"",IF(C29&gt;0,C29/D29,0),"")</f>
        <v>58.5</v>
      </c>
      <c r="G29" s="139">
        <f ca="1">DATE(YEAR(TODAY()),MONTH(TODAY())-9,1)</f>
        <v>44197</v>
      </c>
      <c r="H29" s="129" t="e">
        <f ca="1">IF($G$25=1,'Monthly Chart Data'!D5,'Monthly Chart Data'!Q5)</f>
        <v>#N/A</v>
      </c>
      <c r="I29" s="129" t="e">
        <f ca="1">'Monthly Chart Data'!H5</f>
        <v>#N/A</v>
      </c>
      <c r="J29" s="129" t="e">
        <f ca="1">'Monthly Chart Data'!L5</f>
        <v>#N/A</v>
      </c>
      <c r="K29" s="129" t="e">
        <f t="shared" ca="1" si="1"/>
        <v>#N/A</v>
      </c>
      <c r="M29" s="136"/>
      <c r="N29" s="138">
        <f ca="1">DATE(YEAR(TODAY()),MONTH(TODAY())-9,1)</f>
        <v>44197</v>
      </c>
      <c r="O29" s="128">
        <f ca="1">SUMIFS('Master Log'!$CS$2:$CS$9838,'Master Log'!$A$2:$A$9838,"&gt;="&amp;N29,'Master Log'!$A$2:$A$9838,"&lt;="&amp;N30,'Master Log'!$CR$2:$CR$9838,$M$27)+SUMIFS('Master Log'!$CX$2:$CX$9838,'Master Log'!$A$2:$A$9838,"&gt;="&amp;N29,'Master Log'!$A$2:$A$9838,"&lt;="&amp;N30,'Master Log'!$CW$2:$CW$9838,$M$27)+SUMIFS('Master Log'!$DC$2:$DC$9838,'Master Log'!$A$2:$A$9838,"&gt;="&amp;N29,'Master Log'!$A$2:$A$9838,"&lt;="&amp;N30,'Master Log'!$DB$2:$DB$9838,$M$27)+SUMIFS('Master Log'!$DH$2:$DH$9838,'Master Log'!$A$2:$A$9838,"&gt;="&amp;N29,'Master Log'!$A$2:$A$9838,"&lt;="&amp;N30,'Master Log'!$DG$2:$DG$9838,$M$27)+SUMIFS('Master Log'!$DM$2:$DM$9838,'Master Log'!$A$2:$A$9838,"&gt;="&amp;N29,'Master Log'!$A$2:$A$9838,"&lt;="&amp;N30,'Master Log'!$DL$2:$DL$9838,$M$27)+SUMIFS('Master Log'!$DR$2:$DR$9838,'Master Log'!$A$2:$A$9838,"&gt;="&amp;N29,'Master Log'!$A$2:$A$9838,"&lt;="&amp;N30,'Master Log'!$DQ$2:$DQ$9838,$M$27)+SUMIFS('Master Log'!$DW$2:$DW$9838,'Master Log'!$A$2:$A$9838,"&gt;="&amp;N29,'Master Log'!$A$2:$A$9838,"&lt;="&amp;N30,'Master Log'!$DV$2:$DV$9838,$M$27)+SUMIFS('Master Log'!$EB$2:$EB$9838,'Master Log'!$A$2:$A$9838,"&gt;="&amp;N29,'Master Log'!$A$2:$A$9838,"&lt;="&amp;N30,'Master Log'!$EA$2:$EA$9838,$M$27)+SUMIFS('Master Log'!$EG$2:$EG$9838,'Master Log'!$A$2:$A$9838,"&gt;="&amp;N29,'Master Log'!$A$2:$A$9838,"&lt;="&amp;N30,'Master Log'!$EF$2:$EF$9838,$M$27)+SUMIFS('Master Log'!$EL$2:$EL$9838,'Master Log'!$A$2:$A$9838,"&gt;="&amp;N29,'Master Log'!$A$2:$A$9838,"&lt;="&amp;N30,'Master Log'!$EK$2:$EK$9838,$M$27)+SUMIFS('Master Log'!$EQ$2:$EQ$9838,'Master Log'!$A$2:$A$9838,"&gt;="&amp;N29,'Master Log'!$A$2:$A$9838,"&lt;="&amp;N30,'Master Log'!$EP$2:$EP$9838,$M$27)+SUMIFS('Master Log'!$EV$2:$EV$9838,'Master Log'!$A$2:$A$9838,"&gt;="&amp;N29,'Master Log'!$A$2:$A$9838,"&lt;="&amp;N30,'Master Log'!$EU$2:$EU$9838,$M$27)</f>
        <v>0</v>
      </c>
      <c r="P29" s="167">
        <f ca="1">IF($M$27&lt;&gt;"",COUNTIFS('Master Log'!A:A,"&gt;="&amp;N29,'Master Log'!A:A,"&lt;="&amp;N30,'Master Log'!CR:CR,$M$27)+COUNTIFS('Master Log'!A:A,"&gt;="&amp;N29,'Master Log'!A:A,"&lt;="&amp;N30,'Master Log'!CW:CW,$M$27)+COUNTIFS('Master Log'!A:A,"&gt;="&amp;N29,'Master Log'!A:A,"&lt;="&amp;N30,'Master Log'!DB:DB,$M$27)+COUNTIFS('Master Log'!A:A,"&gt;="&amp;N29,'Master Log'!A:A,"&lt;="&amp;N30,'Master Log'!DG:DG,$M$27)+COUNTIFS('Master Log'!A:A,"&gt;="&amp;N29,'Master Log'!A:A,"&lt;="&amp;N30,'Master Log'!DL:DL,$M$27)+COUNTIFS('Master Log'!A:A,"&gt;="&amp;N29,'Master Log'!A:A,"&lt;="&amp;N30,'Master Log'!DQ:DQ,$M$27)+COUNTIFS('Master Log'!A:A,"&gt;="&amp;N29,'Master Log'!A:A,"&lt;="&amp;N30,'Master Log'!DV:DV,$M$27)+COUNTIFS('Master Log'!A:A,"&gt;="&amp;N29,'Master Log'!A:A,"&lt;="&amp;N30,'Master Log'!EA:EA,$M$27)+COUNTIFS('Master Log'!A:A,"&gt;="&amp;N29,'Master Log'!A:A,"&lt;="&amp;N30,'Master Log'!EF:EF,$M$27)+COUNTIFS('Master Log'!A:A,"&gt;="&amp;N29,'Master Log'!A:A,"&lt;="&amp;N30,'Master Log'!EK:EK,$M$27)+COUNTIFS('Master Log'!A:A,"&gt;="&amp;N29,'Master Log'!A:A,"&lt;="&amp;N30,'Master Log'!EP:EP,$M$27)+COUNTIFS('Master Log'!A:A,"&gt;="&amp;N29,'Master Log'!A:A,"&lt;="&amp;N30,'Master Log'!EU:EU,$M$27),"")</f>
        <v>0</v>
      </c>
      <c r="Q29" s="135">
        <f t="shared" ref="Q29:Q38" ca="1" si="3">IF($M$27&lt;&gt;"",IF(O29&gt;0,O29/P29,0),"")</f>
        <v>0</v>
      </c>
    </row>
    <row r="30" spans="2:17">
      <c r="B30" s="127" t="str">
        <f>IF('Setup Sheet'!A29&lt;&gt;"",'Setup Sheet'!A29,"")</f>
        <v>Filler/Capper_(Equipment)</v>
      </c>
      <c r="C30" s="128">
        <f>SUMIFS('Master Log'!$CS$2:$CS$9839,'Master Log'!$A$2:$A$9839,"&gt;="&amp;$C$24,'Master Log'!$A$2:$A$9839,"&lt;="&amp;$C$25,'Master Log'!$CR$2:$CR$9839,B30)+SUMIFS('Master Log'!$CX$2:$CX$9839,'Master Log'!$A$2:$A$9839,"&gt;="&amp;$C$24,'Master Log'!$A$2:$A$9839,"&lt;="&amp;$C$25,'Master Log'!$CW$2:$CW$9839,B30)+SUMIFS('Master Log'!$DC$2:$DC$9839,'Master Log'!$A$2:$A$9839,"&gt;="&amp;$C$24,'Master Log'!$A$2:$A$9839,"&lt;="&amp;$C$25,'Master Log'!$DB$2:$DB$9839,B30)+SUMIFS('Master Log'!$DH$2:$DH$9839,'Master Log'!$A$2:$A$9839,"&gt;="&amp;$C$24,'Master Log'!$A$2:$A$9839,"&lt;="&amp;$C$25,'Master Log'!$DG$2:$DG$9839,B30)+SUMIFS('Master Log'!$DM$2:$DM$9839,'Master Log'!$A$2:$A$9839,"&gt;="&amp;$C$24,'Master Log'!$A$2:$A$9839,"&lt;="&amp;$C$25,'Master Log'!$DL$2:$DL$9839,B30)+SUMIFS('Master Log'!$DR$2:$DR$9839,'Master Log'!$A$2:$A$9839,"&gt;="&amp;$C$24,'Master Log'!$A$2:$A$9839,"&lt;="&amp;$C$25,'Master Log'!$DQ$2:$DQ$9839,B30)+SUMIFS('Master Log'!$DW$2:$DW$9839,'Master Log'!$A$2:$A$9839,"&gt;="&amp;$C$24,'Master Log'!$A$2:$A$9839,"&lt;="&amp;$C$25,'Master Log'!$DV$2:$DV$9839,B30)+SUMIFS('Master Log'!$EB$2:$EB$9839,'Master Log'!$A$2:$A$9839,"&gt;="&amp;$C$24,'Master Log'!$A$2:$A$9839,"&lt;="&amp;$C$25,'Master Log'!$EA$2:$EA$9839,B30)+SUMIFS('Master Log'!$EG$2:$EG$9839,'Master Log'!$A$2:$A$9839,"&gt;="&amp;$C$24,'Master Log'!$A$2:$A$9839,"&lt;="&amp;$C$25,'Master Log'!$EF$2:$EF$9839,B30)+SUMIFS('Master Log'!$EL$2:$EL$9839,'Master Log'!$A$2:$A$9839,"&gt;="&amp;$C$24,'Master Log'!$A$2:$A$9839,"&lt;="&amp;$C$25,'Master Log'!$EK$2:$EK$9839,B30)+SUMIFS('Master Log'!$EQ$2:$EQ$9839,'Master Log'!$A$2:$A$9839,"&gt;="&amp;$C$24,'Master Log'!$A$2:$A$9839,"&lt;="&amp;$C$25,'Master Log'!$EP$2:$EP$9839,B30)+SUMIFS('Master Log'!$EV$2:$EV$9839,'Master Log'!$A$2:$A$9839,"&gt;="&amp;$C$24,'Master Log'!$A$2:$A$9839,"&lt;="&amp;$C$25,'Master Log'!$EU$2:$EU$9839,B30)</f>
        <v>210</v>
      </c>
      <c r="D30" s="130">
        <f>IF(B30&lt;&gt;"",COUNTIFS('Master Log'!A:A,"&gt;="&amp;$C$24,'Master Log'!A:A,"&lt;="&amp;$C$25,'Master Log'!CR:CR,B30)+COUNTIFS('Master Log'!A:A,"&gt;="&amp;$C$24,'Master Log'!A:A,"&lt;="&amp;$C$25,'Master Log'!CW:CW,B30)+COUNTIFS('Master Log'!A:A,"&gt;="&amp;$C$24,'Master Log'!A:A,"&lt;="&amp;$C$25,'Master Log'!DB:DB,B30)+COUNTIFS('Master Log'!A:A,"&gt;="&amp;$C$24,'Master Log'!A:A,"&lt;="&amp;$C$25,'Master Log'!DG:DG,B30)+COUNTIFS('Master Log'!A:A,"&gt;="&amp;$C$24,'Master Log'!A:A,"&lt;="&amp;$C$25,'Master Log'!DL:DL,B30)+COUNTIFS('Master Log'!A:A,"&gt;="&amp;$C$24,'Master Log'!A:A,"&lt;="&amp;$C$25,'Master Log'!DQ:DQ,B30)+COUNTIFS('Master Log'!A:A,"&gt;="&amp;$C$24,'Master Log'!A:A,"&lt;="&amp;$C$25,'Master Log'!DV:DV,B30)+COUNTIFS('Master Log'!A:A,"&gt;="&amp;$C$24,'Master Log'!A:A,"&lt;="&amp;$C$25,'Master Log'!EA:EA,B30)+COUNTIFS('Master Log'!A:A,"&gt;="&amp;$C$24,'Master Log'!A:A,"&lt;="&amp;$C$25,'Master Log'!EF:EF,B30)+COUNTIFS('Master Log'!A:A,"&gt;="&amp;$C$24,'Master Log'!A:A,"&lt;="&amp;$C$25,'Master Log'!EK:EK,B30)+COUNTIFS('Master Log'!A:A,"&gt;="&amp;$C$24,'Master Log'!A:A,"&lt;="&amp;$C$25,'Master Log'!EP:EP,B30)+COUNTIFS('Master Log'!A:A,"&gt;="&amp;$C$24,'Master Log'!A:A,"&lt;="&amp;$C$25,'Master Log'!EU:EU,B30),"")</f>
        <v>2</v>
      </c>
      <c r="E30" s="135">
        <f t="shared" si="2"/>
        <v>105</v>
      </c>
      <c r="G30" s="139">
        <f ca="1">DATE(YEAR(TODAY()),MONTH(TODAY())-8,1)</f>
        <v>44228</v>
      </c>
      <c r="H30" s="129" t="e">
        <f ca="1">IF($G$25=1,'Monthly Chart Data'!D6,'Monthly Chart Data'!Q6)</f>
        <v>#N/A</v>
      </c>
      <c r="I30" s="129" t="e">
        <f ca="1">'Monthly Chart Data'!H6</f>
        <v>#N/A</v>
      </c>
      <c r="J30" s="129" t="e">
        <f ca="1">'Monthly Chart Data'!L6</f>
        <v>#N/A</v>
      </c>
      <c r="K30" s="129" t="e">
        <f t="shared" ca="1" si="1"/>
        <v>#N/A</v>
      </c>
      <c r="M30" s="170"/>
      <c r="N30" s="138">
        <f ca="1">DATE(YEAR(TODAY()),MONTH(TODAY())-8,1)</f>
        <v>44228</v>
      </c>
      <c r="O30" s="128">
        <f ca="1">SUMIFS('Master Log'!$CS$2:$CS$9838,'Master Log'!$A$2:$A$9838,"&gt;="&amp;N30,'Master Log'!$A$2:$A$9838,"&lt;="&amp;N31,'Master Log'!$CR$2:$CR$9838,$M$27)+SUMIFS('Master Log'!$CX$2:$CX$9838,'Master Log'!$A$2:$A$9838,"&gt;="&amp;N30,'Master Log'!$A$2:$A$9838,"&lt;="&amp;N31,'Master Log'!$CW$2:$CW$9838,$M$27)+SUMIFS('Master Log'!$DC$2:$DC$9838,'Master Log'!$A$2:$A$9838,"&gt;="&amp;N30,'Master Log'!$A$2:$A$9838,"&lt;="&amp;N31,'Master Log'!$DB$2:$DB$9838,$M$27)+SUMIFS('Master Log'!$DH$2:$DH$9838,'Master Log'!$A$2:$A$9838,"&gt;="&amp;N30,'Master Log'!$A$2:$A$9838,"&lt;="&amp;N31,'Master Log'!$DG$2:$DG$9838,$M$27)+SUMIFS('Master Log'!$DM$2:$DM$9838,'Master Log'!$A$2:$A$9838,"&gt;="&amp;N30,'Master Log'!$A$2:$A$9838,"&lt;="&amp;N31,'Master Log'!$DL$2:$DL$9838,$M$27)+SUMIFS('Master Log'!$DR$2:$DR$9838,'Master Log'!$A$2:$A$9838,"&gt;="&amp;N30,'Master Log'!$A$2:$A$9838,"&lt;="&amp;N31,'Master Log'!$DQ$2:$DQ$9838,$M$27)+SUMIFS('Master Log'!$DW$2:$DW$9838,'Master Log'!$A$2:$A$9838,"&gt;="&amp;N30,'Master Log'!$A$2:$A$9838,"&lt;="&amp;N31,'Master Log'!$DV$2:$DV$9838,$M$27)+SUMIFS('Master Log'!$EB$2:$EB$9838,'Master Log'!$A$2:$A$9838,"&gt;="&amp;N30,'Master Log'!$A$2:$A$9838,"&lt;="&amp;N31,'Master Log'!$EA$2:$EA$9838,$M$27)+SUMIFS('Master Log'!$EG$2:$EG$9838,'Master Log'!$A$2:$A$9838,"&gt;="&amp;N30,'Master Log'!$A$2:$A$9838,"&lt;="&amp;N31,'Master Log'!$EF$2:$EF$9838,$M$27)+SUMIFS('Master Log'!$EL$2:$EL$9838,'Master Log'!$A$2:$A$9838,"&gt;="&amp;N30,'Master Log'!$A$2:$A$9838,"&lt;="&amp;N31,'Master Log'!$EK$2:$EK$9838,$M$27)+SUMIFS('Master Log'!$EQ$2:$EQ$9838,'Master Log'!$A$2:$A$9838,"&gt;="&amp;N30,'Master Log'!$A$2:$A$9838,"&lt;="&amp;N31,'Master Log'!$EP$2:$EP$9838,$M$27)+SUMIFS('Master Log'!$EV$2:$EV$9838,'Master Log'!$A$2:$A$9838,"&gt;="&amp;N30,'Master Log'!$A$2:$A$9838,"&lt;="&amp;N31,'Master Log'!$EU$2:$EU$9838,$M$27)</f>
        <v>0</v>
      </c>
      <c r="P30" s="167">
        <f ca="1">IF($M$27&lt;&gt;"",COUNTIFS('Master Log'!A:A,"&gt;="&amp;N30,'Master Log'!A:A,"&lt;="&amp;N31,'Master Log'!CR:CR,$M$27)+COUNTIFS('Master Log'!A:A,"&gt;="&amp;N30,'Master Log'!A:A,"&lt;="&amp;N31,'Master Log'!CW:CW,$M$27)+COUNTIFS('Master Log'!A:A,"&gt;="&amp;N30,'Master Log'!A:A,"&lt;="&amp;N31,'Master Log'!DB:DB,$M$27)+COUNTIFS('Master Log'!A:A,"&gt;="&amp;N30,'Master Log'!A:A,"&lt;="&amp;N31,'Master Log'!DG:DG,$M$27)+COUNTIFS('Master Log'!A:A,"&gt;="&amp;N30,'Master Log'!A:A,"&lt;="&amp;N31,'Master Log'!DL:DL,$M$27)+COUNTIFS('Master Log'!A:A,"&gt;="&amp;N30,'Master Log'!A:A,"&lt;="&amp;N31,'Master Log'!DQ:DQ,$M$27)+COUNTIFS('Master Log'!A:A,"&gt;="&amp;N30,'Master Log'!A:A,"&lt;="&amp;N31,'Master Log'!DV:DV,$M$27)+COUNTIFS('Master Log'!A:A,"&gt;="&amp;N30,'Master Log'!A:A,"&lt;="&amp;N31,'Master Log'!EA:EA,$M$27)+COUNTIFS('Master Log'!A:A,"&gt;="&amp;N30,'Master Log'!A:A,"&lt;="&amp;N31,'Master Log'!EF:EF,$M$27)+COUNTIFS('Master Log'!A:A,"&gt;="&amp;N30,'Master Log'!A:A,"&lt;="&amp;N31,'Master Log'!EK:EK,$M$27)+COUNTIFS('Master Log'!A:A,"&gt;="&amp;N30,'Master Log'!A:A,"&lt;="&amp;N31,'Master Log'!EP:EP,$M$27)+COUNTIFS('Master Log'!A:A,"&gt;="&amp;N30,'Master Log'!A:A,"&lt;="&amp;N31,'Master Log'!EU:EU,$M$27),"")</f>
        <v>0</v>
      </c>
      <c r="Q30" s="135">
        <f t="shared" ca="1" si="3"/>
        <v>0</v>
      </c>
    </row>
    <row r="31" spans="2:17">
      <c r="B31" s="127" t="str">
        <f>IF('Setup Sheet'!A31&lt;&gt;"",'Setup Sheet'!A31,"")</f>
        <v>Filler/Capper_(Other)</v>
      </c>
      <c r="C31" s="128">
        <f>SUMIFS('Master Log'!$CS$2:$CS$9839,'Master Log'!$A$2:$A$9839,"&gt;="&amp;$C$24,'Master Log'!$A$2:$A$9839,"&lt;="&amp;$C$25,'Master Log'!$CR$2:$CR$9839,B31)+SUMIFS('Master Log'!$CX$2:$CX$9839,'Master Log'!$A$2:$A$9839,"&gt;="&amp;$C$24,'Master Log'!$A$2:$A$9839,"&lt;="&amp;$C$25,'Master Log'!$CW$2:$CW$9839,B31)+SUMIFS('Master Log'!$DC$2:$DC$9839,'Master Log'!$A$2:$A$9839,"&gt;="&amp;$C$24,'Master Log'!$A$2:$A$9839,"&lt;="&amp;$C$25,'Master Log'!$DB$2:$DB$9839,B31)+SUMIFS('Master Log'!$DH$2:$DH$9839,'Master Log'!$A$2:$A$9839,"&gt;="&amp;$C$24,'Master Log'!$A$2:$A$9839,"&lt;="&amp;$C$25,'Master Log'!$DG$2:$DG$9839,B31)+SUMIFS('Master Log'!$DM$2:$DM$9839,'Master Log'!$A$2:$A$9839,"&gt;="&amp;$C$24,'Master Log'!$A$2:$A$9839,"&lt;="&amp;$C$25,'Master Log'!$DL$2:$DL$9839,B31)+SUMIFS('Master Log'!$DR$2:$DR$9839,'Master Log'!$A$2:$A$9839,"&gt;="&amp;$C$24,'Master Log'!$A$2:$A$9839,"&lt;="&amp;$C$25,'Master Log'!$DQ$2:$DQ$9839,B31)+SUMIFS('Master Log'!$DW$2:$DW$9839,'Master Log'!$A$2:$A$9839,"&gt;="&amp;$C$24,'Master Log'!$A$2:$A$9839,"&lt;="&amp;$C$25,'Master Log'!$DV$2:$DV$9839,B31)+SUMIFS('Master Log'!$EB$2:$EB$9839,'Master Log'!$A$2:$A$9839,"&gt;="&amp;$C$24,'Master Log'!$A$2:$A$9839,"&lt;="&amp;$C$25,'Master Log'!$EA$2:$EA$9839,B31)+SUMIFS('Master Log'!$EG$2:$EG$9839,'Master Log'!$A$2:$A$9839,"&gt;="&amp;$C$24,'Master Log'!$A$2:$A$9839,"&lt;="&amp;$C$25,'Master Log'!$EF$2:$EF$9839,B31)+SUMIFS('Master Log'!$EL$2:$EL$9839,'Master Log'!$A$2:$A$9839,"&gt;="&amp;$C$24,'Master Log'!$A$2:$A$9839,"&lt;="&amp;$C$25,'Master Log'!$EK$2:$EK$9839,B31)+SUMIFS('Master Log'!$EQ$2:$EQ$9839,'Master Log'!$A$2:$A$9839,"&gt;="&amp;$C$24,'Master Log'!$A$2:$A$9839,"&lt;="&amp;$C$25,'Master Log'!$EP$2:$EP$9839,B31)+SUMIFS('Master Log'!$EV$2:$EV$9839,'Master Log'!$A$2:$A$9839,"&gt;="&amp;$C$24,'Master Log'!$A$2:$A$9839,"&lt;="&amp;$C$25,'Master Log'!$EU$2:$EU$9839,B31)</f>
        <v>125</v>
      </c>
      <c r="D31" s="130">
        <f>IF(B31&lt;&gt;"",COUNTIFS('Master Log'!A:A,"&gt;="&amp;$C$24,'Master Log'!A:A,"&lt;="&amp;$C$25,'Master Log'!CR:CR,B31)+COUNTIFS('Master Log'!A:A,"&gt;="&amp;$C$24,'Master Log'!A:A,"&lt;="&amp;$C$25,'Master Log'!CW:CW,B31)+COUNTIFS('Master Log'!A:A,"&gt;="&amp;$C$24,'Master Log'!A:A,"&lt;="&amp;$C$25,'Master Log'!DB:DB,B31)+COUNTIFS('Master Log'!A:A,"&gt;="&amp;$C$24,'Master Log'!A:A,"&lt;="&amp;$C$25,'Master Log'!DG:DG,B31)+COUNTIFS('Master Log'!A:A,"&gt;="&amp;$C$24,'Master Log'!A:A,"&lt;="&amp;$C$25,'Master Log'!DL:DL,B31)+COUNTIFS('Master Log'!A:A,"&gt;="&amp;$C$24,'Master Log'!A:A,"&lt;="&amp;$C$25,'Master Log'!DQ:DQ,B31)+COUNTIFS('Master Log'!A:A,"&gt;="&amp;$C$24,'Master Log'!A:A,"&lt;="&amp;$C$25,'Master Log'!DV:DV,B31)+COUNTIFS('Master Log'!A:A,"&gt;="&amp;$C$24,'Master Log'!A:A,"&lt;="&amp;$C$25,'Master Log'!EA:EA,B31)+COUNTIFS('Master Log'!A:A,"&gt;="&amp;$C$24,'Master Log'!A:A,"&lt;="&amp;$C$25,'Master Log'!EF:EF,B31)+COUNTIFS('Master Log'!A:A,"&gt;="&amp;$C$24,'Master Log'!A:A,"&lt;="&amp;$C$25,'Master Log'!EK:EK,B31)+COUNTIFS('Master Log'!A:A,"&gt;="&amp;$C$24,'Master Log'!A:A,"&lt;="&amp;$C$25,'Master Log'!EP:EP,B31)+COUNTIFS('Master Log'!A:A,"&gt;="&amp;$C$24,'Master Log'!A:A,"&lt;="&amp;$C$25,'Master Log'!EU:EU,B31),"")</f>
        <v>5</v>
      </c>
      <c r="E31" s="135">
        <f t="shared" si="2"/>
        <v>25</v>
      </c>
      <c r="G31" s="139">
        <f ca="1">DATE(YEAR(TODAY()),MONTH(TODAY())-7,1)</f>
        <v>44256</v>
      </c>
      <c r="H31" s="129" t="e">
        <f ca="1">IF($G$25=1,'Monthly Chart Data'!D7,'Monthly Chart Data'!Q7)</f>
        <v>#N/A</v>
      </c>
      <c r="I31" s="129" t="e">
        <f ca="1">'Monthly Chart Data'!H7</f>
        <v>#N/A</v>
      </c>
      <c r="J31" s="129" t="e">
        <f ca="1">'Monthly Chart Data'!L7</f>
        <v>#N/A</v>
      </c>
      <c r="K31" s="129" t="e">
        <f t="shared" ca="1" si="1"/>
        <v>#N/A</v>
      </c>
      <c r="M31" s="136"/>
      <c r="N31" s="138">
        <f ca="1">DATE(YEAR(TODAY()),MONTH(TODAY())-7,1)</f>
        <v>44256</v>
      </c>
      <c r="O31" s="128">
        <f ca="1">SUMIFS('Master Log'!$CS$2:$CS$9838,'Master Log'!$A$2:$A$9838,"&gt;="&amp;N31,'Master Log'!$A$2:$A$9838,"&lt;="&amp;N32,'Master Log'!$CR$2:$CR$9838,$M$27)+SUMIFS('Master Log'!$CX$2:$CX$9838,'Master Log'!$A$2:$A$9838,"&gt;="&amp;N31,'Master Log'!$A$2:$A$9838,"&lt;="&amp;N32,'Master Log'!$CW$2:$CW$9838,$M$27)+SUMIFS('Master Log'!$DC$2:$DC$9838,'Master Log'!$A$2:$A$9838,"&gt;="&amp;N31,'Master Log'!$A$2:$A$9838,"&lt;="&amp;N32,'Master Log'!$DB$2:$DB$9838,$M$27)+SUMIFS('Master Log'!$DH$2:$DH$9838,'Master Log'!$A$2:$A$9838,"&gt;="&amp;N31,'Master Log'!$A$2:$A$9838,"&lt;="&amp;N32,'Master Log'!$DG$2:$DG$9838,$M$27)+SUMIFS('Master Log'!$DM$2:$DM$9838,'Master Log'!$A$2:$A$9838,"&gt;="&amp;N31,'Master Log'!$A$2:$A$9838,"&lt;="&amp;N32,'Master Log'!$DL$2:$DL$9838,$M$27)+SUMIFS('Master Log'!$DR$2:$DR$9838,'Master Log'!$A$2:$A$9838,"&gt;="&amp;N31,'Master Log'!$A$2:$A$9838,"&lt;="&amp;N32,'Master Log'!$DQ$2:$DQ$9838,$M$27)+SUMIFS('Master Log'!$DW$2:$DW$9838,'Master Log'!$A$2:$A$9838,"&gt;="&amp;N31,'Master Log'!$A$2:$A$9838,"&lt;="&amp;N32,'Master Log'!$DV$2:$DV$9838,$M$27)+SUMIFS('Master Log'!$EB$2:$EB$9838,'Master Log'!$A$2:$A$9838,"&gt;="&amp;N31,'Master Log'!$A$2:$A$9838,"&lt;="&amp;N32,'Master Log'!$EA$2:$EA$9838,$M$27)+SUMIFS('Master Log'!$EG$2:$EG$9838,'Master Log'!$A$2:$A$9838,"&gt;="&amp;N31,'Master Log'!$A$2:$A$9838,"&lt;="&amp;N32,'Master Log'!$EF$2:$EF$9838,$M$27)+SUMIFS('Master Log'!$EL$2:$EL$9838,'Master Log'!$A$2:$A$9838,"&gt;="&amp;N31,'Master Log'!$A$2:$A$9838,"&lt;="&amp;N32,'Master Log'!$EK$2:$EK$9838,$M$27)+SUMIFS('Master Log'!$EQ$2:$EQ$9838,'Master Log'!$A$2:$A$9838,"&gt;="&amp;N31,'Master Log'!$A$2:$A$9838,"&lt;="&amp;N32,'Master Log'!$EP$2:$EP$9838,$M$27)+SUMIFS('Master Log'!$EV$2:$EV$9838,'Master Log'!$A$2:$A$9838,"&gt;="&amp;N31,'Master Log'!$A$2:$A$9838,"&lt;="&amp;N32,'Master Log'!$EU$2:$EU$9838,$M$27)</f>
        <v>0</v>
      </c>
      <c r="P31" s="167">
        <f ca="1">IF($M$27&lt;&gt;"",COUNTIFS('Master Log'!A:A,"&gt;="&amp;N31,'Master Log'!A:A,"&lt;="&amp;N32,'Master Log'!CR:CR,$M$27)+COUNTIFS('Master Log'!A:A,"&gt;="&amp;N31,'Master Log'!A:A,"&lt;="&amp;N32,'Master Log'!CW:CW,$M$27)+COUNTIFS('Master Log'!A:A,"&gt;="&amp;N31,'Master Log'!A:A,"&lt;="&amp;N32,'Master Log'!DB:DB,$M$27)+COUNTIFS('Master Log'!A:A,"&gt;="&amp;N31,'Master Log'!A:A,"&lt;="&amp;N32,'Master Log'!DG:DG,$M$27)+COUNTIFS('Master Log'!A:A,"&gt;="&amp;N31,'Master Log'!A:A,"&lt;="&amp;N32,'Master Log'!DL:DL,$M$27)+COUNTIFS('Master Log'!A:A,"&gt;="&amp;N31,'Master Log'!A:A,"&lt;="&amp;N32,'Master Log'!DQ:DQ,$M$27)+COUNTIFS('Master Log'!A:A,"&gt;="&amp;N31,'Master Log'!A:A,"&lt;="&amp;N32,'Master Log'!DV:DV,$M$27)+COUNTIFS('Master Log'!A:A,"&gt;="&amp;N31,'Master Log'!A:A,"&lt;="&amp;N32,'Master Log'!EA:EA,$M$27)+COUNTIFS('Master Log'!A:A,"&gt;="&amp;N31,'Master Log'!A:A,"&lt;="&amp;N32,'Master Log'!EF:EF,$M$27)+COUNTIFS('Master Log'!A:A,"&gt;="&amp;N31,'Master Log'!A:A,"&lt;="&amp;N32,'Master Log'!EK:EK,$M$27)+COUNTIFS('Master Log'!A:A,"&gt;="&amp;N31,'Master Log'!A:A,"&lt;="&amp;N32,'Master Log'!EP:EP,$M$27)+COUNTIFS('Master Log'!A:A,"&gt;="&amp;N31,'Master Log'!A:A,"&lt;="&amp;N32,'Master Log'!EU:EU,$M$27),"")</f>
        <v>0</v>
      </c>
      <c r="Q31" s="135">
        <f t="shared" ca="1" si="3"/>
        <v>0</v>
      </c>
    </row>
    <row r="32" spans="2:17">
      <c r="B32" s="127" t="str">
        <f>IF('Setup Sheet'!A36&lt;&gt;"",'Setup Sheet'!A36,"")</f>
        <v>Other_(Operating_Discipline)</v>
      </c>
      <c r="C32" s="128">
        <f>SUMIFS('Master Log'!$CS$2:$CS$9839,'Master Log'!$A$2:$A$9839,"&gt;="&amp;$C$24,'Master Log'!$A$2:$A$9839,"&lt;="&amp;$C$25,'Master Log'!$CR$2:$CR$9839,B32)+SUMIFS('Master Log'!$CX$2:$CX$9839,'Master Log'!$A$2:$A$9839,"&gt;="&amp;$C$24,'Master Log'!$A$2:$A$9839,"&lt;="&amp;$C$25,'Master Log'!$CW$2:$CW$9839,B32)+SUMIFS('Master Log'!$DC$2:$DC$9839,'Master Log'!$A$2:$A$9839,"&gt;="&amp;$C$24,'Master Log'!$A$2:$A$9839,"&lt;="&amp;$C$25,'Master Log'!$DB$2:$DB$9839,B32)+SUMIFS('Master Log'!$DH$2:$DH$9839,'Master Log'!$A$2:$A$9839,"&gt;="&amp;$C$24,'Master Log'!$A$2:$A$9839,"&lt;="&amp;$C$25,'Master Log'!$DG$2:$DG$9839,B32)+SUMIFS('Master Log'!$DM$2:$DM$9839,'Master Log'!$A$2:$A$9839,"&gt;="&amp;$C$24,'Master Log'!$A$2:$A$9839,"&lt;="&amp;$C$25,'Master Log'!$DL$2:$DL$9839,B32)+SUMIFS('Master Log'!$DR$2:$DR$9839,'Master Log'!$A$2:$A$9839,"&gt;="&amp;$C$24,'Master Log'!$A$2:$A$9839,"&lt;="&amp;$C$25,'Master Log'!$DQ$2:$DQ$9839,B32)+SUMIFS('Master Log'!$DW$2:$DW$9839,'Master Log'!$A$2:$A$9839,"&gt;="&amp;$C$24,'Master Log'!$A$2:$A$9839,"&lt;="&amp;$C$25,'Master Log'!$DV$2:$DV$9839,B32)+SUMIFS('Master Log'!$EB$2:$EB$9839,'Master Log'!$A$2:$A$9839,"&gt;="&amp;$C$24,'Master Log'!$A$2:$A$9839,"&lt;="&amp;$C$25,'Master Log'!$EA$2:$EA$9839,B32)+SUMIFS('Master Log'!$EG$2:$EG$9839,'Master Log'!$A$2:$A$9839,"&gt;="&amp;$C$24,'Master Log'!$A$2:$A$9839,"&lt;="&amp;$C$25,'Master Log'!$EF$2:$EF$9839,B32)+SUMIFS('Master Log'!$EL$2:$EL$9839,'Master Log'!$A$2:$A$9839,"&gt;="&amp;$C$24,'Master Log'!$A$2:$A$9839,"&lt;="&amp;$C$25,'Master Log'!$EK$2:$EK$9839,B32)+SUMIFS('Master Log'!$EQ$2:$EQ$9839,'Master Log'!$A$2:$A$9839,"&gt;="&amp;$C$24,'Master Log'!$A$2:$A$9839,"&lt;="&amp;$C$25,'Master Log'!$EP$2:$EP$9839,B32)+SUMIFS('Master Log'!$EV$2:$EV$9839,'Master Log'!$A$2:$A$9839,"&gt;="&amp;$C$24,'Master Log'!$A$2:$A$9839,"&lt;="&amp;$C$25,'Master Log'!$EU$2:$EU$9839,B32)</f>
        <v>105</v>
      </c>
      <c r="D32" s="130">
        <f>IF(B32&lt;&gt;"",COUNTIFS('Master Log'!A:A,"&gt;="&amp;$C$24,'Master Log'!A:A,"&lt;="&amp;$C$25,'Master Log'!CR:CR,B32)+COUNTIFS('Master Log'!A:A,"&gt;="&amp;$C$24,'Master Log'!A:A,"&lt;="&amp;$C$25,'Master Log'!CW:CW,B32)+COUNTIFS('Master Log'!A:A,"&gt;="&amp;$C$24,'Master Log'!A:A,"&lt;="&amp;$C$25,'Master Log'!DB:DB,B32)+COUNTIFS('Master Log'!A:A,"&gt;="&amp;$C$24,'Master Log'!A:A,"&lt;="&amp;$C$25,'Master Log'!DG:DG,B32)+COUNTIFS('Master Log'!A:A,"&gt;="&amp;$C$24,'Master Log'!A:A,"&lt;="&amp;$C$25,'Master Log'!DL:DL,B32)+COUNTIFS('Master Log'!A:A,"&gt;="&amp;$C$24,'Master Log'!A:A,"&lt;="&amp;$C$25,'Master Log'!DQ:DQ,B32)+COUNTIFS('Master Log'!A:A,"&gt;="&amp;$C$24,'Master Log'!A:A,"&lt;="&amp;$C$25,'Master Log'!DV:DV,B32)+COUNTIFS('Master Log'!A:A,"&gt;="&amp;$C$24,'Master Log'!A:A,"&lt;="&amp;$C$25,'Master Log'!EA:EA,B32)+COUNTIFS('Master Log'!A:A,"&gt;="&amp;$C$24,'Master Log'!A:A,"&lt;="&amp;$C$25,'Master Log'!EF:EF,B32)+COUNTIFS('Master Log'!A:A,"&gt;="&amp;$C$24,'Master Log'!A:A,"&lt;="&amp;$C$25,'Master Log'!EK:EK,B32)+COUNTIFS('Master Log'!A:A,"&gt;="&amp;$C$24,'Master Log'!A:A,"&lt;="&amp;$C$25,'Master Log'!EP:EP,B32)+COUNTIFS('Master Log'!A:A,"&gt;="&amp;$C$24,'Master Log'!A:A,"&lt;="&amp;$C$25,'Master Log'!EU:EU,B32),"")</f>
        <v>3</v>
      </c>
      <c r="E32" s="135">
        <f t="shared" si="2"/>
        <v>35</v>
      </c>
      <c r="G32" s="139">
        <f ca="1">DATE(YEAR(TODAY()),MONTH(TODAY())-6,1)</f>
        <v>44287</v>
      </c>
      <c r="H32" s="129">
        <f ca="1">IF($G$25=1,'Monthly Chart Data'!D8,'Monthly Chart Data'!Q8)</f>
        <v>0.74607407407407411</v>
      </c>
      <c r="I32" s="129">
        <f ca="1">'Monthly Chart Data'!H8</f>
        <v>0.33898608281244597</v>
      </c>
      <c r="J32" s="129">
        <f ca="1">'Monthly Chart Data'!L8</f>
        <v>0.97867953013955888</v>
      </c>
      <c r="K32" s="129">
        <f t="shared" ca="1" si="1"/>
        <v>0.2475165949485478</v>
      </c>
      <c r="M32" s="136"/>
      <c r="N32" s="138">
        <f ca="1">DATE(YEAR(TODAY()),MONTH(TODAY())-6,1)</f>
        <v>44287</v>
      </c>
      <c r="O32" s="128">
        <f ca="1">SUMIFS('Master Log'!$CS$2:$CS$9838,'Master Log'!$A$2:$A$9838,"&gt;="&amp;N32,'Master Log'!$A$2:$A$9838,"&lt;="&amp;N33,'Master Log'!$CR$2:$CR$9838,$M$27)+SUMIFS('Master Log'!$CX$2:$CX$9838,'Master Log'!$A$2:$A$9838,"&gt;="&amp;N32,'Master Log'!$A$2:$A$9838,"&lt;="&amp;N33,'Master Log'!$CW$2:$CW$9838,$M$27)+SUMIFS('Master Log'!$DC$2:$DC$9838,'Master Log'!$A$2:$A$9838,"&gt;="&amp;N32,'Master Log'!$A$2:$A$9838,"&lt;="&amp;N33,'Master Log'!$DB$2:$DB$9838,$M$27)+SUMIFS('Master Log'!$DH$2:$DH$9838,'Master Log'!$A$2:$A$9838,"&gt;="&amp;N32,'Master Log'!$A$2:$A$9838,"&lt;="&amp;N33,'Master Log'!$DG$2:$DG$9838,$M$27)+SUMIFS('Master Log'!$DM$2:$DM$9838,'Master Log'!$A$2:$A$9838,"&gt;="&amp;N32,'Master Log'!$A$2:$A$9838,"&lt;="&amp;N33,'Master Log'!$DL$2:$DL$9838,$M$27)+SUMIFS('Master Log'!$DR$2:$DR$9838,'Master Log'!$A$2:$A$9838,"&gt;="&amp;N32,'Master Log'!$A$2:$A$9838,"&lt;="&amp;N33,'Master Log'!$DQ$2:$DQ$9838,$M$27)+SUMIFS('Master Log'!$DW$2:$DW$9838,'Master Log'!$A$2:$A$9838,"&gt;="&amp;N32,'Master Log'!$A$2:$A$9838,"&lt;="&amp;N33,'Master Log'!$DV$2:$DV$9838,$M$27)+SUMIFS('Master Log'!$EB$2:$EB$9838,'Master Log'!$A$2:$A$9838,"&gt;="&amp;N32,'Master Log'!$A$2:$A$9838,"&lt;="&amp;N33,'Master Log'!$EA$2:$EA$9838,$M$27)+SUMIFS('Master Log'!$EG$2:$EG$9838,'Master Log'!$A$2:$A$9838,"&gt;="&amp;N32,'Master Log'!$A$2:$A$9838,"&lt;="&amp;N33,'Master Log'!$EF$2:$EF$9838,$M$27)+SUMIFS('Master Log'!$EL$2:$EL$9838,'Master Log'!$A$2:$A$9838,"&gt;="&amp;N32,'Master Log'!$A$2:$A$9838,"&lt;="&amp;N33,'Master Log'!$EK$2:$EK$9838,$M$27)+SUMIFS('Master Log'!$EQ$2:$EQ$9838,'Master Log'!$A$2:$A$9838,"&gt;="&amp;N32,'Master Log'!$A$2:$A$9838,"&lt;="&amp;N33,'Master Log'!$EP$2:$EP$9838,$M$27)+SUMIFS('Master Log'!$EV$2:$EV$9838,'Master Log'!$A$2:$A$9838,"&gt;="&amp;N32,'Master Log'!$A$2:$A$9838,"&lt;="&amp;N33,'Master Log'!$EU$2:$EU$9838,$M$27)</f>
        <v>850</v>
      </c>
      <c r="P32" s="167">
        <f ca="1">IF($M$27&lt;&gt;"",COUNTIFS('Master Log'!A:A,"&gt;="&amp;N32,'Master Log'!A:A,"&lt;="&amp;N33,'Master Log'!CR:CR,$M$27)+COUNTIFS('Master Log'!A:A,"&gt;="&amp;N32,'Master Log'!A:A,"&lt;="&amp;N33,'Master Log'!CW:CW,$M$27)+COUNTIFS('Master Log'!A:A,"&gt;="&amp;N32,'Master Log'!A:A,"&lt;="&amp;N33,'Master Log'!DB:DB,$M$27)+COUNTIFS('Master Log'!A:A,"&gt;="&amp;N32,'Master Log'!A:A,"&lt;="&amp;N33,'Master Log'!DG:DG,$M$27)+COUNTIFS('Master Log'!A:A,"&gt;="&amp;N32,'Master Log'!A:A,"&lt;="&amp;N33,'Master Log'!DL:DL,$M$27)+COUNTIFS('Master Log'!A:A,"&gt;="&amp;N32,'Master Log'!A:A,"&lt;="&amp;N33,'Master Log'!DQ:DQ,$M$27)+COUNTIFS('Master Log'!A:A,"&gt;="&amp;N32,'Master Log'!A:A,"&lt;="&amp;N33,'Master Log'!DV:DV,$M$27)+COUNTIFS('Master Log'!A:A,"&gt;="&amp;N32,'Master Log'!A:A,"&lt;="&amp;N33,'Master Log'!EA:EA,$M$27)+COUNTIFS('Master Log'!A:A,"&gt;="&amp;N32,'Master Log'!A:A,"&lt;="&amp;N33,'Master Log'!EF:EF,$M$27)+COUNTIFS('Master Log'!A:A,"&gt;="&amp;N32,'Master Log'!A:A,"&lt;="&amp;N33,'Master Log'!EK:EK,$M$27)+COUNTIFS('Master Log'!A:A,"&gt;="&amp;N32,'Master Log'!A:A,"&lt;="&amp;N33,'Master Log'!EP:EP,$M$27)+COUNTIFS('Master Log'!A:A,"&gt;="&amp;N32,'Master Log'!A:A,"&lt;="&amp;N33,'Master Log'!EU:EU,$M$27),"")</f>
        <v>20</v>
      </c>
      <c r="Q32" s="135">
        <f t="shared" ca="1" si="3"/>
        <v>42.5</v>
      </c>
    </row>
    <row r="33" spans="2:17">
      <c r="B33" s="127" t="str">
        <f>IF('Setup Sheet'!A46&lt;&gt;"",'Setup Sheet'!A46,"")</f>
        <v>Packaging issues</v>
      </c>
      <c r="C33" s="128">
        <f>SUMIFS('Master Log'!$CS$2:$CS$9839,'Master Log'!$A$2:$A$9839,"&gt;="&amp;$C$24,'Master Log'!$A$2:$A$9839,"&lt;="&amp;$C$25,'Master Log'!$CR$2:$CR$9839,B33)+SUMIFS('Master Log'!$CX$2:$CX$9839,'Master Log'!$A$2:$A$9839,"&gt;="&amp;$C$24,'Master Log'!$A$2:$A$9839,"&lt;="&amp;$C$25,'Master Log'!$CW$2:$CW$9839,B33)+SUMIFS('Master Log'!$DC$2:$DC$9839,'Master Log'!$A$2:$A$9839,"&gt;="&amp;$C$24,'Master Log'!$A$2:$A$9839,"&lt;="&amp;$C$25,'Master Log'!$DB$2:$DB$9839,B33)+SUMIFS('Master Log'!$DH$2:$DH$9839,'Master Log'!$A$2:$A$9839,"&gt;="&amp;$C$24,'Master Log'!$A$2:$A$9839,"&lt;="&amp;$C$25,'Master Log'!$DG$2:$DG$9839,B33)+SUMIFS('Master Log'!$DM$2:$DM$9839,'Master Log'!$A$2:$A$9839,"&gt;="&amp;$C$24,'Master Log'!$A$2:$A$9839,"&lt;="&amp;$C$25,'Master Log'!$DL$2:$DL$9839,B33)+SUMIFS('Master Log'!$DR$2:$DR$9839,'Master Log'!$A$2:$A$9839,"&gt;="&amp;$C$24,'Master Log'!$A$2:$A$9839,"&lt;="&amp;$C$25,'Master Log'!$DQ$2:$DQ$9839,B33)+SUMIFS('Master Log'!$DW$2:$DW$9839,'Master Log'!$A$2:$A$9839,"&gt;="&amp;$C$24,'Master Log'!$A$2:$A$9839,"&lt;="&amp;$C$25,'Master Log'!$DV$2:$DV$9839,B33)+SUMIFS('Master Log'!$EB$2:$EB$9839,'Master Log'!$A$2:$A$9839,"&gt;="&amp;$C$24,'Master Log'!$A$2:$A$9839,"&lt;="&amp;$C$25,'Master Log'!$EA$2:$EA$9839,B33)+SUMIFS('Master Log'!$EG$2:$EG$9839,'Master Log'!$A$2:$A$9839,"&gt;="&amp;$C$24,'Master Log'!$A$2:$A$9839,"&lt;="&amp;$C$25,'Master Log'!$EF$2:$EF$9839,B33)+SUMIFS('Master Log'!$EL$2:$EL$9839,'Master Log'!$A$2:$A$9839,"&gt;="&amp;$C$24,'Master Log'!$A$2:$A$9839,"&lt;="&amp;$C$25,'Master Log'!$EK$2:$EK$9839,B33)+SUMIFS('Master Log'!$EQ$2:$EQ$9839,'Master Log'!$A$2:$A$9839,"&gt;="&amp;$C$24,'Master Log'!$A$2:$A$9839,"&lt;="&amp;$C$25,'Master Log'!$EP$2:$EP$9839,B33)+SUMIFS('Master Log'!$EV$2:$EV$9839,'Master Log'!$A$2:$A$9839,"&gt;="&amp;$C$24,'Master Log'!$A$2:$A$9839,"&lt;="&amp;$C$25,'Master Log'!$EU$2:$EU$9839,B33)</f>
        <v>95</v>
      </c>
      <c r="D33" s="130">
        <f>IF(B33&lt;&gt;"",COUNTIFS('Master Log'!A:A,"&gt;="&amp;$C$24,'Master Log'!A:A,"&lt;="&amp;$C$25,'Master Log'!CR:CR,B33)+COUNTIFS('Master Log'!A:A,"&gt;="&amp;$C$24,'Master Log'!A:A,"&lt;="&amp;$C$25,'Master Log'!CW:CW,B33)+COUNTIFS('Master Log'!A:A,"&gt;="&amp;$C$24,'Master Log'!A:A,"&lt;="&amp;$C$25,'Master Log'!DB:DB,B33)+COUNTIFS('Master Log'!A:A,"&gt;="&amp;$C$24,'Master Log'!A:A,"&lt;="&amp;$C$25,'Master Log'!DG:DG,B33)+COUNTIFS('Master Log'!A:A,"&gt;="&amp;$C$24,'Master Log'!A:A,"&lt;="&amp;$C$25,'Master Log'!DL:DL,B33)+COUNTIFS('Master Log'!A:A,"&gt;="&amp;$C$24,'Master Log'!A:A,"&lt;="&amp;$C$25,'Master Log'!DQ:DQ,B33)+COUNTIFS('Master Log'!A:A,"&gt;="&amp;$C$24,'Master Log'!A:A,"&lt;="&amp;$C$25,'Master Log'!DV:DV,B33)+COUNTIFS('Master Log'!A:A,"&gt;="&amp;$C$24,'Master Log'!A:A,"&lt;="&amp;$C$25,'Master Log'!EA:EA,B33)+COUNTIFS('Master Log'!A:A,"&gt;="&amp;$C$24,'Master Log'!A:A,"&lt;="&amp;$C$25,'Master Log'!EF:EF,B33)+COUNTIFS('Master Log'!A:A,"&gt;="&amp;$C$24,'Master Log'!A:A,"&lt;="&amp;$C$25,'Master Log'!EK:EK,B33)+COUNTIFS('Master Log'!A:A,"&gt;="&amp;$C$24,'Master Log'!A:A,"&lt;="&amp;$C$25,'Master Log'!EP:EP,B33)+COUNTIFS('Master Log'!A:A,"&gt;="&amp;$C$24,'Master Log'!A:A,"&lt;="&amp;$C$25,'Master Log'!EU:EU,B33),"")</f>
        <v>1</v>
      </c>
      <c r="E33" s="135">
        <f t="shared" si="2"/>
        <v>95</v>
      </c>
      <c r="G33" s="139">
        <f ca="1">DATE(YEAR(TODAY()),MONTH(TODAY())-5,1)</f>
        <v>44317</v>
      </c>
      <c r="H33" s="129">
        <f ca="1">IF($G$25=1,'Monthly Chart Data'!D9,'Monthly Chart Data'!Q9)</f>
        <v>0.73305084745762716</v>
      </c>
      <c r="I33" s="129">
        <f ca="1">'Monthly Chart Data'!H9</f>
        <v>0.33322543352601131</v>
      </c>
      <c r="J33" s="129">
        <f ca="1">'Monthly Chart Data'!L9</f>
        <v>0.92021836988794181</v>
      </c>
      <c r="K33" s="129">
        <f t="shared" ca="1" si="1"/>
        <v>0.22478283299703405</v>
      </c>
      <c r="M33" s="136"/>
      <c r="N33" s="138">
        <f ca="1">DATE(YEAR(TODAY()),MONTH(TODAY())-5,1)</f>
        <v>44317</v>
      </c>
      <c r="O33" s="128">
        <f ca="1">SUMIFS('Master Log'!$CS$2:$CS$9838,'Master Log'!$A$2:$A$9838,"&gt;="&amp;N33,'Master Log'!$A$2:$A$9838,"&lt;="&amp;N34,'Master Log'!$CR$2:$CR$9838,$M$27)+SUMIFS('Master Log'!$CX$2:$CX$9838,'Master Log'!$A$2:$A$9838,"&gt;="&amp;N33,'Master Log'!$A$2:$A$9838,"&lt;="&amp;N34,'Master Log'!$CW$2:$CW$9838,$M$27)+SUMIFS('Master Log'!$DC$2:$DC$9838,'Master Log'!$A$2:$A$9838,"&gt;="&amp;N33,'Master Log'!$A$2:$A$9838,"&lt;="&amp;N34,'Master Log'!$DB$2:$DB$9838,$M$27)+SUMIFS('Master Log'!$DH$2:$DH$9838,'Master Log'!$A$2:$A$9838,"&gt;="&amp;N33,'Master Log'!$A$2:$A$9838,"&lt;="&amp;N34,'Master Log'!$DG$2:$DG$9838,$M$27)+SUMIFS('Master Log'!$DM$2:$DM$9838,'Master Log'!$A$2:$A$9838,"&gt;="&amp;N33,'Master Log'!$A$2:$A$9838,"&lt;="&amp;N34,'Master Log'!$DL$2:$DL$9838,$M$27)+SUMIFS('Master Log'!$DR$2:$DR$9838,'Master Log'!$A$2:$A$9838,"&gt;="&amp;N33,'Master Log'!$A$2:$A$9838,"&lt;="&amp;N34,'Master Log'!$DQ$2:$DQ$9838,$M$27)+SUMIFS('Master Log'!$DW$2:$DW$9838,'Master Log'!$A$2:$A$9838,"&gt;="&amp;N33,'Master Log'!$A$2:$A$9838,"&lt;="&amp;N34,'Master Log'!$DV$2:$DV$9838,$M$27)+SUMIFS('Master Log'!$EB$2:$EB$9838,'Master Log'!$A$2:$A$9838,"&gt;="&amp;N33,'Master Log'!$A$2:$A$9838,"&lt;="&amp;N34,'Master Log'!$EA$2:$EA$9838,$M$27)+SUMIFS('Master Log'!$EG$2:$EG$9838,'Master Log'!$A$2:$A$9838,"&gt;="&amp;N33,'Master Log'!$A$2:$A$9838,"&lt;="&amp;N34,'Master Log'!$EF$2:$EF$9838,$M$27)+SUMIFS('Master Log'!$EL$2:$EL$9838,'Master Log'!$A$2:$A$9838,"&gt;="&amp;N33,'Master Log'!$A$2:$A$9838,"&lt;="&amp;N34,'Master Log'!$EK$2:$EK$9838,$M$27)+SUMIFS('Master Log'!$EQ$2:$EQ$9838,'Master Log'!$A$2:$A$9838,"&gt;="&amp;N33,'Master Log'!$A$2:$A$9838,"&lt;="&amp;N34,'Master Log'!$EP$2:$EP$9838,$M$27)+SUMIFS('Master Log'!$EV$2:$EV$9838,'Master Log'!$A$2:$A$9838,"&gt;="&amp;N33,'Master Log'!$A$2:$A$9838,"&lt;="&amp;N34,'Master Log'!$EU$2:$EU$9838,$M$27)</f>
        <v>80</v>
      </c>
      <c r="P33" s="167">
        <f ca="1">IF($M$27&lt;&gt;"",COUNTIFS('Master Log'!A:A,"&gt;="&amp;N33,'Master Log'!A:A,"&lt;="&amp;N34,'Master Log'!CR:CR,$M$27)+COUNTIFS('Master Log'!A:A,"&gt;="&amp;N33,'Master Log'!A:A,"&lt;="&amp;N34,'Master Log'!CW:CW,$M$27)+COUNTIFS('Master Log'!A:A,"&gt;="&amp;N33,'Master Log'!A:A,"&lt;="&amp;N34,'Master Log'!DB:DB,$M$27)+COUNTIFS('Master Log'!A:A,"&gt;="&amp;N33,'Master Log'!A:A,"&lt;="&amp;N34,'Master Log'!DG:DG,$M$27)+COUNTIFS('Master Log'!A:A,"&gt;="&amp;N33,'Master Log'!A:A,"&lt;="&amp;N34,'Master Log'!DL:DL,$M$27)+COUNTIFS('Master Log'!A:A,"&gt;="&amp;N33,'Master Log'!A:A,"&lt;="&amp;N34,'Master Log'!DQ:DQ,$M$27)+COUNTIFS('Master Log'!A:A,"&gt;="&amp;N33,'Master Log'!A:A,"&lt;="&amp;N34,'Master Log'!DV:DV,$M$27)+COUNTIFS('Master Log'!A:A,"&gt;="&amp;N33,'Master Log'!A:A,"&lt;="&amp;N34,'Master Log'!EA:EA,$M$27)+COUNTIFS('Master Log'!A:A,"&gt;="&amp;N33,'Master Log'!A:A,"&lt;="&amp;N34,'Master Log'!EF:EF,$M$27)+COUNTIFS('Master Log'!A:A,"&gt;="&amp;N33,'Master Log'!A:A,"&lt;="&amp;N34,'Master Log'!EK:EK,$M$27)+COUNTIFS('Master Log'!A:A,"&gt;="&amp;N33,'Master Log'!A:A,"&lt;="&amp;N34,'Master Log'!EP:EP,$M$27)+COUNTIFS('Master Log'!A:A,"&gt;="&amp;N33,'Master Log'!A:A,"&lt;="&amp;N34,'Master Log'!EU:EU,$M$27),"")</f>
        <v>4</v>
      </c>
      <c r="Q33" s="135">
        <f t="shared" ca="1" si="3"/>
        <v>20</v>
      </c>
    </row>
    <row r="34" spans="2:17">
      <c r="B34" s="127" t="str">
        <f>IF('Setup Sheet'!A43&lt;&gt;"",'Setup Sheet'!A43,"")</f>
        <v>Waiting_For_Packaging_Raw_Materials</v>
      </c>
      <c r="C34" s="128">
        <f>SUMIFS('Master Log'!$CS$2:$CS$9839,'Master Log'!$A$2:$A$9839,"&gt;="&amp;$C$24,'Master Log'!$A$2:$A$9839,"&lt;="&amp;$C$25,'Master Log'!$CR$2:$CR$9839,B34)+SUMIFS('Master Log'!$CX$2:$CX$9839,'Master Log'!$A$2:$A$9839,"&gt;="&amp;$C$24,'Master Log'!$A$2:$A$9839,"&lt;="&amp;$C$25,'Master Log'!$CW$2:$CW$9839,B34)+SUMIFS('Master Log'!$DC$2:$DC$9839,'Master Log'!$A$2:$A$9839,"&gt;="&amp;$C$24,'Master Log'!$A$2:$A$9839,"&lt;="&amp;$C$25,'Master Log'!$DB$2:$DB$9839,B34)+SUMIFS('Master Log'!$DH$2:$DH$9839,'Master Log'!$A$2:$A$9839,"&gt;="&amp;$C$24,'Master Log'!$A$2:$A$9839,"&lt;="&amp;$C$25,'Master Log'!$DG$2:$DG$9839,B34)+SUMIFS('Master Log'!$DM$2:$DM$9839,'Master Log'!$A$2:$A$9839,"&gt;="&amp;$C$24,'Master Log'!$A$2:$A$9839,"&lt;="&amp;$C$25,'Master Log'!$DL$2:$DL$9839,B34)+SUMIFS('Master Log'!$DR$2:$DR$9839,'Master Log'!$A$2:$A$9839,"&gt;="&amp;$C$24,'Master Log'!$A$2:$A$9839,"&lt;="&amp;$C$25,'Master Log'!$DQ$2:$DQ$9839,B34)+SUMIFS('Master Log'!$DW$2:$DW$9839,'Master Log'!$A$2:$A$9839,"&gt;="&amp;$C$24,'Master Log'!$A$2:$A$9839,"&lt;="&amp;$C$25,'Master Log'!$DV$2:$DV$9839,B34)+SUMIFS('Master Log'!$EB$2:$EB$9839,'Master Log'!$A$2:$A$9839,"&gt;="&amp;$C$24,'Master Log'!$A$2:$A$9839,"&lt;="&amp;$C$25,'Master Log'!$EA$2:$EA$9839,B34)+SUMIFS('Master Log'!$EG$2:$EG$9839,'Master Log'!$A$2:$A$9839,"&gt;="&amp;$C$24,'Master Log'!$A$2:$A$9839,"&lt;="&amp;$C$25,'Master Log'!$EF$2:$EF$9839,B34)+SUMIFS('Master Log'!$EL$2:$EL$9839,'Master Log'!$A$2:$A$9839,"&gt;="&amp;$C$24,'Master Log'!$A$2:$A$9839,"&lt;="&amp;$C$25,'Master Log'!$EK$2:$EK$9839,B34)+SUMIFS('Master Log'!$EQ$2:$EQ$9839,'Master Log'!$A$2:$A$9839,"&gt;="&amp;$C$24,'Master Log'!$A$2:$A$9839,"&lt;="&amp;$C$25,'Master Log'!$EP$2:$EP$9839,B34)+SUMIFS('Master Log'!$EV$2:$EV$9839,'Master Log'!$A$2:$A$9839,"&gt;="&amp;$C$24,'Master Log'!$A$2:$A$9839,"&lt;="&amp;$C$25,'Master Log'!$EU$2:$EU$9839,B34)</f>
        <v>45</v>
      </c>
      <c r="D34" s="130">
        <f>IF(B34&lt;&gt;"",COUNTIFS('Master Log'!A:A,"&gt;="&amp;$C$24,'Master Log'!A:A,"&lt;="&amp;$C$25,'Master Log'!CR:CR,B34)+COUNTIFS('Master Log'!A:A,"&gt;="&amp;$C$24,'Master Log'!A:A,"&lt;="&amp;$C$25,'Master Log'!CW:CW,B34)+COUNTIFS('Master Log'!A:A,"&gt;="&amp;$C$24,'Master Log'!A:A,"&lt;="&amp;$C$25,'Master Log'!DB:DB,B34)+COUNTIFS('Master Log'!A:A,"&gt;="&amp;$C$24,'Master Log'!A:A,"&lt;="&amp;$C$25,'Master Log'!DG:DG,B34)+COUNTIFS('Master Log'!A:A,"&gt;="&amp;$C$24,'Master Log'!A:A,"&lt;="&amp;$C$25,'Master Log'!DL:DL,B34)+COUNTIFS('Master Log'!A:A,"&gt;="&amp;$C$24,'Master Log'!A:A,"&lt;="&amp;$C$25,'Master Log'!DQ:DQ,B34)+COUNTIFS('Master Log'!A:A,"&gt;="&amp;$C$24,'Master Log'!A:A,"&lt;="&amp;$C$25,'Master Log'!DV:DV,B34)+COUNTIFS('Master Log'!A:A,"&gt;="&amp;$C$24,'Master Log'!A:A,"&lt;="&amp;$C$25,'Master Log'!EA:EA,B34)+COUNTIFS('Master Log'!A:A,"&gt;="&amp;$C$24,'Master Log'!A:A,"&lt;="&amp;$C$25,'Master Log'!EF:EF,B34)+COUNTIFS('Master Log'!A:A,"&gt;="&amp;$C$24,'Master Log'!A:A,"&lt;="&amp;$C$25,'Master Log'!EK:EK,B34)+COUNTIFS('Master Log'!A:A,"&gt;="&amp;$C$24,'Master Log'!A:A,"&lt;="&amp;$C$25,'Master Log'!EP:EP,B34)+COUNTIFS('Master Log'!A:A,"&gt;="&amp;$C$24,'Master Log'!A:A,"&lt;="&amp;$C$25,'Master Log'!EU:EU,B34),"")</f>
        <v>2</v>
      </c>
      <c r="E34" s="135">
        <f t="shared" si="2"/>
        <v>22.5</v>
      </c>
      <c r="G34" s="139">
        <f ca="1">DATE(YEAR(TODAY()),MONTH(TODAY())-4,1)</f>
        <v>44348</v>
      </c>
      <c r="H34" s="129">
        <f ca="1">IF($G$25=1,'Monthly Chart Data'!D10,'Monthly Chart Data'!Q10)</f>
        <v>0.77011494252873558</v>
      </c>
      <c r="I34" s="129">
        <f ca="1">'Monthly Chart Data'!H10</f>
        <v>0.33568851395197941</v>
      </c>
      <c r="J34" s="129">
        <f ca="1">'Monthly Chart Data'!L10</f>
        <v>0.95087237796510493</v>
      </c>
      <c r="K34" s="129">
        <f t="shared" ca="1" si="1"/>
        <v>0.24581832965109301</v>
      </c>
      <c r="M34" s="136"/>
      <c r="N34" s="138">
        <f ca="1">DATE(YEAR(TODAY()),MONTH(TODAY())-4,1)</f>
        <v>44348</v>
      </c>
      <c r="O34" s="128">
        <f ca="1">SUMIFS('Master Log'!$CS$2:$CS$9838,'Master Log'!$A$2:$A$9838,"&gt;="&amp;N34,'Master Log'!$A$2:$A$9838,"&lt;="&amp;N35,'Master Log'!$CR$2:$CR$9838,$M$27)+SUMIFS('Master Log'!$CX$2:$CX$9838,'Master Log'!$A$2:$A$9838,"&gt;="&amp;N34,'Master Log'!$A$2:$A$9838,"&lt;="&amp;N35,'Master Log'!$CW$2:$CW$9838,$M$27)+SUMIFS('Master Log'!$DC$2:$DC$9838,'Master Log'!$A$2:$A$9838,"&gt;="&amp;N34,'Master Log'!$A$2:$A$9838,"&lt;="&amp;N35,'Master Log'!$DB$2:$DB$9838,$M$27)+SUMIFS('Master Log'!$DH$2:$DH$9838,'Master Log'!$A$2:$A$9838,"&gt;="&amp;N34,'Master Log'!$A$2:$A$9838,"&lt;="&amp;N35,'Master Log'!$DG$2:$DG$9838,$M$27)+SUMIFS('Master Log'!$DM$2:$DM$9838,'Master Log'!$A$2:$A$9838,"&gt;="&amp;N34,'Master Log'!$A$2:$A$9838,"&lt;="&amp;N35,'Master Log'!$DL$2:$DL$9838,$M$27)+SUMIFS('Master Log'!$DR$2:$DR$9838,'Master Log'!$A$2:$A$9838,"&gt;="&amp;N34,'Master Log'!$A$2:$A$9838,"&lt;="&amp;N35,'Master Log'!$DQ$2:$DQ$9838,$M$27)+SUMIFS('Master Log'!$DW$2:$DW$9838,'Master Log'!$A$2:$A$9838,"&gt;="&amp;N34,'Master Log'!$A$2:$A$9838,"&lt;="&amp;N35,'Master Log'!$DV$2:$DV$9838,$M$27)+SUMIFS('Master Log'!$EB$2:$EB$9838,'Master Log'!$A$2:$A$9838,"&gt;="&amp;N34,'Master Log'!$A$2:$A$9838,"&lt;="&amp;N35,'Master Log'!$EA$2:$EA$9838,$M$27)+SUMIFS('Master Log'!$EG$2:$EG$9838,'Master Log'!$A$2:$A$9838,"&gt;="&amp;N34,'Master Log'!$A$2:$A$9838,"&lt;="&amp;N35,'Master Log'!$EF$2:$EF$9838,$M$27)+SUMIFS('Master Log'!$EL$2:$EL$9838,'Master Log'!$A$2:$A$9838,"&gt;="&amp;N34,'Master Log'!$A$2:$A$9838,"&lt;="&amp;N35,'Master Log'!$EK$2:$EK$9838,$M$27)+SUMIFS('Master Log'!$EQ$2:$EQ$9838,'Master Log'!$A$2:$A$9838,"&gt;="&amp;N34,'Master Log'!$A$2:$A$9838,"&lt;="&amp;N35,'Master Log'!$EP$2:$EP$9838,$M$27)+SUMIFS('Master Log'!$EV$2:$EV$9838,'Master Log'!$A$2:$A$9838,"&gt;="&amp;N34,'Master Log'!$A$2:$A$9838,"&lt;="&amp;N35,'Master Log'!$EU$2:$EU$9838,$M$27)</f>
        <v>50</v>
      </c>
      <c r="P34" s="167">
        <f ca="1">IF($M$27&lt;&gt;"",COUNTIFS('Master Log'!A:A,"&gt;="&amp;N34,'Master Log'!A:A,"&lt;="&amp;N35,'Master Log'!CR:CR,$M$27)+COUNTIFS('Master Log'!A:A,"&gt;="&amp;N34,'Master Log'!A:A,"&lt;="&amp;N35,'Master Log'!CW:CW,$M$27)+COUNTIFS('Master Log'!A:A,"&gt;="&amp;N34,'Master Log'!A:A,"&lt;="&amp;N35,'Master Log'!DB:DB,$M$27)+COUNTIFS('Master Log'!A:A,"&gt;="&amp;N34,'Master Log'!A:A,"&lt;="&amp;N35,'Master Log'!DG:DG,$M$27)+COUNTIFS('Master Log'!A:A,"&gt;="&amp;N34,'Master Log'!A:A,"&lt;="&amp;N35,'Master Log'!DL:DL,$M$27)+COUNTIFS('Master Log'!A:A,"&gt;="&amp;N34,'Master Log'!A:A,"&lt;="&amp;N35,'Master Log'!DQ:DQ,$M$27)+COUNTIFS('Master Log'!A:A,"&gt;="&amp;N34,'Master Log'!A:A,"&lt;="&amp;N35,'Master Log'!DV:DV,$M$27)+COUNTIFS('Master Log'!A:A,"&gt;="&amp;N34,'Master Log'!A:A,"&lt;="&amp;N35,'Master Log'!EA:EA,$M$27)+COUNTIFS('Master Log'!A:A,"&gt;="&amp;N34,'Master Log'!A:A,"&lt;="&amp;N35,'Master Log'!EF:EF,$M$27)+COUNTIFS('Master Log'!A:A,"&gt;="&amp;N34,'Master Log'!A:A,"&lt;="&amp;N35,'Master Log'!EK:EK,$M$27)+COUNTIFS('Master Log'!A:A,"&gt;="&amp;N34,'Master Log'!A:A,"&lt;="&amp;N35,'Master Log'!EP:EP,$M$27)+COUNTIFS('Master Log'!A:A,"&gt;="&amp;N34,'Master Log'!A:A,"&lt;="&amp;N35,'Master Log'!EU:EU,$M$27),"")</f>
        <v>2</v>
      </c>
      <c r="Q34" s="135">
        <f t="shared" ca="1" si="3"/>
        <v>25</v>
      </c>
    </row>
    <row r="35" spans="2:17">
      <c r="B35" s="127" t="str">
        <f>IF('Setup Sheet'!A47&lt;&gt;"",'Setup Sheet'!A47,"")</f>
        <v>Weigh Scale(Equip.Failure)</v>
      </c>
      <c r="C35" s="128">
        <f>SUMIFS('Master Log'!$CS$2:$CS$9839,'Master Log'!$A$2:$A$9839,"&gt;="&amp;$C$24,'Master Log'!$A$2:$A$9839,"&lt;="&amp;$C$25,'Master Log'!$CR$2:$CR$9839,B35)+SUMIFS('Master Log'!$CX$2:$CX$9839,'Master Log'!$A$2:$A$9839,"&gt;="&amp;$C$24,'Master Log'!$A$2:$A$9839,"&lt;="&amp;$C$25,'Master Log'!$CW$2:$CW$9839,B35)+SUMIFS('Master Log'!$DC$2:$DC$9839,'Master Log'!$A$2:$A$9839,"&gt;="&amp;$C$24,'Master Log'!$A$2:$A$9839,"&lt;="&amp;$C$25,'Master Log'!$DB$2:$DB$9839,B35)+SUMIFS('Master Log'!$DH$2:$DH$9839,'Master Log'!$A$2:$A$9839,"&gt;="&amp;$C$24,'Master Log'!$A$2:$A$9839,"&lt;="&amp;$C$25,'Master Log'!$DG$2:$DG$9839,B35)+SUMIFS('Master Log'!$DM$2:$DM$9839,'Master Log'!$A$2:$A$9839,"&gt;="&amp;$C$24,'Master Log'!$A$2:$A$9839,"&lt;="&amp;$C$25,'Master Log'!$DL$2:$DL$9839,B35)+SUMIFS('Master Log'!$DR$2:$DR$9839,'Master Log'!$A$2:$A$9839,"&gt;="&amp;$C$24,'Master Log'!$A$2:$A$9839,"&lt;="&amp;$C$25,'Master Log'!$DQ$2:$DQ$9839,B35)+SUMIFS('Master Log'!$DW$2:$DW$9839,'Master Log'!$A$2:$A$9839,"&gt;="&amp;$C$24,'Master Log'!$A$2:$A$9839,"&lt;="&amp;$C$25,'Master Log'!$DV$2:$DV$9839,B35)+SUMIFS('Master Log'!$EB$2:$EB$9839,'Master Log'!$A$2:$A$9839,"&gt;="&amp;$C$24,'Master Log'!$A$2:$A$9839,"&lt;="&amp;$C$25,'Master Log'!$EA$2:$EA$9839,B35)+SUMIFS('Master Log'!$EG$2:$EG$9839,'Master Log'!$A$2:$A$9839,"&gt;="&amp;$C$24,'Master Log'!$A$2:$A$9839,"&lt;="&amp;$C$25,'Master Log'!$EF$2:$EF$9839,B35)+SUMIFS('Master Log'!$EL$2:$EL$9839,'Master Log'!$A$2:$A$9839,"&gt;="&amp;$C$24,'Master Log'!$A$2:$A$9839,"&lt;="&amp;$C$25,'Master Log'!$EK$2:$EK$9839,B35)+SUMIFS('Master Log'!$EQ$2:$EQ$9839,'Master Log'!$A$2:$A$9839,"&gt;="&amp;$C$24,'Master Log'!$A$2:$A$9839,"&lt;="&amp;$C$25,'Master Log'!$EP$2:$EP$9839,B35)+SUMIFS('Master Log'!$EV$2:$EV$9839,'Master Log'!$A$2:$A$9839,"&gt;="&amp;$C$24,'Master Log'!$A$2:$A$9839,"&lt;="&amp;$C$25,'Master Log'!$EU$2:$EU$9839,B35)</f>
        <v>30</v>
      </c>
      <c r="D35" s="130">
        <f>IF(B35&lt;&gt;"",COUNTIFS('Master Log'!A:A,"&gt;="&amp;$C$24,'Master Log'!A:A,"&lt;="&amp;$C$25,'Master Log'!CR:CR,B35)+COUNTIFS('Master Log'!A:A,"&gt;="&amp;$C$24,'Master Log'!A:A,"&lt;="&amp;$C$25,'Master Log'!CW:CW,B35)+COUNTIFS('Master Log'!A:A,"&gt;="&amp;$C$24,'Master Log'!A:A,"&lt;="&amp;$C$25,'Master Log'!DB:DB,B35)+COUNTIFS('Master Log'!A:A,"&gt;="&amp;$C$24,'Master Log'!A:A,"&lt;="&amp;$C$25,'Master Log'!DG:DG,B35)+COUNTIFS('Master Log'!A:A,"&gt;="&amp;$C$24,'Master Log'!A:A,"&lt;="&amp;$C$25,'Master Log'!DL:DL,B35)+COUNTIFS('Master Log'!A:A,"&gt;="&amp;$C$24,'Master Log'!A:A,"&lt;="&amp;$C$25,'Master Log'!DQ:DQ,B35)+COUNTIFS('Master Log'!A:A,"&gt;="&amp;$C$24,'Master Log'!A:A,"&lt;="&amp;$C$25,'Master Log'!DV:DV,B35)+COUNTIFS('Master Log'!A:A,"&gt;="&amp;$C$24,'Master Log'!A:A,"&lt;="&amp;$C$25,'Master Log'!EA:EA,B35)+COUNTIFS('Master Log'!A:A,"&gt;="&amp;$C$24,'Master Log'!A:A,"&lt;="&amp;$C$25,'Master Log'!EF:EF,B35)+COUNTIFS('Master Log'!A:A,"&gt;="&amp;$C$24,'Master Log'!A:A,"&lt;="&amp;$C$25,'Master Log'!EK:EK,B35)+COUNTIFS('Master Log'!A:A,"&gt;="&amp;$C$24,'Master Log'!A:A,"&lt;="&amp;$C$25,'Master Log'!EP:EP,B35)+COUNTIFS('Master Log'!A:A,"&gt;="&amp;$C$24,'Master Log'!A:A,"&lt;="&amp;$C$25,'Master Log'!EU:EU,B35),"")</f>
        <v>2</v>
      </c>
      <c r="E35" s="135">
        <f t="shared" si="2"/>
        <v>15</v>
      </c>
      <c r="G35" s="139">
        <f ca="1">DATE(YEAR(TODAY()),MONTH(TODAY())-3,1)</f>
        <v>44378</v>
      </c>
      <c r="H35" s="129" t="e">
        <f ca="1">IF($G$25=1,'Monthly Chart Data'!D11,'Monthly Chart Data'!Q11)</f>
        <v>#N/A</v>
      </c>
      <c r="I35" s="129" t="e">
        <f ca="1">'Monthly Chart Data'!H11</f>
        <v>#N/A</v>
      </c>
      <c r="J35" s="129" t="e">
        <f ca="1">'Monthly Chart Data'!L11</f>
        <v>#N/A</v>
      </c>
      <c r="K35" s="129" t="e">
        <f t="shared" ca="1" si="1"/>
        <v>#N/A</v>
      </c>
      <c r="M35" s="136"/>
      <c r="N35" s="138">
        <f ca="1">DATE(YEAR(TODAY()),MONTH(TODAY())-3,1)</f>
        <v>44378</v>
      </c>
      <c r="O35" s="128">
        <f ca="1">SUMIFS('Master Log'!$CS$2:$CS$9838,'Master Log'!$A$2:$A$9838,"&gt;="&amp;N35,'Master Log'!$A$2:$A$9838,"&lt;="&amp;N36,'Master Log'!$CR$2:$CR$9838,$M$27)+SUMIFS('Master Log'!$CX$2:$CX$9838,'Master Log'!$A$2:$A$9838,"&gt;="&amp;N35,'Master Log'!$A$2:$A$9838,"&lt;="&amp;N36,'Master Log'!$CW$2:$CW$9838,$M$27)+SUMIFS('Master Log'!$DC$2:$DC$9838,'Master Log'!$A$2:$A$9838,"&gt;="&amp;N35,'Master Log'!$A$2:$A$9838,"&lt;="&amp;N36,'Master Log'!$DB$2:$DB$9838,$M$27)+SUMIFS('Master Log'!$DH$2:$DH$9838,'Master Log'!$A$2:$A$9838,"&gt;="&amp;N35,'Master Log'!$A$2:$A$9838,"&lt;="&amp;N36,'Master Log'!$DG$2:$DG$9838,$M$27)+SUMIFS('Master Log'!$DM$2:$DM$9838,'Master Log'!$A$2:$A$9838,"&gt;="&amp;N35,'Master Log'!$A$2:$A$9838,"&lt;="&amp;N36,'Master Log'!$DL$2:$DL$9838,$M$27)+SUMIFS('Master Log'!$DR$2:$DR$9838,'Master Log'!$A$2:$A$9838,"&gt;="&amp;N35,'Master Log'!$A$2:$A$9838,"&lt;="&amp;N36,'Master Log'!$DQ$2:$DQ$9838,$M$27)+SUMIFS('Master Log'!$DW$2:$DW$9838,'Master Log'!$A$2:$A$9838,"&gt;="&amp;N35,'Master Log'!$A$2:$A$9838,"&lt;="&amp;N36,'Master Log'!$DV$2:$DV$9838,$M$27)+SUMIFS('Master Log'!$EB$2:$EB$9838,'Master Log'!$A$2:$A$9838,"&gt;="&amp;N35,'Master Log'!$A$2:$A$9838,"&lt;="&amp;N36,'Master Log'!$EA$2:$EA$9838,$M$27)+SUMIFS('Master Log'!$EG$2:$EG$9838,'Master Log'!$A$2:$A$9838,"&gt;="&amp;N35,'Master Log'!$A$2:$A$9838,"&lt;="&amp;N36,'Master Log'!$EF$2:$EF$9838,$M$27)+SUMIFS('Master Log'!$EL$2:$EL$9838,'Master Log'!$A$2:$A$9838,"&gt;="&amp;N35,'Master Log'!$A$2:$A$9838,"&lt;="&amp;N36,'Master Log'!$EK$2:$EK$9838,$M$27)+SUMIFS('Master Log'!$EQ$2:$EQ$9838,'Master Log'!$A$2:$A$9838,"&gt;="&amp;N35,'Master Log'!$A$2:$A$9838,"&lt;="&amp;N36,'Master Log'!$EP$2:$EP$9838,$M$27)+SUMIFS('Master Log'!$EV$2:$EV$9838,'Master Log'!$A$2:$A$9838,"&gt;="&amp;N35,'Master Log'!$A$2:$A$9838,"&lt;="&amp;N36,'Master Log'!$EU$2:$EU$9838,$M$27)</f>
        <v>0</v>
      </c>
      <c r="P35" s="167">
        <f ca="1">IF($M$27&lt;&gt;"",COUNTIFS('Master Log'!A:A,"&gt;="&amp;N35,'Master Log'!A:A,"&lt;="&amp;N36,'Master Log'!CR:CR,$M$27)+COUNTIFS('Master Log'!A:A,"&gt;="&amp;N35,'Master Log'!A:A,"&lt;="&amp;N36,'Master Log'!CW:CW,$M$27)+COUNTIFS('Master Log'!A:A,"&gt;="&amp;N35,'Master Log'!A:A,"&lt;="&amp;N36,'Master Log'!DB:DB,$M$27)+COUNTIFS('Master Log'!A:A,"&gt;="&amp;N35,'Master Log'!A:A,"&lt;="&amp;N36,'Master Log'!DG:DG,$M$27)+COUNTIFS('Master Log'!A:A,"&gt;="&amp;N35,'Master Log'!A:A,"&lt;="&amp;N36,'Master Log'!DL:DL,$M$27)+COUNTIFS('Master Log'!A:A,"&gt;="&amp;N35,'Master Log'!A:A,"&lt;="&amp;N36,'Master Log'!DQ:DQ,$M$27)+COUNTIFS('Master Log'!A:A,"&gt;="&amp;N35,'Master Log'!A:A,"&lt;="&amp;N36,'Master Log'!DV:DV,$M$27)+COUNTIFS('Master Log'!A:A,"&gt;="&amp;N35,'Master Log'!A:A,"&lt;="&amp;N36,'Master Log'!EA:EA,$M$27)+COUNTIFS('Master Log'!A:A,"&gt;="&amp;N35,'Master Log'!A:A,"&lt;="&amp;N36,'Master Log'!EF:EF,$M$27)+COUNTIFS('Master Log'!A:A,"&gt;="&amp;N35,'Master Log'!A:A,"&lt;="&amp;N36,'Master Log'!EK:EK,$M$27)+COUNTIFS('Master Log'!A:A,"&gt;="&amp;N35,'Master Log'!A:A,"&lt;="&amp;N36,'Master Log'!EP:EP,$M$27)+COUNTIFS('Master Log'!A:A,"&gt;="&amp;N35,'Master Log'!A:A,"&lt;="&amp;N36,'Master Log'!EU:EU,$M$27),"")</f>
        <v>0</v>
      </c>
      <c r="Q35" s="135">
        <f t="shared" ca="1" si="3"/>
        <v>0</v>
      </c>
    </row>
    <row r="36" spans="2:17">
      <c r="B36" s="127" t="str">
        <f>IF('Setup Sheet'!A22&lt;&gt;"",'Setup Sheet'!A22,"")</f>
        <v>Case_Erector_(Other)</v>
      </c>
      <c r="C36" s="128">
        <f>SUMIFS('Master Log'!$CS$2:$CS$9839,'Master Log'!$A$2:$A$9839,"&gt;="&amp;$C$24,'Master Log'!$A$2:$A$9839,"&lt;="&amp;$C$25,'Master Log'!$CR$2:$CR$9839,B36)+SUMIFS('Master Log'!$CX$2:$CX$9839,'Master Log'!$A$2:$A$9839,"&gt;="&amp;$C$24,'Master Log'!$A$2:$A$9839,"&lt;="&amp;$C$25,'Master Log'!$CW$2:$CW$9839,B36)+SUMIFS('Master Log'!$DC$2:$DC$9839,'Master Log'!$A$2:$A$9839,"&gt;="&amp;$C$24,'Master Log'!$A$2:$A$9839,"&lt;="&amp;$C$25,'Master Log'!$DB$2:$DB$9839,B36)+SUMIFS('Master Log'!$DH$2:$DH$9839,'Master Log'!$A$2:$A$9839,"&gt;="&amp;$C$24,'Master Log'!$A$2:$A$9839,"&lt;="&amp;$C$25,'Master Log'!$DG$2:$DG$9839,B36)+SUMIFS('Master Log'!$DM$2:$DM$9839,'Master Log'!$A$2:$A$9839,"&gt;="&amp;$C$24,'Master Log'!$A$2:$A$9839,"&lt;="&amp;$C$25,'Master Log'!$DL$2:$DL$9839,B36)+SUMIFS('Master Log'!$DR$2:$DR$9839,'Master Log'!$A$2:$A$9839,"&gt;="&amp;$C$24,'Master Log'!$A$2:$A$9839,"&lt;="&amp;$C$25,'Master Log'!$DQ$2:$DQ$9839,B36)+SUMIFS('Master Log'!$DW$2:$DW$9839,'Master Log'!$A$2:$A$9839,"&gt;="&amp;$C$24,'Master Log'!$A$2:$A$9839,"&lt;="&amp;$C$25,'Master Log'!$DV$2:$DV$9839,B36)+SUMIFS('Master Log'!$EB$2:$EB$9839,'Master Log'!$A$2:$A$9839,"&gt;="&amp;$C$24,'Master Log'!$A$2:$A$9839,"&lt;="&amp;$C$25,'Master Log'!$EA$2:$EA$9839,B36)+SUMIFS('Master Log'!$EG$2:$EG$9839,'Master Log'!$A$2:$A$9839,"&gt;="&amp;$C$24,'Master Log'!$A$2:$A$9839,"&lt;="&amp;$C$25,'Master Log'!$EF$2:$EF$9839,B36)+SUMIFS('Master Log'!$EL$2:$EL$9839,'Master Log'!$A$2:$A$9839,"&gt;="&amp;$C$24,'Master Log'!$A$2:$A$9839,"&lt;="&amp;$C$25,'Master Log'!$EK$2:$EK$9839,B36)+SUMIFS('Master Log'!$EQ$2:$EQ$9839,'Master Log'!$A$2:$A$9839,"&gt;="&amp;$C$24,'Master Log'!$A$2:$A$9839,"&lt;="&amp;$C$25,'Master Log'!$EP$2:$EP$9839,B36)+SUMIFS('Master Log'!$EV$2:$EV$9839,'Master Log'!$A$2:$A$9839,"&gt;="&amp;$C$24,'Master Log'!$A$2:$A$9839,"&lt;="&amp;$C$25,'Master Log'!$EU$2:$EU$9839,B36)</f>
        <v>20</v>
      </c>
      <c r="D36" s="130">
        <f>IF(B36&lt;&gt;"",COUNTIFS('Master Log'!A:A,"&gt;="&amp;$C$24,'Master Log'!A:A,"&lt;="&amp;$C$25,'Master Log'!CR:CR,B36)+COUNTIFS('Master Log'!A:A,"&gt;="&amp;$C$24,'Master Log'!A:A,"&lt;="&amp;$C$25,'Master Log'!CW:CW,B36)+COUNTIFS('Master Log'!A:A,"&gt;="&amp;$C$24,'Master Log'!A:A,"&lt;="&amp;$C$25,'Master Log'!DB:DB,B36)+COUNTIFS('Master Log'!A:A,"&gt;="&amp;$C$24,'Master Log'!A:A,"&lt;="&amp;$C$25,'Master Log'!DG:DG,B36)+COUNTIFS('Master Log'!A:A,"&gt;="&amp;$C$24,'Master Log'!A:A,"&lt;="&amp;$C$25,'Master Log'!DL:DL,B36)+COUNTIFS('Master Log'!A:A,"&gt;="&amp;$C$24,'Master Log'!A:A,"&lt;="&amp;$C$25,'Master Log'!DQ:DQ,B36)+COUNTIFS('Master Log'!A:A,"&gt;="&amp;$C$24,'Master Log'!A:A,"&lt;="&amp;$C$25,'Master Log'!DV:DV,B36)+COUNTIFS('Master Log'!A:A,"&gt;="&amp;$C$24,'Master Log'!A:A,"&lt;="&amp;$C$25,'Master Log'!EA:EA,B36)+COUNTIFS('Master Log'!A:A,"&gt;="&amp;$C$24,'Master Log'!A:A,"&lt;="&amp;$C$25,'Master Log'!EF:EF,B36)+COUNTIFS('Master Log'!A:A,"&gt;="&amp;$C$24,'Master Log'!A:A,"&lt;="&amp;$C$25,'Master Log'!EK:EK,B36)+COUNTIFS('Master Log'!A:A,"&gt;="&amp;$C$24,'Master Log'!A:A,"&lt;="&amp;$C$25,'Master Log'!EP:EP,B36)+COUNTIFS('Master Log'!A:A,"&gt;="&amp;$C$24,'Master Log'!A:A,"&lt;="&amp;$C$25,'Master Log'!EU:EU,B36),"")</f>
        <v>1</v>
      </c>
      <c r="E36" s="135">
        <f t="shared" si="2"/>
        <v>20</v>
      </c>
      <c r="G36" s="139">
        <f ca="1">DATE(YEAR(TODAY()),MONTH(TODAY())-2,1)</f>
        <v>44409</v>
      </c>
      <c r="H36" s="129" t="e">
        <f ca="1">IF($G$25=1,'Monthly Chart Data'!D12,'Monthly Chart Data'!Q12)</f>
        <v>#N/A</v>
      </c>
      <c r="I36" s="129" t="e">
        <f ca="1">'Monthly Chart Data'!H12</f>
        <v>#N/A</v>
      </c>
      <c r="J36" s="129" t="e">
        <f ca="1">'Monthly Chart Data'!L12</f>
        <v>#N/A</v>
      </c>
      <c r="K36" s="129" t="e">
        <f t="shared" ca="1" si="1"/>
        <v>#N/A</v>
      </c>
      <c r="M36" s="136"/>
      <c r="N36" s="138">
        <f ca="1">DATE(YEAR(TODAY()),MONTH(TODAY())-2,1)</f>
        <v>44409</v>
      </c>
      <c r="O36" s="128">
        <f ca="1">SUMIFS('Master Log'!$CS$2:$CS$9838,'Master Log'!$A$2:$A$9838,"&gt;="&amp;N36,'Master Log'!$A$2:$A$9838,"&lt;="&amp;N37,'Master Log'!$CR$2:$CR$9838,$M$27)+SUMIFS('Master Log'!$CX$2:$CX$9838,'Master Log'!$A$2:$A$9838,"&gt;="&amp;N36,'Master Log'!$A$2:$A$9838,"&lt;="&amp;N37,'Master Log'!$CW$2:$CW$9838,$M$27)+SUMIFS('Master Log'!$DC$2:$DC$9838,'Master Log'!$A$2:$A$9838,"&gt;="&amp;N36,'Master Log'!$A$2:$A$9838,"&lt;="&amp;N37,'Master Log'!$DB$2:$DB$9838,$M$27)+SUMIFS('Master Log'!$DH$2:$DH$9838,'Master Log'!$A$2:$A$9838,"&gt;="&amp;N36,'Master Log'!$A$2:$A$9838,"&lt;="&amp;N37,'Master Log'!$DG$2:$DG$9838,$M$27)+SUMIFS('Master Log'!$DM$2:$DM$9838,'Master Log'!$A$2:$A$9838,"&gt;="&amp;N36,'Master Log'!$A$2:$A$9838,"&lt;="&amp;N37,'Master Log'!$DL$2:$DL$9838,$M$27)+SUMIFS('Master Log'!$DR$2:$DR$9838,'Master Log'!$A$2:$A$9838,"&gt;="&amp;N36,'Master Log'!$A$2:$A$9838,"&lt;="&amp;N37,'Master Log'!$DQ$2:$DQ$9838,$M$27)+SUMIFS('Master Log'!$DW$2:$DW$9838,'Master Log'!$A$2:$A$9838,"&gt;="&amp;N36,'Master Log'!$A$2:$A$9838,"&lt;="&amp;N37,'Master Log'!$DV$2:$DV$9838,$M$27)+SUMIFS('Master Log'!$EB$2:$EB$9838,'Master Log'!$A$2:$A$9838,"&gt;="&amp;N36,'Master Log'!$A$2:$A$9838,"&lt;="&amp;N37,'Master Log'!$EA$2:$EA$9838,$M$27)+SUMIFS('Master Log'!$EG$2:$EG$9838,'Master Log'!$A$2:$A$9838,"&gt;="&amp;N36,'Master Log'!$A$2:$A$9838,"&lt;="&amp;N37,'Master Log'!$EF$2:$EF$9838,$M$27)+SUMIFS('Master Log'!$EL$2:$EL$9838,'Master Log'!$A$2:$A$9838,"&gt;="&amp;N36,'Master Log'!$A$2:$A$9838,"&lt;="&amp;N37,'Master Log'!$EK$2:$EK$9838,$M$27)+SUMIFS('Master Log'!$EQ$2:$EQ$9838,'Master Log'!$A$2:$A$9838,"&gt;="&amp;N36,'Master Log'!$A$2:$A$9838,"&lt;="&amp;N37,'Master Log'!$EP$2:$EP$9838,$M$27)+SUMIFS('Master Log'!$EV$2:$EV$9838,'Master Log'!$A$2:$A$9838,"&gt;="&amp;N36,'Master Log'!$A$2:$A$9838,"&lt;="&amp;N37,'Master Log'!$EU$2:$EU$9838,$M$27)</f>
        <v>0</v>
      </c>
      <c r="P36" s="167">
        <f ca="1">IF($M$27&lt;&gt;"",COUNTIFS('Master Log'!A:A,"&gt;="&amp;N36,'Master Log'!A:A,"&lt;="&amp;N37,'Master Log'!CR:CR,$M$27)+COUNTIFS('Master Log'!A:A,"&gt;="&amp;N36,'Master Log'!A:A,"&lt;="&amp;N37,'Master Log'!CW:CW,$M$27)+COUNTIFS('Master Log'!A:A,"&gt;="&amp;N36,'Master Log'!A:A,"&lt;="&amp;N37,'Master Log'!DB:DB,$M$27)+COUNTIFS('Master Log'!A:A,"&gt;="&amp;N36,'Master Log'!A:A,"&lt;="&amp;N37,'Master Log'!DG:DG,$M$27)+COUNTIFS('Master Log'!A:A,"&gt;="&amp;N36,'Master Log'!A:A,"&lt;="&amp;N37,'Master Log'!DL:DL,$M$27)+COUNTIFS('Master Log'!A:A,"&gt;="&amp;N36,'Master Log'!A:A,"&lt;="&amp;N37,'Master Log'!DQ:DQ,$M$27)+COUNTIFS('Master Log'!A:A,"&gt;="&amp;N36,'Master Log'!A:A,"&lt;="&amp;N37,'Master Log'!DV:DV,$M$27)+COUNTIFS('Master Log'!A:A,"&gt;="&amp;N36,'Master Log'!A:A,"&lt;="&amp;N37,'Master Log'!EA:EA,$M$27)+COUNTIFS('Master Log'!A:A,"&gt;="&amp;N36,'Master Log'!A:A,"&lt;="&amp;N37,'Master Log'!EF:EF,$M$27)+COUNTIFS('Master Log'!A:A,"&gt;="&amp;N36,'Master Log'!A:A,"&lt;="&amp;N37,'Master Log'!EK:EK,$M$27)+COUNTIFS('Master Log'!A:A,"&gt;="&amp;N36,'Master Log'!A:A,"&lt;="&amp;N37,'Master Log'!EP:EP,$M$27)+COUNTIFS('Master Log'!A:A,"&gt;="&amp;N36,'Master Log'!A:A,"&lt;="&amp;N37,'Master Log'!EU:EU,$M$27),"")</f>
        <v>0</v>
      </c>
      <c r="Q36" s="135">
        <f t="shared" ca="1" si="3"/>
        <v>0</v>
      </c>
    </row>
    <row r="37" spans="2:17">
      <c r="B37" s="127" t="str">
        <f>IF('Setup Sheet'!A13&lt;&gt;"",'Setup Sheet'!A13,"")</f>
        <v>Bottle_Printer_(Other)</v>
      </c>
      <c r="C37" s="128">
        <f>SUMIFS('Master Log'!$CS$2:$CS$9839,'Master Log'!$A$2:$A$9839,"&gt;="&amp;$C$24,'Master Log'!$A$2:$A$9839,"&lt;="&amp;$C$25,'Master Log'!$CR$2:$CR$9839,B37)+SUMIFS('Master Log'!$CX$2:$CX$9839,'Master Log'!$A$2:$A$9839,"&gt;="&amp;$C$24,'Master Log'!$A$2:$A$9839,"&lt;="&amp;$C$25,'Master Log'!$CW$2:$CW$9839,B37)+SUMIFS('Master Log'!$DC$2:$DC$9839,'Master Log'!$A$2:$A$9839,"&gt;="&amp;$C$24,'Master Log'!$A$2:$A$9839,"&lt;="&amp;$C$25,'Master Log'!$DB$2:$DB$9839,B37)+SUMIFS('Master Log'!$DH$2:$DH$9839,'Master Log'!$A$2:$A$9839,"&gt;="&amp;$C$24,'Master Log'!$A$2:$A$9839,"&lt;="&amp;$C$25,'Master Log'!$DG$2:$DG$9839,B37)+SUMIFS('Master Log'!$DM$2:$DM$9839,'Master Log'!$A$2:$A$9839,"&gt;="&amp;$C$24,'Master Log'!$A$2:$A$9839,"&lt;="&amp;$C$25,'Master Log'!$DL$2:$DL$9839,B37)+SUMIFS('Master Log'!$DR$2:$DR$9839,'Master Log'!$A$2:$A$9839,"&gt;="&amp;$C$24,'Master Log'!$A$2:$A$9839,"&lt;="&amp;$C$25,'Master Log'!$DQ$2:$DQ$9839,B37)+SUMIFS('Master Log'!$DW$2:$DW$9839,'Master Log'!$A$2:$A$9839,"&gt;="&amp;$C$24,'Master Log'!$A$2:$A$9839,"&lt;="&amp;$C$25,'Master Log'!$DV$2:$DV$9839,B37)+SUMIFS('Master Log'!$EB$2:$EB$9839,'Master Log'!$A$2:$A$9839,"&gt;="&amp;$C$24,'Master Log'!$A$2:$A$9839,"&lt;="&amp;$C$25,'Master Log'!$EA$2:$EA$9839,B37)+SUMIFS('Master Log'!$EG$2:$EG$9839,'Master Log'!$A$2:$A$9839,"&gt;="&amp;$C$24,'Master Log'!$A$2:$A$9839,"&lt;="&amp;$C$25,'Master Log'!$EF$2:$EF$9839,B37)+SUMIFS('Master Log'!$EL$2:$EL$9839,'Master Log'!$A$2:$A$9839,"&gt;="&amp;$C$24,'Master Log'!$A$2:$A$9839,"&lt;="&amp;$C$25,'Master Log'!$EK$2:$EK$9839,B37)+SUMIFS('Master Log'!$EQ$2:$EQ$9839,'Master Log'!$A$2:$A$9839,"&gt;="&amp;$C$24,'Master Log'!$A$2:$A$9839,"&lt;="&amp;$C$25,'Master Log'!$EP$2:$EP$9839,B37)+SUMIFS('Master Log'!$EV$2:$EV$9839,'Master Log'!$A$2:$A$9839,"&gt;="&amp;$C$24,'Master Log'!$A$2:$A$9839,"&lt;="&amp;$C$25,'Master Log'!$EU$2:$EU$9839,B37)</f>
        <v>15</v>
      </c>
      <c r="D37" s="130">
        <f>IF(B37&lt;&gt;"",COUNTIFS('Master Log'!A:A,"&gt;="&amp;$C$24,'Master Log'!A:A,"&lt;="&amp;$C$25,'Master Log'!CR:CR,B37)+COUNTIFS('Master Log'!A:A,"&gt;="&amp;$C$24,'Master Log'!A:A,"&lt;="&amp;$C$25,'Master Log'!CW:CW,B37)+COUNTIFS('Master Log'!A:A,"&gt;="&amp;$C$24,'Master Log'!A:A,"&lt;="&amp;$C$25,'Master Log'!DB:DB,B37)+COUNTIFS('Master Log'!A:A,"&gt;="&amp;$C$24,'Master Log'!A:A,"&lt;="&amp;$C$25,'Master Log'!DG:DG,B37)+COUNTIFS('Master Log'!A:A,"&gt;="&amp;$C$24,'Master Log'!A:A,"&lt;="&amp;$C$25,'Master Log'!DL:DL,B37)+COUNTIFS('Master Log'!A:A,"&gt;="&amp;$C$24,'Master Log'!A:A,"&lt;="&amp;$C$25,'Master Log'!DQ:DQ,B37)+COUNTIFS('Master Log'!A:A,"&gt;="&amp;$C$24,'Master Log'!A:A,"&lt;="&amp;$C$25,'Master Log'!DV:DV,B37)+COUNTIFS('Master Log'!A:A,"&gt;="&amp;$C$24,'Master Log'!A:A,"&lt;="&amp;$C$25,'Master Log'!EA:EA,B37)+COUNTIFS('Master Log'!A:A,"&gt;="&amp;$C$24,'Master Log'!A:A,"&lt;="&amp;$C$25,'Master Log'!EF:EF,B37)+COUNTIFS('Master Log'!A:A,"&gt;="&amp;$C$24,'Master Log'!A:A,"&lt;="&amp;$C$25,'Master Log'!EK:EK,B37)+COUNTIFS('Master Log'!A:A,"&gt;="&amp;$C$24,'Master Log'!A:A,"&lt;="&amp;$C$25,'Master Log'!EP:EP,B37)+COUNTIFS('Master Log'!A:A,"&gt;="&amp;$C$24,'Master Log'!A:A,"&lt;="&amp;$C$25,'Master Log'!EU:EU,B37),"")</f>
        <v>1</v>
      </c>
      <c r="E37" s="135">
        <f t="shared" si="2"/>
        <v>15</v>
      </c>
      <c r="G37" s="139">
        <f ca="1">DATE(YEAR(TODAY()),MONTH(TODAY())-1,1)</f>
        <v>44440</v>
      </c>
      <c r="H37" s="129" t="e">
        <f ca="1">IF($G$25=1,'Monthly Chart Data'!D13,'Monthly Chart Data'!Q13)</f>
        <v>#N/A</v>
      </c>
      <c r="I37" s="129" t="e">
        <f ca="1">'Monthly Chart Data'!H13</f>
        <v>#N/A</v>
      </c>
      <c r="J37" s="129" t="e">
        <f ca="1">'Monthly Chart Data'!L13</f>
        <v>#N/A</v>
      </c>
      <c r="K37" s="129" t="e">
        <f t="shared" ca="1" si="1"/>
        <v>#N/A</v>
      </c>
      <c r="M37" s="136"/>
      <c r="N37" s="138">
        <f ca="1">DATE(YEAR(TODAY()),MONTH(TODAY())-1,1)</f>
        <v>44440</v>
      </c>
      <c r="O37" s="128">
        <f ca="1">SUMIFS('Master Log'!$CS$2:$CS$9838,'Master Log'!$A$2:$A$9838,"&gt;="&amp;N37,'Master Log'!$A$2:$A$9838,"&lt;="&amp;N38,'Master Log'!$CR$2:$CR$9838,$M$27)+SUMIFS('Master Log'!$CX$2:$CX$9838,'Master Log'!$A$2:$A$9838,"&gt;="&amp;N37,'Master Log'!$A$2:$A$9838,"&lt;="&amp;N38,'Master Log'!$CW$2:$CW$9838,$M$27)+SUMIFS('Master Log'!$DC$2:$DC$9838,'Master Log'!$A$2:$A$9838,"&gt;="&amp;N37,'Master Log'!$A$2:$A$9838,"&lt;="&amp;N38,'Master Log'!$DB$2:$DB$9838,$M$27)+SUMIFS('Master Log'!$DH$2:$DH$9838,'Master Log'!$A$2:$A$9838,"&gt;="&amp;N37,'Master Log'!$A$2:$A$9838,"&lt;="&amp;N38,'Master Log'!$DG$2:$DG$9838,$M$27)+SUMIFS('Master Log'!$DM$2:$DM$9838,'Master Log'!$A$2:$A$9838,"&gt;="&amp;N37,'Master Log'!$A$2:$A$9838,"&lt;="&amp;N38,'Master Log'!$DL$2:$DL$9838,$M$27)+SUMIFS('Master Log'!$DR$2:$DR$9838,'Master Log'!$A$2:$A$9838,"&gt;="&amp;N37,'Master Log'!$A$2:$A$9838,"&lt;="&amp;N38,'Master Log'!$DQ$2:$DQ$9838,$M$27)+SUMIFS('Master Log'!$DW$2:$DW$9838,'Master Log'!$A$2:$A$9838,"&gt;="&amp;N37,'Master Log'!$A$2:$A$9838,"&lt;="&amp;N38,'Master Log'!$DV$2:$DV$9838,$M$27)+SUMIFS('Master Log'!$EB$2:$EB$9838,'Master Log'!$A$2:$A$9838,"&gt;="&amp;N37,'Master Log'!$A$2:$A$9838,"&lt;="&amp;N38,'Master Log'!$EA$2:$EA$9838,$M$27)+SUMIFS('Master Log'!$EG$2:$EG$9838,'Master Log'!$A$2:$A$9838,"&gt;="&amp;N37,'Master Log'!$A$2:$A$9838,"&lt;="&amp;N38,'Master Log'!$EF$2:$EF$9838,$M$27)+SUMIFS('Master Log'!$EL$2:$EL$9838,'Master Log'!$A$2:$A$9838,"&gt;="&amp;N37,'Master Log'!$A$2:$A$9838,"&lt;="&amp;N38,'Master Log'!$EK$2:$EK$9838,$M$27)+SUMIFS('Master Log'!$EQ$2:$EQ$9838,'Master Log'!$A$2:$A$9838,"&gt;="&amp;N37,'Master Log'!$A$2:$A$9838,"&lt;="&amp;N38,'Master Log'!$EP$2:$EP$9838,$M$27)+SUMIFS('Master Log'!$EV$2:$EV$9838,'Master Log'!$A$2:$A$9838,"&gt;="&amp;N37,'Master Log'!$A$2:$A$9838,"&lt;="&amp;N38,'Master Log'!$EU$2:$EU$9838,$M$27)</f>
        <v>0</v>
      </c>
      <c r="P37" s="167">
        <f ca="1">IF($M$27&lt;&gt;"",COUNTIFS('Master Log'!A:A,"&gt;="&amp;N37,'Master Log'!A:A,"&lt;="&amp;N38,'Master Log'!CR:CR,$M$27)+COUNTIFS('Master Log'!A:A,"&gt;="&amp;N37,'Master Log'!A:A,"&lt;="&amp;N38,'Master Log'!CW:CW,$M$27)+COUNTIFS('Master Log'!A:A,"&gt;="&amp;N37,'Master Log'!A:A,"&lt;="&amp;N38,'Master Log'!DB:DB,$M$27)+COUNTIFS('Master Log'!A:A,"&gt;="&amp;N37,'Master Log'!A:A,"&lt;="&amp;N38,'Master Log'!DG:DG,$M$27)+COUNTIFS('Master Log'!A:A,"&gt;="&amp;N37,'Master Log'!A:A,"&lt;="&amp;N38,'Master Log'!DL:DL,$M$27)+COUNTIFS('Master Log'!A:A,"&gt;="&amp;N37,'Master Log'!A:A,"&lt;="&amp;N38,'Master Log'!DQ:DQ,$M$27)+COUNTIFS('Master Log'!A:A,"&gt;="&amp;N37,'Master Log'!A:A,"&lt;="&amp;N38,'Master Log'!DV:DV,$M$27)+COUNTIFS('Master Log'!A:A,"&gt;="&amp;N37,'Master Log'!A:A,"&lt;="&amp;N38,'Master Log'!EA:EA,$M$27)+COUNTIFS('Master Log'!A:A,"&gt;="&amp;N37,'Master Log'!A:A,"&lt;="&amp;N38,'Master Log'!EF:EF,$M$27)+COUNTIFS('Master Log'!A:A,"&gt;="&amp;N37,'Master Log'!A:A,"&lt;="&amp;N38,'Master Log'!EK:EK,$M$27)+COUNTIFS('Master Log'!A:A,"&gt;="&amp;N37,'Master Log'!A:A,"&lt;="&amp;N38,'Master Log'!EP:EP,$M$27)+COUNTIFS('Master Log'!A:A,"&gt;="&amp;N37,'Master Log'!A:A,"&lt;="&amp;N38,'Master Log'!EU:EU,$M$27),"")</f>
        <v>0</v>
      </c>
      <c r="Q37" s="135">
        <f t="shared" ca="1" si="3"/>
        <v>0</v>
      </c>
    </row>
    <row r="38" spans="2:17">
      <c r="B38" s="131" t="s">
        <v>170</v>
      </c>
      <c r="C38" s="128">
        <f>IF(B38&lt;&gt;"",SUMIFS('Master Log'!$BV$2:$BV$9838,'Master Log'!$A$2:$A$9838,"&gt;="&amp;$C$24,'Master Log'!$A$2:$A$9838,"&lt;="&amp;$C$25)+SUMIFS('Master Log'!$BZ$2:$BZ$9838,'Master Log'!$A$2:$A$9838,"&gt;="&amp;$C$24,'Master Log'!$A$2:$A$9838,"&lt;="&amp;$C$25)+SUMIFS('Master Log'!$CD$2:$CD$9838,'Master Log'!$A$2:$A$9838,"&gt;="&amp;$C$24,'Master Log'!$A$2:$A$9838,"&lt;="&amp;$C$25)+SUMIFS('Master Log'!$CH$2:$CH$9838,'Master Log'!$A$2:$A$9838,"&gt;="&amp;$C$24,'Master Log'!$A$2:$A$9838,"&lt;="&amp;$C$25),"")</f>
        <v>0</v>
      </c>
      <c r="D38" s="130">
        <f>COUNTIFS('Master Log'!A:A,"&gt;="&amp;$C$24,'Master Log'!A:A,"&lt;="&amp;$C$25,'Master Log'!BV:BV,"&gt;0")+COUNTIFS('Master Log'!A:A,"&gt;="&amp;$C$24,'Master Log'!A:A,"&lt;="&amp;$C$25,'Master Log'!BZ:BZ,"&gt;0")</f>
        <v>0</v>
      </c>
      <c r="E38" s="135">
        <f t="shared" si="2"/>
        <v>0</v>
      </c>
      <c r="G38" s="139">
        <f ca="1">DATE(YEAR(TODAY()),MONTH(TODAY()),1)</f>
        <v>44470</v>
      </c>
      <c r="H38" s="129" t="e">
        <f ca="1">IF($G$25=1,'Monthly Chart Data'!D14,'Monthly Chart Data'!Q14)</f>
        <v>#N/A</v>
      </c>
      <c r="I38" s="129" t="e">
        <f ca="1">'Monthly Chart Data'!H14</f>
        <v>#N/A</v>
      </c>
      <c r="J38" s="129" t="e">
        <f ca="1">'Monthly Chart Data'!L14</f>
        <v>#N/A</v>
      </c>
      <c r="K38" s="129" t="e">
        <f t="shared" ca="1" si="1"/>
        <v>#N/A</v>
      </c>
      <c r="M38" s="136"/>
      <c r="N38" s="138">
        <f ca="1">DATE(YEAR(TODAY()),MONTH(TODAY()),1)</f>
        <v>44470</v>
      </c>
      <c r="O38" s="128">
        <f ca="1">SUMIFS('Master Log'!$CS$2:$CS$9838,'Master Log'!$A$2:$A$9838,"&gt;="&amp;N38,'Master Log'!$A$2:$A$9838,"&lt;="&amp;N39,'Master Log'!$CR$2:$CR$9838,$M$27)+SUMIFS('Master Log'!$CX$2:$CX$9838,'Master Log'!$A$2:$A$9838,"&gt;="&amp;N38,'Master Log'!$A$2:$A$9838,"&lt;="&amp;N39,'Master Log'!$CW$2:$CW$9838,$M$27)+SUMIFS('Master Log'!$DC$2:$DC$9838,'Master Log'!$A$2:$A$9838,"&gt;="&amp;N38,'Master Log'!$A$2:$A$9838,"&lt;="&amp;N39,'Master Log'!$DB$2:$DB$9838,$M$27)+SUMIFS('Master Log'!$DH$2:$DH$9838,'Master Log'!$A$2:$A$9838,"&gt;="&amp;N38,'Master Log'!$A$2:$A$9838,"&lt;="&amp;N39,'Master Log'!$DG$2:$DG$9838,$M$27)+SUMIFS('Master Log'!$DM$2:$DM$9838,'Master Log'!$A$2:$A$9838,"&gt;="&amp;N38,'Master Log'!$A$2:$A$9838,"&lt;="&amp;N39,'Master Log'!$DL$2:$DL$9838,$M$27)+SUMIFS('Master Log'!$DR$2:$DR$9838,'Master Log'!$A$2:$A$9838,"&gt;="&amp;N38,'Master Log'!$A$2:$A$9838,"&lt;="&amp;N39,'Master Log'!$DQ$2:$DQ$9838,$M$27)+SUMIFS('Master Log'!$DW$2:$DW$9838,'Master Log'!$A$2:$A$9838,"&gt;="&amp;N38,'Master Log'!$A$2:$A$9838,"&lt;="&amp;N39,'Master Log'!$DV$2:$DV$9838,$M$27)+SUMIFS('Master Log'!$EB$2:$EB$9838,'Master Log'!$A$2:$A$9838,"&gt;="&amp;N38,'Master Log'!$A$2:$A$9838,"&lt;="&amp;N39,'Master Log'!$EA$2:$EA$9838,$M$27)+SUMIFS('Master Log'!$EG$2:$EG$9838,'Master Log'!$A$2:$A$9838,"&gt;="&amp;N38,'Master Log'!$A$2:$A$9838,"&lt;="&amp;N39,'Master Log'!$EF$2:$EF$9838,$M$27)+SUMIFS('Master Log'!$EL$2:$EL$9838,'Master Log'!$A$2:$A$9838,"&gt;="&amp;N38,'Master Log'!$A$2:$A$9838,"&lt;="&amp;N39,'Master Log'!$EK$2:$EK$9838,$M$27)+SUMIFS('Master Log'!$EQ$2:$EQ$9838,'Master Log'!$A$2:$A$9838,"&gt;="&amp;N38,'Master Log'!$A$2:$A$9838,"&lt;="&amp;N39,'Master Log'!$EP$2:$EP$9838,$M$27)+SUMIFS('Master Log'!$EV$2:$EV$9838,'Master Log'!$A$2:$A$9838,"&gt;="&amp;N38,'Master Log'!$A$2:$A$9838,"&lt;="&amp;N39,'Master Log'!$EU$2:$EU$9838,$M$27)</f>
        <v>0</v>
      </c>
      <c r="P38" s="167">
        <f ca="1">IF($M$27&lt;&gt;"",COUNTIFS('Master Log'!A:A,"&gt;="&amp;N38,'Master Log'!A:A,"&lt;="&amp;N39,'Master Log'!CR:CR,$M$27)+COUNTIFS('Master Log'!A:A,"&gt;="&amp;N38,'Master Log'!A:A,"&lt;="&amp;N39,'Master Log'!CW:CW,$M$27)+COUNTIFS('Master Log'!A:A,"&gt;="&amp;N38,'Master Log'!A:A,"&lt;="&amp;N39,'Master Log'!DB:DB,$M$27)+COUNTIFS('Master Log'!A:A,"&gt;="&amp;N38,'Master Log'!A:A,"&lt;="&amp;N39,'Master Log'!DG:DG,$M$27)+COUNTIFS('Master Log'!A:A,"&gt;="&amp;N38,'Master Log'!A:A,"&lt;="&amp;N39,'Master Log'!DL:DL,$M$27)+COUNTIFS('Master Log'!A:A,"&gt;="&amp;N38,'Master Log'!A:A,"&lt;="&amp;N39,'Master Log'!DQ:DQ,$M$27)+COUNTIFS('Master Log'!A:A,"&gt;="&amp;N38,'Master Log'!A:A,"&lt;="&amp;N39,'Master Log'!DV:DV,$M$27)+COUNTIFS('Master Log'!A:A,"&gt;="&amp;N38,'Master Log'!A:A,"&lt;="&amp;N39,'Master Log'!EA:EA,$M$27)+COUNTIFS('Master Log'!A:A,"&gt;="&amp;N38,'Master Log'!A:A,"&lt;="&amp;N39,'Master Log'!EF:EF,$M$27)+COUNTIFS('Master Log'!A:A,"&gt;="&amp;N38,'Master Log'!A:A,"&lt;="&amp;N39,'Master Log'!EK:EK,$M$27)+COUNTIFS('Master Log'!A:A,"&gt;="&amp;N38,'Master Log'!A:A,"&lt;="&amp;N39,'Master Log'!EP:EP,$M$27)+COUNTIFS('Master Log'!A:A,"&gt;="&amp;N38,'Master Log'!A:A,"&lt;="&amp;N39,'Master Log'!EU:EU,$M$27),"")</f>
        <v>0</v>
      </c>
      <c r="Q38" s="135">
        <f t="shared" ca="1" si="3"/>
        <v>0</v>
      </c>
    </row>
    <row r="39" spans="2:17">
      <c r="B39" s="127" t="str">
        <f>IF('Setup Sheet'!A20&lt;&gt;"",'Setup Sheet'!A20,"")</f>
        <v>Case_Erector_(Equipment)</v>
      </c>
      <c r="C39" s="128">
        <f>SUMIFS('Master Log'!$CS$2:$CS$9839,'Master Log'!$A$2:$A$9839,"&gt;="&amp;$C$24,'Master Log'!$A$2:$A$9839,"&lt;="&amp;$C$25,'Master Log'!$CR$2:$CR$9839,B39)+SUMIFS('Master Log'!$CX$2:$CX$9839,'Master Log'!$A$2:$A$9839,"&gt;="&amp;$C$24,'Master Log'!$A$2:$A$9839,"&lt;="&amp;$C$25,'Master Log'!$CW$2:$CW$9839,B39)+SUMIFS('Master Log'!$DC$2:$DC$9839,'Master Log'!$A$2:$A$9839,"&gt;="&amp;$C$24,'Master Log'!$A$2:$A$9839,"&lt;="&amp;$C$25,'Master Log'!$DB$2:$DB$9839,B39)+SUMIFS('Master Log'!$DH$2:$DH$9839,'Master Log'!$A$2:$A$9839,"&gt;="&amp;$C$24,'Master Log'!$A$2:$A$9839,"&lt;="&amp;$C$25,'Master Log'!$DG$2:$DG$9839,B39)+SUMIFS('Master Log'!$DM$2:$DM$9839,'Master Log'!$A$2:$A$9839,"&gt;="&amp;$C$24,'Master Log'!$A$2:$A$9839,"&lt;="&amp;$C$25,'Master Log'!$DL$2:$DL$9839,B39)+SUMIFS('Master Log'!$DR$2:$DR$9839,'Master Log'!$A$2:$A$9839,"&gt;="&amp;$C$24,'Master Log'!$A$2:$A$9839,"&lt;="&amp;$C$25,'Master Log'!$DQ$2:$DQ$9839,B39)+SUMIFS('Master Log'!$DW$2:$DW$9839,'Master Log'!$A$2:$A$9839,"&gt;="&amp;$C$24,'Master Log'!$A$2:$A$9839,"&lt;="&amp;$C$25,'Master Log'!$DV$2:$DV$9839,B39)+SUMIFS('Master Log'!$EB$2:$EB$9839,'Master Log'!$A$2:$A$9839,"&gt;="&amp;$C$24,'Master Log'!$A$2:$A$9839,"&lt;="&amp;$C$25,'Master Log'!$EA$2:$EA$9839,B39)+SUMIFS('Master Log'!$EG$2:$EG$9839,'Master Log'!$A$2:$A$9839,"&gt;="&amp;$C$24,'Master Log'!$A$2:$A$9839,"&lt;="&amp;$C$25,'Master Log'!$EF$2:$EF$9839,B39)+SUMIFS('Master Log'!$EL$2:$EL$9839,'Master Log'!$A$2:$A$9839,"&gt;="&amp;$C$24,'Master Log'!$A$2:$A$9839,"&lt;="&amp;$C$25,'Master Log'!$EK$2:$EK$9839,B39)+SUMIFS('Master Log'!$EQ$2:$EQ$9839,'Master Log'!$A$2:$A$9839,"&gt;="&amp;$C$24,'Master Log'!$A$2:$A$9839,"&lt;="&amp;$C$25,'Master Log'!$EP$2:$EP$9839,B39)+SUMIFS('Master Log'!$EV$2:$EV$9839,'Master Log'!$A$2:$A$9839,"&gt;="&amp;$C$24,'Master Log'!$A$2:$A$9839,"&lt;="&amp;$C$25,'Master Log'!$EU$2:$EU$9839,B39)</f>
        <v>0</v>
      </c>
      <c r="D39" s="130">
        <f>IF(B39&lt;&gt;"",COUNTIFS('Master Log'!A:A,"&gt;="&amp;$C$24,'Master Log'!A:A,"&lt;="&amp;$C$25,'Master Log'!CR:CR,B39)+COUNTIFS('Master Log'!A:A,"&gt;="&amp;$C$24,'Master Log'!A:A,"&lt;="&amp;$C$25,'Master Log'!CW:CW,B39)+COUNTIFS('Master Log'!A:A,"&gt;="&amp;$C$24,'Master Log'!A:A,"&lt;="&amp;$C$25,'Master Log'!DB:DB,B39)+COUNTIFS('Master Log'!A:A,"&gt;="&amp;$C$24,'Master Log'!A:A,"&lt;="&amp;$C$25,'Master Log'!DG:DG,B39)+COUNTIFS('Master Log'!A:A,"&gt;="&amp;$C$24,'Master Log'!A:A,"&lt;="&amp;$C$25,'Master Log'!DL:DL,B39)+COUNTIFS('Master Log'!A:A,"&gt;="&amp;$C$24,'Master Log'!A:A,"&lt;="&amp;$C$25,'Master Log'!DQ:DQ,B39)+COUNTIFS('Master Log'!A:A,"&gt;="&amp;$C$24,'Master Log'!A:A,"&lt;="&amp;$C$25,'Master Log'!DV:DV,B39)+COUNTIFS('Master Log'!A:A,"&gt;="&amp;$C$24,'Master Log'!A:A,"&lt;="&amp;$C$25,'Master Log'!EA:EA,B39)+COUNTIFS('Master Log'!A:A,"&gt;="&amp;$C$24,'Master Log'!A:A,"&lt;="&amp;$C$25,'Master Log'!EF:EF,B39)+COUNTIFS('Master Log'!A:A,"&gt;="&amp;$C$24,'Master Log'!A:A,"&lt;="&amp;$C$25,'Master Log'!EK:EK,B39)+COUNTIFS('Master Log'!A:A,"&gt;="&amp;$C$24,'Master Log'!A:A,"&lt;="&amp;$C$25,'Master Log'!EP:EP,B39)+COUNTIFS('Master Log'!A:A,"&gt;="&amp;$C$24,'Master Log'!A:A,"&lt;="&amp;$C$25,'Master Log'!EU:EU,B39),"")</f>
        <v>0</v>
      </c>
      <c r="E39" s="135">
        <f t="shared" si="2"/>
        <v>0</v>
      </c>
      <c r="N39" s="183">
        <v>43800</v>
      </c>
    </row>
    <row r="40" spans="2:17">
      <c r="B40" s="127" t="str">
        <f>IF('Setup Sheet'!A26&lt;&gt;"",'Setup Sheet'!A26,"")</f>
        <v>Conveyor_(Equipment)</v>
      </c>
      <c r="C40" s="128">
        <f>SUMIFS('Master Log'!$CS$2:$CS$9839,'Master Log'!$A$2:$A$9839,"&gt;="&amp;$C$24,'Master Log'!$A$2:$A$9839,"&lt;="&amp;$C$25,'Master Log'!$CR$2:$CR$9839,B40)+SUMIFS('Master Log'!$CX$2:$CX$9839,'Master Log'!$A$2:$A$9839,"&gt;="&amp;$C$24,'Master Log'!$A$2:$A$9839,"&lt;="&amp;$C$25,'Master Log'!$CW$2:$CW$9839,B40)+SUMIFS('Master Log'!$DC$2:$DC$9839,'Master Log'!$A$2:$A$9839,"&gt;="&amp;$C$24,'Master Log'!$A$2:$A$9839,"&lt;="&amp;$C$25,'Master Log'!$DB$2:$DB$9839,B40)+SUMIFS('Master Log'!$DH$2:$DH$9839,'Master Log'!$A$2:$A$9839,"&gt;="&amp;$C$24,'Master Log'!$A$2:$A$9839,"&lt;="&amp;$C$25,'Master Log'!$DG$2:$DG$9839,B40)+SUMIFS('Master Log'!$DM$2:$DM$9839,'Master Log'!$A$2:$A$9839,"&gt;="&amp;$C$24,'Master Log'!$A$2:$A$9839,"&lt;="&amp;$C$25,'Master Log'!$DL$2:$DL$9839,B40)+SUMIFS('Master Log'!$DR$2:$DR$9839,'Master Log'!$A$2:$A$9839,"&gt;="&amp;$C$24,'Master Log'!$A$2:$A$9839,"&lt;="&amp;$C$25,'Master Log'!$DQ$2:$DQ$9839,B40)+SUMIFS('Master Log'!$DW$2:$DW$9839,'Master Log'!$A$2:$A$9839,"&gt;="&amp;$C$24,'Master Log'!$A$2:$A$9839,"&lt;="&amp;$C$25,'Master Log'!$DV$2:$DV$9839,B40)+SUMIFS('Master Log'!$EB$2:$EB$9839,'Master Log'!$A$2:$A$9839,"&gt;="&amp;$C$24,'Master Log'!$A$2:$A$9839,"&lt;="&amp;$C$25,'Master Log'!$EA$2:$EA$9839,B40)+SUMIFS('Master Log'!$EG$2:$EG$9839,'Master Log'!$A$2:$A$9839,"&gt;="&amp;$C$24,'Master Log'!$A$2:$A$9839,"&lt;="&amp;$C$25,'Master Log'!$EF$2:$EF$9839,B40)+SUMIFS('Master Log'!$EL$2:$EL$9839,'Master Log'!$A$2:$A$9839,"&gt;="&amp;$C$24,'Master Log'!$A$2:$A$9839,"&lt;="&amp;$C$25,'Master Log'!$EK$2:$EK$9839,B40)+SUMIFS('Master Log'!$EQ$2:$EQ$9839,'Master Log'!$A$2:$A$9839,"&gt;="&amp;$C$24,'Master Log'!$A$2:$A$9839,"&lt;="&amp;$C$25,'Master Log'!$EP$2:$EP$9839,B40)+SUMIFS('Master Log'!$EV$2:$EV$9839,'Master Log'!$A$2:$A$9839,"&gt;="&amp;$C$24,'Master Log'!$A$2:$A$9839,"&lt;="&amp;$C$25,'Master Log'!$EU$2:$EU$9839,B40)</f>
        <v>0</v>
      </c>
      <c r="D40" s="130">
        <f>IF(B40&lt;&gt;"",COUNTIFS('Master Log'!A:A,"&gt;="&amp;$C$24,'Master Log'!A:A,"&lt;="&amp;$C$25,'Master Log'!CR:CR,B40)+COUNTIFS('Master Log'!A:A,"&gt;="&amp;$C$24,'Master Log'!A:A,"&lt;="&amp;$C$25,'Master Log'!CW:CW,B40)+COUNTIFS('Master Log'!A:A,"&gt;="&amp;$C$24,'Master Log'!A:A,"&lt;="&amp;$C$25,'Master Log'!DB:DB,B40)+COUNTIFS('Master Log'!A:A,"&gt;="&amp;$C$24,'Master Log'!A:A,"&lt;="&amp;$C$25,'Master Log'!DG:DG,B40)+COUNTIFS('Master Log'!A:A,"&gt;="&amp;$C$24,'Master Log'!A:A,"&lt;="&amp;$C$25,'Master Log'!DL:DL,B40)+COUNTIFS('Master Log'!A:A,"&gt;="&amp;$C$24,'Master Log'!A:A,"&lt;="&amp;$C$25,'Master Log'!DQ:DQ,B40)+COUNTIFS('Master Log'!A:A,"&gt;="&amp;$C$24,'Master Log'!A:A,"&lt;="&amp;$C$25,'Master Log'!DV:DV,B40)+COUNTIFS('Master Log'!A:A,"&gt;="&amp;$C$24,'Master Log'!A:A,"&lt;="&amp;$C$25,'Master Log'!EA:EA,B40)+COUNTIFS('Master Log'!A:A,"&gt;="&amp;$C$24,'Master Log'!A:A,"&lt;="&amp;$C$25,'Master Log'!EF:EF,B40)+COUNTIFS('Master Log'!A:A,"&gt;="&amp;$C$24,'Master Log'!A:A,"&lt;="&amp;$C$25,'Master Log'!EK:EK,B40)+COUNTIFS('Master Log'!A:A,"&gt;="&amp;$C$24,'Master Log'!A:A,"&lt;="&amp;$C$25,'Master Log'!EP:EP,B40)+COUNTIFS('Master Log'!A:A,"&gt;="&amp;$C$24,'Master Log'!A:A,"&lt;="&amp;$C$25,'Master Log'!EU:EU,B40),"")</f>
        <v>0</v>
      </c>
      <c r="E40" s="135">
        <f t="shared" si="2"/>
        <v>0</v>
      </c>
    </row>
    <row r="41" spans="2:17">
      <c r="B41" s="127" t="str">
        <f>IF('Setup Sheet'!A9&lt;&gt;"",'Setup Sheet'!A9,"")</f>
        <v>Bottle_Labeler_(Operating_Discipline)</v>
      </c>
      <c r="C41" s="128">
        <f>SUMIFS('Master Log'!$CS$2:$CS$9839,'Master Log'!$A$2:$A$9839,"&gt;="&amp;$C$24,'Master Log'!$A$2:$A$9839,"&lt;="&amp;$C$25,'Master Log'!$CR$2:$CR$9839,B41)+SUMIFS('Master Log'!$CX$2:$CX$9839,'Master Log'!$A$2:$A$9839,"&gt;="&amp;$C$24,'Master Log'!$A$2:$A$9839,"&lt;="&amp;$C$25,'Master Log'!$CW$2:$CW$9839,B41)+SUMIFS('Master Log'!$DC$2:$DC$9839,'Master Log'!$A$2:$A$9839,"&gt;="&amp;$C$24,'Master Log'!$A$2:$A$9839,"&lt;="&amp;$C$25,'Master Log'!$DB$2:$DB$9839,B41)+SUMIFS('Master Log'!$DH$2:$DH$9839,'Master Log'!$A$2:$A$9839,"&gt;="&amp;$C$24,'Master Log'!$A$2:$A$9839,"&lt;="&amp;$C$25,'Master Log'!$DG$2:$DG$9839,B41)+SUMIFS('Master Log'!$DM$2:$DM$9839,'Master Log'!$A$2:$A$9839,"&gt;="&amp;$C$24,'Master Log'!$A$2:$A$9839,"&lt;="&amp;$C$25,'Master Log'!$DL$2:$DL$9839,B41)+SUMIFS('Master Log'!$DR$2:$DR$9839,'Master Log'!$A$2:$A$9839,"&gt;="&amp;$C$24,'Master Log'!$A$2:$A$9839,"&lt;="&amp;$C$25,'Master Log'!$DQ$2:$DQ$9839,B41)+SUMIFS('Master Log'!$DW$2:$DW$9839,'Master Log'!$A$2:$A$9839,"&gt;="&amp;$C$24,'Master Log'!$A$2:$A$9839,"&lt;="&amp;$C$25,'Master Log'!$DV$2:$DV$9839,B41)+SUMIFS('Master Log'!$EB$2:$EB$9839,'Master Log'!$A$2:$A$9839,"&gt;="&amp;$C$24,'Master Log'!$A$2:$A$9839,"&lt;="&amp;$C$25,'Master Log'!$EA$2:$EA$9839,B41)+SUMIFS('Master Log'!$EG$2:$EG$9839,'Master Log'!$A$2:$A$9839,"&gt;="&amp;$C$24,'Master Log'!$A$2:$A$9839,"&lt;="&amp;$C$25,'Master Log'!$EF$2:$EF$9839,B41)+SUMIFS('Master Log'!$EL$2:$EL$9839,'Master Log'!$A$2:$A$9839,"&gt;="&amp;$C$24,'Master Log'!$A$2:$A$9839,"&lt;="&amp;$C$25,'Master Log'!$EK$2:$EK$9839,B41)+SUMIFS('Master Log'!$EQ$2:$EQ$9839,'Master Log'!$A$2:$A$9839,"&gt;="&amp;$C$24,'Master Log'!$A$2:$A$9839,"&lt;="&amp;$C$25,'Master Log'!$EP$2:$EP$9839,B41)+SUMIFS('Master Log'!$EV$2:$EV$9839,'Master Log'!$A$2:$A$9839,"&gt;="&amp;$C$24,'Master Log'!$A$2:$A$9839,"&lt;="&amp;$C$25,'Master Log'!$EU$2:$EU$9839,B41)</f>
        <v>0</v>
      </c>
      <c r="D41" s="130">
        <f>IF(B41&lt;&gt;"",COUNTIFS('Master Log'!A:A,"&gt;="&amp;$C$24,'Master Log'!A:A,"&lt;="&amp;$C$25,'Master Log'!CR:CR,B41)+COUNTIFS('Master Log'!A:A,"&gt;="&amp;$C$24,'Master Log'!A:A,"&lt;="&amp;$C$25,'Master Log'!CW:CW,B41)+COUNTIFS('Master Log'!A:A,"&gt;="&amp;$C$24,'Master Log'!A:A,"&lt;="&amp;$C$25,'Master Log'!DB:DB,B41)+COUNTIFS('Master Log'!A:A,"&gt;="&amp;$C$24,'Master Log'!A:A,"&lt;="&amp;$C$25,'Master Log'!DG:DG,B41)+COUNTIFS('Master Log'!A:A,"&gt;="&amp;$C$24,'Master Log'!A:A,"&lt;="&amp;$C$25,'Master Log'!DL:DL,B41)+COUNTIFS('Master Log'!A:A,"&gt;="&amp;$C$24,'Master Log'!A:A,"&lt;="&amp;$C$25,'Master Log'!DQ:DQ,B41)+COUNTIFS('Master Log'!A:A,"&gt;="&amp;$C$24,'Master Log'!A:A,"&lt;="&amp;$C$25,'Master Log'!DV:DV,B41)+COUNTIFS('Master Log'!A:A,"&gt;="&amp;$C$24,'Master Log'!A:A,"&lt;="&amp;$C$25,'Master Log'!EA:EA,B41)+COUNTIFS('Master Log'!A:A,"&gt;="&amp;$C$24,'Master Log'!A:A,"&lt;="&amp;$C$25,'Master Log'!EF:EF,B41)+COUNTIFS('Master Log'!A:A,"&gt;="&amp;$C$24,'Master Log'!A:A,"&lt;="&amp;$C$25,'Master Log'!EK:EK,B41)+COUNTIFS('Master Log'!A:A,"&gt;="&amp;$C$24,'Master Log'!A:A,"&lt;="&amp;$C$25,'Master Log'!EP:EP,B41)+COUNTIFS('Master Log'!A:A,"&gt;="&amp;$C$24,'Master Log'!A:A,"&lt;="&amp;$C$25,'Master Log'!EU:EU,B41),"")</f>
        <v>0</v>
      </c>
      <c r="E41" s="135">
        <f t="shared" si="2"/>
        <v>0</v>
      </c>
    </row>
    <row r="42" spans="2:17">
      <c r="B42" s="127" t="str">
        <f>IF('Setup Sheet'!A8&lt;&gt;"",'Setup Sheet'!A8,"")</f>
        <v>Bottle_Labeler_(Equipment)</v>
      </c>
      <c r="C42" s="128">
        <f>SUMIFS('Master Log'!$CS$2:$CS$9839,'Master Log'!$A$2:$A$9839,"&gt;="&amp;$C$24,'Master Log'!$A$2:$A$9839,"&lt;="&amp;$C$25,'Master Log'!$CR$2:$CR$9839,B42)+SUMIFS('Master Log'!$CX$2:$CX$9839,'Master Log'!$A$2:$A$9839,"&gt;="&amp;$C$24,'Master Log'!$A$2:$A$9839,"&lt;="&amp;$C$25,'Master Log'!$CW$2:$CW$9839,B42)+SUMIFS('Master Log'!$DC$2:$DC$9839,'Master Log'!$A$2:$A$9839,"&gt;="&amp;$C$24,'Master Log'!$A$2:$A$9839,"&lt;="&amp;$C$25,'Master Log'!$DB$2:$DB$9839,B42)+SUMIFS('Master Log'!$DH$2:$DH$9839,'Master Log'!$A$2:$A$9839,"&gt;="&amp;$C$24,'Master Log'!$A$2:$A$9839,"&lt;="&amp;$C$25,'Master Log'!$DG$2:$DG$9839,B42)+SUMIFS('Master Log'!$DM$2:$DM$9839,'Master Log'!$A$2:$A$9839,"&gt;="&amp;$C$24,'Master Log'!$A$2:$A$9839,"&lt;="&amp;$C$25,'Master Log'!$DL$2:$DL$9839,B42)+SUMIFS('Master Log'!$DR$2:$DR$9839,'Master Log'!$A$2:$A$9839,"&gt;="&amp;$C$24,'Master Log'!$A$2:$A$9839,"&lt;="&amp;$C$25,'Master Log'!$DQ$2:$DQ$9839,B42)+SUMIFS('Master Log'!$DW$2:$DW$9839,'Master Log'!$A$2:$A$9839,"&gt;="&amp;$C$24,'Master Log'!$A$2:$A$9839,"&lt;="&amp;$C$25,'Master Log'!$DV$2:$DV$9839,B42)+SUMIFS('Master Log'!$EB$2:$EB$9839,'Master Log'!$A$2:$A$9839,"&gt;="&amp;$C$24,'Master Log'!$A$2:$A$9839,"&lt;="&amp;$C$25,'Master Log'!$EA$2:$EA$9839,B42)+SUMIFS('Master Log'!$EG$2:$EG$9839,'Master Log'!$A$2:$A$9839,"&gt;="&amp;$C$24,'Master Log'!$A$2:$A$9839,"&lt;="&amp;$C$25,'Master Log'!$EF$2:$EF$9839,B42)+SUMIFS('Master Log'!$EL$2:$EL$9839,'Master Log'!$A$2:$A$9839,"&gt;="&amp;$C$24,'Master Log'!$A$2:$A$9839,"&lt;="&amp;$C$25,'Master Log'!$EK$2:$EK$9839,B42)+SUMIFS('Master Log'!$EQ$2:$EQ$9839,'Master Log'!$A$2:$A$9839,"&gt;="&amp;$C$24,'Master Log'!$A$2:$A$9839,"&lt;="&amp;$C$25,'Master Log'!$EP$2:$EP$9839,B42)+SUMIFS('Master Log'!$EV$2:$EV$9839,'Master Log'!$A$2:$A$9839,"&gt;="&amp;$C$24,'Master Log'!$A$2:$A$9839,"&lt;="&amp;$C$25,'Master Log'!$EU$2:$EU$9839,B42)</f>
        <v>0</v>
      </c>
      <c r="D42" s="130">
        <f>IF(B42&lt;&gt;"",COUNTIFS('Master Log'!A:A,"&gt;="&amp;$C$24,'Master Log'!A:A,"&lt;="&amp;$C$25,'Master Log'!CR:CR,B42)+COUNTIFS('Master Log'!A:A,"&gt;="&amp;$C$24,'Master Log'!A:A,"&lt;="&amp;$C$25,'Master Log'!CW:CW,B42)+COUNTIFS('Master Log'!A:A,"&gt;="&amp;$C$24,'Master Log'!A:A,"&lt;="&amp;$C$25,'Master Log'!DB:DB,B42)+COUNTIFS('Master Log'!A:A,"&gt;="&amp;$C$24,'Master Log'!A:A,"&lt;="&amp;$C$25,'Master Log'!DG:DG,B42)+COUNTIFS('Master Log'!A:A,"&gt;="&amp;$C$24,'Master Log'!A:A,"&lt;="&amp;$C$25,'Master Log'!DL:DL,B42)+COUNTIFS('Master Log'!A:A,"&gt;="&amp;$C$24,'Master Log'!A:A,"&lt;="&amp;$C$25,'Master Log'!DQ:DQ,B42)+COUNTIFS('Master Log'!A:A,"&gt;="&amp;$C$24,'Master Log'!A:A,"&lt;="&amp;$C$25,'Master Log'!DV:DV,B42)+COUNTIFS('Master Log'!A:A,"&gt;="&amp;$C$24,'Master Log'!A:A,"&lt;="&amp;$C$25,'Master Log'!EA:EA,B42)+COUNTIFS('Master Log'!A:A,"&gt;="&amp;$C$24,'Master Log'!A:A,"&lt;="&amp;$C$25,'Master Log'!EF:EF,B42)+COUNTIFS('Master Log'!A:A,"&gt;="&amp;$C$24,'Master Log'!A:A,"&lt;="&amp;$C$25,'Master Log'!EK:EK,B42)+COUNTIFS('Master Log'!A:A,"&gt;="&amp;$C$24,'Master Log'!A:A,"&lt;="&amp;$C$25,'Master Log'!EP:EP,B42)+COUNTIFS('Master Log'!A:A,"&gt;="&amp;$C$24,'Master Log'!A:A,"&lt;="&amp;$C$25,'Master Log'!EU:EU,B42),"")</f>
        <v>0</v>
      </c>
      <c r="E42" s="135">
        <f t="shared" si="2"/>
        <v>0</v>
      </c>
    </row>
    <row r="43" spans="2:17">
      <c r="B43" s="127" t="str">
        <f>IF('Setup Sheet'!A12&lt;&gt;"",'Setup Sheet'!A12,"")</f>
        <v>Bottle_Printer_(Operating_Discipline)</v>
      </c>
      <c r="C43" s="128">
        <f>SUMIFS('Master Log'!$CS$2:$CS$9839,'Master Log'!$A$2:$A$9839,"&gt;="&amp;$C$24,'Master Log'!$A$2:$A$9839,"&lt;="&amp;$C$25,'Master Log'!$CR$2:$CR$9839,B43)+SUMIFS('Master Log'!$CX$2:$CX$9839,'Master Log'!$A$2:$A$9839,"&gt;="&amp;$C$24,'Master Log'!$A$2:$A$9839,"&lt;="&amp;$C$25,'Master Log'!$CW$2:$CW$9839,B43)+SUMIFS('Master Log'!$DC$2:$DC$9839,'Master Log'!$A$2:$A$9839,"&gt;="&amp;$C$24,'Master Log'!$A$2:$A$9839,"&lt;="&amp;$C$25,'Master Log'!$DB$2:$DB$9839,B43)+SUMIFS('Master Log'!$DH$2:$DH$9839,'Master Log'!$A$2:$A$9839,"&gt;="&amp;$C$24,'Master Log'!$A$2:$A$9839,"&lt;="&amp;$C$25,'Master Log'!$DG$2:$DG$9839,B43)+SUMIFS('Master Log'!$DM$2:$DM$9839,'Master Log'!$A$2:$A$9839,"&gt;="&amp;$C$24,'Master Log'!$A$2:$A$9839,"&lt;="&amp;$C$25,'Master Log'!$DL$2:$DL$9839,B43)+SUMIFS('Master Log'!$DR$2:$DR$9839,'Master Log'!$A$2:$A$9839,"&gt;="&amp;$C$24,'Master Log'!$A$2:$A$9839,"&lt;="&amp;$C$25,'Master Log'!$DQ$2:$DQ$9839,B43)+SUMIFS('Master Log'!$DW$2:$DW$9839,'Master Log'!$A$2:$A$9839,"&gt;="&amp;$C$24,'Master Log'!$A$2:$A$9839,"&lt;="&amp;$C$25,'Master Log'!$DV$2:$DV$9839,B43)+SUMIFS('Master Log'!$EB$2:$EB$9839,'Master Log'!$A$2:$A$9839,"&gt;="&amp;$C$24,'Master Log'!$A$2:$A$9839,"&lt;="&amp;$C$25,'Master Log'!$EA$2:$EA$9839,B43)+SUMIFS('Master Log'!$EG$2:$EG$9839,'Master Log'!$A$2:$A$9839,"&gt;="&amp;$C$24,'Master Log'!$A$2:$A$9839,"&lt;="&amp;$C$25,'Master Log'!$EF$2:$EF$9839,B43)+SUMIFS('Master Log'!$EL$2:$EL$9839,'Master Log'!$A$2:$A$9839,"&gt;="&amp;$C$24,'Master Log'!$A$2:$A$9839,"&lt;="&amp;$C$25,'Master Log'!$EK$2:$EK$9839,B43)+SUMIFS('Master Log'!$EQ$2:$EQ$9839,'Master Log'!$A$2:$A$9839,"&gt;="&amp;$C$24,'Master Log'!$A$2:$A$9839,"&lt;="&amp;$C$25,'Master Log'!$EP$2:$EP$9839,B43)+SUMIFS('Master Log'!$EV$2:$EV$9839,'Master Log'!$A$2:$A$9839,"&gt;="&amp;$C$24,'Master Log'!$A$2:$A$9839,"&lt;="&amp;$C$25,'Master Log'!$EU$2:$EU$9839,B43)</f>
        <v>0</v>
      </c>
      <c r="D43" s="130">
        <f>IF(B43&lt;&gt;"",COUNTIFS('Master Log'!A:A,"&gt;="&amp;$C$24,'Master Log'!A:A,"&lt;="&amp;$C$25,'Master Log'!CR:CR,B43)+COUNTIFS('Master Log'!A:A,"&gt;="&amp;$C$24,'Master Log'!A:A,"&lt;="&amp;$C$25,'Master Log'!CW:CW,B43)+COUNTIFS('Master Log'!A:A,"&gt;="&amp;$C$24,'Master Log'!A:A,"&lt;="&amp;$C$25,'Master Log'!DB:DB,B43)+COUNTIFS('Master Log'!A:A,"&gt;="&amp;$C$24,'Master Log'!A:A,"&lt;="&amp;$C$25,'Master Log'!DG:DG,B43)+COUNTIFS('Master Log'!A:A,"&gt;="&amp;$C$24,'Master Log'!A:A,"&lt;="&amp;$C$25,'Master Log'!DL:DL,B43)+COUNTIFS('Master Log'!A:A,"&gt;="&amp;$C$24,'Master Log'!A:A,"&lt;="&amp;$C$25,'Master Log'!DQ:DQ,B43)+COUNTIFS('Master Log'!A:A,"&gt;="&amp;$C$24,'Master Log'!A:A,"&lt;="&amp;$C$25,'Master Log'!DV:DV,B43)+COUNTIFS('Master Log'!A:A,"&gt;="&amp;$C$24,'Master Log'!A:A,"&lt;="&amp;$C$25,'Master Log'!EA:EA,B43)+COUNTIFS('Master Log'!A:A,"&gt;="&amp;$C$24,'Master Log'!A:A,"&lt;="&amp;$C$25,'Master Log'!EF:EF,B43)+COUNTIFS('Master Log'!A:A,"&gt;="&amp;$C$24,'Master Log'!A:A,"&lt;="&amp;$C$25,'Master Log'!EK:EK,B43)+COUNTIFS('Master Log'!A:A,"&gt;="&amp;$C$24,'Master Log'!A:A,"&lt;="&amp;$C$25,'Master Log'!EP:EP,B43)+COUNTIFS('Master Log'!A:A,"&gt;="&amp;$C$24,'Master Log'!A:A,"&lt;="&amp;$C$25,'Master Log'!EU:EU,B43),"")</f>
        <v>0</v>
      </c>
      <c r="E43" s="135">
        <f t="shared" si="2"/>
        <v>0</v>
      </c>
    </row>
    <row r="44" spans="2:17">
      <c r="B44" s="127" t="str">
        <f>IF('Setup Sheet'!A14&lt;&gt;"",'Setup Sheet'!A14,"")</f>
        <v>Box_Printer_(Equipment)</v>
      </c>
      <c r="C44" s="128">
        <f>SUMIFS('Master Log'!$CS$2:$CS$9839,'Master Log'!$A$2:$A$9839,"&gt;="&amp;$C$24,'Master Log'!$A$2:$A$9839,"&lt;="&amp;$C$25,'Master Log'!$CR$2:$CR$9839,B44)+SUMIFS('Master Log'!$CX$2:$CX$9839,'Master Log'!$A$2:$A$9839,"&gt;="&amp;$C$24,'Master Log'!$A$2:$A$9839,"&lt;="&amp;$C$25,'Master Log'!$CW$2:$CW$9839,B44)+SUMIFS('Master Log'!$DC$2:$DC$9839,'Master Log'!$A$2:$A$9839,"&gt;="&amp;$C$24,'Master Log'!$A$2:$A$9839,"&lt;="&amp;$C$25,'Master Log'!$DB$2:$DB$9839,B44)+SUMIFS('Master Log'!$DH$2:$DH$9839,'Master Log'!$A$2:$A$9839,"&gt;="&amp;$C$24,'Master Log'!$A$2:$A$9839,"&lt;="&amp;$C$25,'Master Log'!$DG$2:$DG$9839,B44)+SUMIFS('Master Log'!$DM$2:$DM$9839,'Master Log'!$A$2:$A$9839,"&gt;="&amp;$C$24,'Master Log'!$A$2:$A$9839,"&lt;="&amp;$C$25,'Master Log'!$DL$2:$DL$9839,B44)+SUMIFS('Master Log'!$DR$2:$DR$9839,'Master Log'!$A$2:$A$9839,"&gt;="&amp;$C$24,'Master Log'!$A$2:$A$9839,"&lt;="&amp;$C$25,'Master Log'!$DQ$2:$DQ$9839,B44)+SUMIFS('Master Log'!$DW$2:$DW$9839,'Master Log'!$A$2:$A$9839,"&gt;="&amp;$C$24,'Master Log'!$A$2:$A$9839,"&lt;="&amp;$C$25,'Master Log'!$DV$2:$DV$9839,B44)+SUMIFS('Master Log'!$EB$2:$EB$9839,'Master Log'!$A$2:$A$9839,"&gt;="&amp;$C$24,'Master Log'!$A$2:$A$9839,"&lt;="&amp;$C$25,'Master Log'!$EA$2:$EA$9839,B44)+SUMIFS('Master Log'!$EG$2:$EG$9839,'Master Log'!$A$2:$A$9839,"&gt;="&amp;$C$24,'Master Log'!$A$2:$A$9839,"&lt;="&amp;$C$25,'Master Log'!$EF$2:$EF$9839,B44)+SUMIFS('Master Log'!$EL$2:$EL$9839,'Master Log'!$A$2:$A$9839,"&gt;="&amp;$C$24,'Master Log'!$A$2:$A$9839,"&lt;="&amp;$C$25,'Master Log'!$EK$2:$EK$9839,B44)+SUMIFS('Master Log'!$EQ$2:$EQ$9839,'Master Log'!$A$2:$A$9839,"&gt;="&amp;$C$24,'Master Log'!$A$2:$A$9839,"&lt;="&amp;$C$25,'Master Log'!$EP$2:$EP$9839,B44)+SUMIFS('Master Log'!$EV$2:$EV$9839,'Master Log'!$A$2:$A$9839,"&gt;="&amp;$C$24,'Master Log'!$A$2:$A$9839,"&lt;="&amp;$C$25,'Master Log'!$EU$2:$EU$9839,B44)</f>
        <v>0</v>
      </c>
      <c r="D44" s="130">
        <f>IF(B44&lt;&gt;"",COUNTIFS('Master Log'!A:A,"&gt;="&amp;$C$24,'Master Log'!A:A,"&lt;="&amp;$C$25,'Master Log'!CR:CR,B44)+COUNTIFS('Master Log'!A:A,"&gt;="&amp;$C$24,'Master Log'!A:A,"&lt;="&amp;$C$25,'Master Log'!CW:CW,B44)+COUNTIFS('Master Log'!A:A,"&gt;="&amp;$C$24,'Master Log'!A:A,"&lt;="&amp;$C$25,'Master Log'!DB:DB,B44)+COUNTIFS('Master Log'!A:A,"&gt;="&amp;$C$24,'Master Log'!A:A,"&lt;="&amp;$C$25,'Master Log'!DG:DG,B44)+COUNTIFS('Master Log'!A:A,"&gt;="&amp;$C$24,'Master Log'!A:A,"&lt;="&amp;$C$25,'Master Log'!DL:DL,B44)+COUNTIFS('Master Log'!A:A,"&gt;="&amp;$C$24,'Master Log'!A:A,"&lt;="&amp;$C$25,'Master Log'!DQ:DQ,B44)+COUNTIFS('Master Log'!A:A,"&gt;="&amp;$C$24,'Master Log'!A:A,"&lt;="&amp;$C$25,'Master Log'!DV:DV,B44)+COUNTIFS('Master Log'!A:A,"&gt;="&amp;$C$24,'Master Log'!A:A,"&lt;="&amp;$C$25,'Master Log'!EA:EA,B44)+COUNTIFS('Master Log'!A:A,"&gt;="&amp;$C$24,'Master Log'!A:A,"&lt;="&amp;$C$25,'Master Log'!EF:EF,B44)+COUNTIFS('Master Log'!A:A,"&gt;="&amp;$C$24,'Master Log'!A:A,"&lt;="&amp;$C$25,'Master Log'!EK:EK,B44)+COUNTIFS('Master Log'!A:A,"&gt;="&amp;$C$24,'Master Log'!A:A,"&lt;="&amp;$C$25,'Master Log'!EP:EP,B44)+COUNTIFS('Master Log'!A:A,"&gt;="&amp;$C$24,'Master Log'!A:A,"&lt;="&amp;$C$25,'Master Log'!EU:EU,B44),"")</f>
        <v>0</v>
      </c>
      <c r="E44" s="135">
        <f t="shared" si="2"/>
        <v>0</v>
      </c>
    </row>
    <row r="45" spans="2:17">
      <c r="B45" s="127" t="str">
        <f>IF('Setup Sheet'!A15&lt;&gt;"",'Setup Sheet'!A15,"")</f>
        <v>Box_Printer_(Operating Discipline)</v>
      </c>
      <c r="C45" s="128">
        <f>SUMIFS('Master Log'!$CS$2:$CS$9839,'Master Log'!$A$2:$A$9839,"&gt;="&amp;$C$24,'Master Log'!$A$2:$A$9839,"&lt;="&amp;$C$25,'Master Log'!$CR$2:$CR$9839,B45)+SUMIFS('Master Log'!$CX$2:$CX$9839,'Master Log'!$A$2:$A$9839,"&gt;="&amp;$C$24,'Master Log'!$A$2:$A$9839,"&lt;="&amp;$C$25,'Master Log'!$CW$2:$CW$9839,B45)+SUMIFS('Master Log'!$DC$2:$DC$9839,'Master Log'!$A$2:$A$9839,"&gt;="&amp;$C$24,'Master Log'!$A$2:$A$9839,"&lt;="&amp;$C$25,'Master Log'!$DB$2:$DB$9839,B45)+SUMIFS('Master Log'!$DH$2:$DH$9839,'Master Log'!$A$2:$A$9839,"&gt;="&amp;$C$24,'Master Log'!$A$2:$A$9839,"&lt;="&amp;$C$25,'Master Log'!$DG$2:$DG$9839,B45)+SUMIFS('Master Log'!$DM$2:$DM$9839,'Master Log'!$A$2:$A$9839,"&gt;="&amp;$C$24,'Master Log'!$A$2:$A$9839,"&lt;="&amp;$C$25,'Master Log'!$DL$2:$DL$9839,B45)+SUMIFS('Master Log'!$DR$2:$DR$9839,'Master Log'!$A$2:$A$9839,"&gt;="&amp;$C$24,'Master Log'!$A$2:$A$9839,"&lt;="&amp;$C$25,'Master Log'!$DQ$2:$DQ$9839,B45)+SUMIFS('Master Log'!$DW$2:$DW$9839,'Master Log'!$A$2:$A$9839,"&gt;="&amp;$C$24,'Master Log'!$A$2:$A$9839,"&lt;="&amp;$C$25,'Master Log'!$DV$2:$DV$9839,B45)+SUMIFS('Master Log'!$EB$2:$EB$9839,'Master Log'!$A$2:$A$9839,"&gt;="&amp;$C$24,'Master Log'!$A$2:$A$9839,"&lt;="&amp;$C$25,'Master Log'!$EA$2:$EA$9839,B45)+SUMIFS('Master Log'!$EG$2:$EG$9839,'Master Log'!$A$2:$A$9839,"&gt;="&amp;$C$24,'Master Log'!$A$2:$A$9839,"&lt;="&amp;$C$25,'Master Log'!$EF$2:$EF$9839,B45)+SUMIFS('Master Log'!$EL$2:$EL$9839,'Master Log'!$A$2:$A$9839,"&gt;="&amp;$C$24,'Master Log'!$A$2:$A$9839,"&lt;="&amp;$C$25,'Master Log'!$EK$2:$EK$9839,B45)+SUMIFS('Master Log'!$EQ$2:$EQ$9839,'Master Log'!$A$2:$A$9839,"&gt;="&amp;$C$24,'Master Log'!$A$2:$A$9839,"&lt;="&amp;$C$25,'Master Log'!$EP$2:$EP$9839,B45)+SUMIFS('Master Log'!$EV$2:$EV$9839,'Master Log'!$A$2:$A$9839,"&gt;="&amp;$C$24,'Master Log'!$A$2:$A$9839,"&lt;="&amp;$C$25,'Master Log'!$EU$2:$EU$9839,B45)</f>
        <v>0</v>
      </c>
      <c r="D45" s="130">
        <f>IF(B45&lt;&gt;"",COUNTIFS('Master Log'!A:A,"&gt;="&amp;$C$24,'Master Log'!A:A,"&lt;="&amp;$C$25,'Master Log'!CR:CR,B45)+COUNTIFS('Master Log'!A:A,"&gt;="&amp;$C$24,'Master Log'!A:A,"&lt;="&amp;$C$25,'Master Log'!CW:CW,B45)+COUNTIFS('Master Log'!A:A,"&gt;="&amp;$C$24,'Master Log'!A:A,"&lt;="&amp;$C$25,'Master Log'!DB:DB,B45)+COUNTIFS('Master Log'!A:A,"&gt;="&amp;$C$24,'Master Log'!A:A,"&lt;="&amp;$C$25,'Master Log'!DG:DG,B45)+COUNTIFS('Master Log'!A:A,"&gt;="&amp;$C$24,'Master Log'!A:A,"&lt;="&amp;$C$25,'Master Log'!DL:DL,B45)+COUNTIFS('Master Log'!A:A,"&gt;="&amp;$C$24,'Master Log'!A:A,"&lt;="&amp;$C$25,'Master Log'!DQ:DQ,B45)+COUNTIFS('Master Log'!A:A,"&gt;="&amp;$C$24,'Master Log'!A:A,"&lt;="&amp;$C$25,'Master Log'!DV:DV,B45)+COUNTIFS('Master Log'!A:A,"&gt;="&amp;$C$24,'Master Log'!A:A,"&lt;="&amp;$C$25,'Master Log'!EA:EA,B45)+COUNTIFS('Master Log'!A:A,"&gt;="&amp;$C$24,'Master Log'!A:A,"&lt;="&amp;$C$25,'Master Log'!EF:EF,B45)+COUNTIFS('Master Log'!A:A,"&gt;="&amp;$C$24,'Master Log'!A:A,"&lt;="&amp;$C$25,'Master Log'!EK:EK,B45)+COUNTIFS('Master Log'!A:A,"&gt;="&amp;$C$24,'Master Log'!A:A,"&lt;="&amp;$C$25,'Master Log'!EP:EP,B45)+COUNTIFS('Master Log'!A:A,"&gt;="&amp;$C$24,'Master Log'!A:A,"&lt;="&amp;$C$25,'Master Log'!EU:EU,B45),"")</f>
        <v>0</v>
      </c>
      <c r="E45" s="135">
        <f t="shared" si="2"/>
        <v>0</v>
      </c>
    </row>
    <row r="46" spans="2:17">
      <c r="B46" s="127" t="str">
        <f>IF('Setup Sheet'!A16&lt;&gt;"",'Setup Sheet'!A16,"")</f>
        <v>Box_Printer_(Other)</v>
      </c>
      <c r="C46" s="128">
        <f>SUMIFS('Master Log'!$CS$2:$CS$9839,'Master Log'!$A$2:$A$9839,"&gt;="&amp;$C$24,'Master Log'!$A$2:$A$9839,"&lt;="&amp;$C$25,'Master Log'!$CR$2:$CR$9839,B46)+SUMIFS('Master Log'!$CX$2:$CX$9839,'Master Log'!$A$2:$A$9839,"&gt;="&amp;$C$24,'Master Log'!$A$2:$A$9839,"&lt;="&amp;$C$25,'Master Log'!$CW$2:$CW$9839,B46)+SUMIFS('Master Log'!$DC$2:$DC$9839,'Master Log'!$A$2:$A$9839,"&gt;="&amp;$C$24,'Master Log'!$A$2:$A$9839,"&lt;="&amp;$C$25,'Master Log'!$DB$2:$DB$9839,B46)+SUMIFS('Master Log'!$DH$2:$DH$9839,'Master Log'!$A$2:$A$9839,"&gt;="&amp;$C$24,'Master Log'!$A$2:$A$9839,"&lt;="&amp;$C$25,'Master Log'!$DG$2:$DG$9839,B46)+SUMIFS('Master Log'!$DM$2:$DM$9839,'Master Log'!$A$2:$A$9839,"&gt;="&amp;$C$24,'Master Log'!$A$2:$A$9839,"&lt;="&amp;$C$25,'Master Log'!$DL$2:$DL$9839,B46)+SUMIFS('Master Log'!$DR$2:$DR$9839,'Master Log'!$A$2:$A$9839,"&gt;="&amp;$C$24,'Master Log'!$A$2:$A$9839,"&lt;="&amp;$C$25,'Master Log'!$DQ$2:$DQ$9839,B46)+SUMIFS('Master Log'!$DW$2:$DW$9839,'Master Log'!$A$2:$A$9839,"&gt;="&amp;$C$24,'Master Log'!$A$2:$A$9839,"&lt;="&amp;$C$25,'Master Log'!$DV$2:$DV$9839,B46)+SUMIFS('Master Log'!$EB$2:$EB$9839,'Master Log'!$A$2:$A$9839,"&gt;="&amp;$C$24,'Master Log'!$A$2:$A$9839,"&lt;="&amp;$C$25,'Master Log'!$EA$2:$EA$9839,B46)+SUMIFS('Master Log'!$EG$2:$EG$9839,'Master Log'!$A$2:$A$9839,"&gt;="&amp;$C$24,'Master Log'!$A$2:$A$9839,"&lt;="&amp;$C$25,'Master Log'!$EF$2:$EF$9839,B46)+SUMIFS('Master Log'!$EL$2:$EL$9839,'Master Log'!$A$2:$A$9839,"&gt;="&amp;$C$24,'Master Log'!$A$2:$A$9839,"&lt;="&amp;$C$25,'Master Log'!$EK$2:$EK$9839,B46)+SUMIFS('Master Log'!$EQ$2:$EQ$9839,'Master Log'!$A$2:$A$9839,"&gt;="&amp;$C$24,'Master Log'!$A$2:$A$9839,"&lt;="&amp;$C$25,'Master Log'!$EP$2:$EP$9839,B46)+SUMIFS('Master Log'!$EV$2:$EV$9839,'Master Log'!$A$2:$A$9839,"&gt;="&amp;$C$24,'Master Log'!$A$2:$A$9839,"&lt;="&amp;$C$25,'Master Log'!$EU$2:$EU$9839,B46)</f>
        <v>0</v>
      </c>
      <c r="D46" s="130">
        <f>IF(B46&lt;&gt;"",COUNTIFS('Master Log'!A:A,"&gt;="&amp;$C$24,'Master Log'!A:A,"&lt;="&amp;$C$25,'Master Log'!CR:CR,B46)+COUNTIFS('Master Log'!A:A,"&gt;="&amp;$C$24,'Master Log'!A:A,"&lt;="&amp;$C$25,'Master Log'!CW:CW,B46)+COUNTIFS('Master Log'!A:A,"&gt;="&amp;$C$24,'Master Log'!A:A,"&lt;="&amp;$C$25,'Master Log'!DB:DB,B46)+COUNTIFS('Master Log'!A:A,"&gt;="&amp;$C$24,'Master Log'!A:A,"&lt;="&amp;$C$25,'Master Log'!DG:DG,B46)+COUNTIFS('Master Log'!A:A,"&gt;="&amp;$C$24,'Master Log'!A:A,"&lt;="&amp;$C$25,'Master Log'!DL:DL,B46)+COUNTIFS('Master Log'!A:A,"&gt;="&amp;$C$24,'Master Log'!A:A,"&lt;="&amp;$C$25,'Master Log'!DQ:DQ,B46)+COUNTIFS('Master Log'!A:A,"&gt;="&amp;$C$24,'Master Log'!A:A,"&lt;="&amp;$C$25,'Master Log'!DV:DV,B46)+COUNTIFS('Master Log'!A:A,"&gt;="&amp;$C$24,'Master Log'!A:A,"&lt;="&amp;$C$25,'Master Log'!EA:EA,B46)+COUNTIFS('Master Log'!A:A,"&gt;="&amp;$C$24,'Master Log'!A:A,"&lt;="&amp;$C$25,'Master Log'!EF:EF,B46)+COUNTIFS('Master Log'!A:A,"&gt;="&amp;$C$24,'Master Log'!A:A,"&lt;="&amp;$C$25,'Master Log'!EK:EK,B46)+COUNTIFS('Master Log'!A:A,"&gt;="&amp;$C$24,'Master Log'!A:A,"&lt;="&amp;$C$25,'Master Log'!EP:EP,B46)+COUNTIFS('Master Log'!A:A,"&gt;="&amp;$C$24,'Master Log'!A:A,"&lt;="&amp;$C$25,'Master Log'!EU:EU,B46),"")</f>
        <v>0</v>
      </c>
      <c r="E46" s="135">
        <f t="shared" si="2"/>
        <v>0</v>
      </c>
    </row>
    <row r="47" spans="2:17">
      <c r="B47" s="127" t="str">
        <f>IF('Setup Sheet'!A17&lt;&gt;"",'Setup Sheet'!A17,"")</f>
        <v>Case_Checkweigher_(Equipment)</v>
      </c>
      <c r="C47" s="128">
        <f>SUMIFS('Master Log'!$CS$2:$CS$9839,'Master Log'!$A$2:$A$9839,"&gt;="&amp;$C$24,'Master Log'!$A$2:$A$9839,"&lt;="&amp;$C$25,'Master Log'!$CR$2:$CR$9839,B47)+SUMIFS('Master Log'!$CX$2:$CX$9839,'Master Log'!$A$2:$A$9839,"&gt;="&amp;$C$24,'Master Log'!$A$2:$A$9839,"&lt;="&amp;$C$25,'Master Log'!$CW$2:$CW$9839,B47)+SUMIFS('Master Log'!$DC$2:$DC$9839,'Master Log'!$A$2:$A$9839,"&gt;="&amp;$C$24,'Master Log'!$A$2:$A$9839,"&lt;="&amp;$C$25,'Master Log'!$DB$2:$DB$9839,B47)+SUMIFS('Master Log'!$DH$2:$DH$9839,'Master Log'!$A$2:$A$9839,"&gt;="&amp;$C$24,'Master Log'!$A$2:$A$9839,"&lt;="&amp;$C$25,'Master Log'!$DG$2:$DG$9839,B47)+SUMIFS('Master Log'!$DM$2:$DM$9839,'Master Log'!$A$2:$A$9839,"&gt;="&amp;$C$24,'Master Log'!$A$2:$A$9839,"&lt;="&amp;$C$25,'Master Log'!$DL$2:$DL$9839,B47)+SUMIFS('Master Log'!$DR$2:$DR$9839,'Master Log'!$A$2:$A$9839,"&gt;="&amp;$C$24,'Master Log'!$A$2:$A$9839,"&lt;="&amp;$C$25,'Master Log'!$DQ$2:$DQ$9839,B47)+SUMIFS('Master Log'!$DW$2:$DW$9839,'Master Log'!$A$2:$A$9839,"&gt;="&amp;$C$24,'Master Log'!$A$2:$A$9839,"&lt;="&amp;$C$25,'Master Log'!$DV$2:$DV$9839,B47)+SUMIFS('Master Log'!$EB$2:$EB$9839,'Master Log'!$A$2:$A$9839,"&gt;="&amp;$C$24,'Master Log'!$A$2:$A$9839,"&lt;="&amp;$C$25,'Master Log'!$EA$2:$EA$9839,B47)+SUMIFS('Master Log'!$EG$2:$EG$9839,'Master Log'!$A$2:$A$9839,"&gt;="&amp;$C$24,'Master Log'!$A$2:$A$9839,"&lt;="&amp;$C$25,'Master Log'!$EF$2:$EF$9839,B47)+SUMIFS('Master Log'!$EL$2:$EL$9839,'Master Log'!$A$2:$A$9839,"&gt;="&amp;$C$24,'Master Log'!$A$2:$A$9839,"&lt;="&amp;$C$25,'Master Log'!$EK$2:$EK$9839,B47)+SUMIFS('Master Log'!$EQ$2:$EQ$9839,'Master Log'!$A$2:$A$9839,"&gt;="&amp;$C$24,'Master Log'!$A$2:$A$9839,"&lt;="&amp;$C$25,'Master Log'!$EP$2:$EP$9839,B47)+SUMIFS('Master Log'!$EV$2:$EV$9839,'Master Log'!$A$2:$A$9839,"&gt;="&amp;$C$24,'Master Log'!$A$2:$A$9839,"&lt;="&amp;$C$25,'Master Log'!$EU$2:$EU$9839,B47)</f>
        <v>0</v>
      </c>
      <c r="D47" s="130">
        <f>IF(B47&lt;&gt;"",COUNTIFS('Master Log'!A:A,"&gt;="&amp;$C$24,'Master Log'!A:A,"&lt;="&amp;$C$25,'Master Log'!CR:CR,B47)+COUNTIFS('Master Log'!A:A,"&gt;="&amp;$C$24,'Master Log'!A:A,"&lt;="&amp;$C$25,'Master Log'!CW:CW,B47)+COUNTIFS('Master Log'!A:A,"&gt;="&amp;$C$24,'Master Log'!A:A,"&lt;="&amp;$C$25,'Master Log'!DB:DB,B47)+COUNTIFS('Master Log'!A:A,"&gt;="&amp;$C$24,'Master Log'!A:A,"&lt;="&amp;$C$25,'Master Log'!DG:DG,B47)+COUNTIFS('Master Log'!A:A,"&gt;="&amp;$C$24,'Master Log'!A:A,"&lt;="&amp;$C$25,'Master Log'!DL:DL,B47)+COUNTIFS('Master Log'!A:A,"&gt;="&amp;$C$24,'Master Log'!A:A,"&lt;="&amp;$C$25,'Master Log'!DQ:DQ,B47)+COUNTIFS('Master Log'!A:A,"&gt;="&amp;$C$24,'Master Log'!A:A,"&lt;="&amp;$C$25,'Master Log'!DV:DV,B47)+COUNTIFS('Master Log'!A:A,"&gt;="&amp;$C$24,'Master Log'!A:A,"&lt;="&amp;$C$25,'Master Log'!EA:EA,B47)+COUNTIFS('Master Log'!A:A,"&gt;="&amp;$C$24,'Master Log'!A:A,"&lt;="&amp;$C$25,'Master Log'!EF:EF,B47)+COUNTIFS('Master Log'!A:A,"&gt;="&amp;$C$24,'Master Log'!A:A,"&lt;="&amp;$C$25,'Master Log'!EK:EK,B47)+COUNTIFS('Master Log'!A:A,"&gt;="&amp;$C$24,'Master Log'!A:A,"&lt;="&amp;$C$25,'Master Log'!EP:EP,B47)+COUNTIFS('Master Log'!A:A,"&gt;="&amp;$C$24,'Master Log'!A:A,"&lt;="&amp;$C$25,'Master Log'!EU:EU,B47),"")</f>
        <v>0</v>
      </c>
      <c r="E47" s="135">
        <f t="shared" si="2"/>
        <v>0</v>
      </c>
    </row>
    <row r="48" spans="2:17">
      <c r="B48" s="127" t="str">
        <f>IF('Setup Sheet'!A18&lt;&gt;"",'Setup Sheet'!A18,"")</f>
        <v>Case_Checkweigher_(Operating_Discipline)</v>
      </c>
      <c r="C48" s="128">
        <f>SUMIFS('Master Log'!$CS$2:$CS$9839,'Master Log'!$A$2:$A$9839,"&gt;="&amp;$C$24,'Master Log'!$A$2:$A$9839,"&lt;="&amp;$C$25,'Master Log'!$CR$2:$CR$9839,B48)+SUMIFS('Master Log'!$CX$2:$CX$9839,'Master Log'!$A$2:$A$9839,"&gt;="&amp;$C$24,'Master Log'!$A$2:$A$9839,"&lt;="&amp;$C$25,'Master Log'!$CW$2:$CW$9839,B48)+SUMIFS('Master Log'!$DC$2:$DC$9839,'Master Log'!$A$2:$A$9839,"&gt;="&amp;$C$24,'Master Log'!$A$2:$A$9839,"&lt;="&amp;$C$25,'Master Log'!$DB$2:$DB$9839,B48)+SUMIFS('Master Log'!$DH$2:$DH$9839,'Master Log'!$A$2:$A$9839,"&gt;="&amp;$C$24,'Master Log'!$A$2:$A$9839,"&lt;="&amp;$C$25,'Master Log'!$DG$2:$DG$9839,B48)+SUMIFS('Master Log'!$DM$2:$DM$9839,'Master Log'!$A$2:$A$9839,"&gt;="&amp;$C$24,'Master Log'!$A$2:$A$9839,"&lt;="&amp;$C$25,'Master Log'!$DL$2:$DL$9839,B48)+SUMIFS('Master Log'!$DR$2:$DR$9839,'Master Log'!$A$2:$A$9839,"&gt;="&amp;$C$24,'Master Log'!$A$2:$A$9839,"&lt;="&amp;$C$25,'Master Log'!$DQ$2:$DQ$9839,B48)+SUMIFS('Master Log'!$DW$2:$DW$9839,'Master Log'!$A$2:$A$9839,"&gt;="&amp;$C$24,'Master Log'!$A$2:$A$9839,"&lt;="&amp;$C$25,'Master Log'!$DV$2:$DV$9839,B48)+SUMIFS('Master Log'!$EB$2:$EB$9839,'Master Log'!$A$2:$A$9839,"&gt;="&amp;$C$24,'Master Log'!$A$2:$A$9839,"&lt;="&amp;$C$25,'Master Log'!$EA$2:$EA$9839,B48)+SUMIFS('Master Log'!$EG$2:$EG$9839,'Master Log'!$A$2:$A$9839,"&gt;="&amp;$C$24,'Master Log'!$A$2:$A$9839,"&lt;="&amp;$C$25,'Master Log'!$EF$2:$EF$9839,B48)+SUMIFS('Master Log'!$EL$2:$EL$9839,'Master Log'!$A$2:$A$9839,"&gt;="&amp;$C$24,'Master Log'!$A$2:$A$9839,"&lt;="&amp;$C$25,'Master Log'!$EK$2:$EK$9839,B48)+SUMIFS('Master Log'!$EQ$2:$EQ$9839,'Master Log'!$A$2:$A$9839,"&gt;="&amp;$C$24,'Master Log'!$A$2:$A$9839,"&lt;="&amp;$C$25,'Master Log'!$EP$2:$EP$9839,B48)+SUMIFS('Master Log'!$EV$2:$EV$9839,'Master Log'!$A$2:$A$9839,"&gt;="&amp;$C$24,'Master Log'!$A$2:$A$9839,"&lt;="&amp;$C$25,'Master Log'!$EU$2:$EU$9839,B48)</f>
        <v>0</v>
      </c>
      <c r="D48" s="130">
        <f>IF(B48&lt;&gt;"",COUNTIFS('Master Log'!A:A,"&gt;="&amp;$C$24,'Master Log'!A:A,"&lt;="&amp;$C$25,'Master Log'!CR:CR,B48)+COUNTIFS('Master Log'!A:A,"&gt;="&amp;$C$24,'Master Log'!A:A,"&lt;="&amp;$C$25,'Master Log'!CW:CW,B48)+COUNTIFS('Master Log'!A:A,"&gt;="&amp;$C$24,'Master Log'!A:A,"&lt;="&amp;$C$25,'Master Log'!DB:DB,B48)+COUNTIFS('Master Log'!A:A,"&gt;="&amp;$C$24,'Master Log'!A:A,"&lt;="&amp;$C$25,'Master Log'!DG:DG,B48)+COUNTIFS('Master Log'!A:A,"&gt;="&amp;$C$24,'Master Log'!A:A,"&lt;="&amp;$C$25,'Master Log'!DL:DL,B48)+COUNTIFS('Master Log'!A:A,"&gt;="&amp;$C$24,'Master Log'!A:A,"&lt;="&amp;$C$25,'Master Log'!DQ:DQ,B48)+COUNTIFS('Master Log'!A:A,"&gt;="&amp;$C$24,'Master Log'!A:A,"&lt;="&amp;$C$25,'Master Log'!DV:DV,B48)+COUNTIFS('Master Log'!A:A,"&gt;="&amp;$C$24,'Master Log'!A:A,"&lt;="&amp;$C$25,'Master Log'!EA:EA,B48)+COUNTIFS('Master Log'!A:A,"&gt;="&amp;$C$24,'Master Log'!A:A,"&lt;="&amp;$C$25,'Master Log'!EF:EF,B48)+COUNTIFS('Master Log'!A:A,"&gt;="&amp;$C$24,'Master Log'!A:A,"&lt;="&amp;$C$25,'Master Log'!EK:EK,B48)+COUNTIFS('Master Log'!A:A,"&gt;="&amp;$C$24,'Master Log'!A:A,"&lt;="&amp;$C$25,'Master Log'!EP:EP,B48)+COUNTIFS('Master Log'!A:A,"&gt;="&amp;$C$24,'Master Log'!A:A,"&lt;="&amp;$C$25,'Master Log'!EU:EU,B48),"")</f>
        <v>0</v>
      </c>
      <c r="E48" s="135">
        <f t="shared" si="2"/>
        <v>0</v>
      </c>
    </row>
    <row r="49" spans="2:5">
      <c r="B49" s="127" t="str">
        <f>IF('Setup Sheet'!A19&lt;&gt;"",'Setup Sheet'!A19,"")</f>
        <v>Case_Checkweigher_(Other)</v>
      </c>
      <c r="C49" s="128">
        <f>SUMIFS('Master Log'!$CS$2:$CS$9839,'Master Log'!$A$2:$A$9839,"&gt;="&amp;$C$24,'Master Log'!$A$2:$A$9839,"&lt;="&amp;$C$25,'Master Log'!$CR$2:$CR$9839,B49)+SUMIFS('Master Log'!$CX$2:$CX$9839,'Master Log'!$A$2:$A$9839,"&gt;="&amp;$C$24,'Master Log'!$A$2:$A$9839,"&lt;="&amp;$C$25,'Master Log'!$CW$2:$CW$9839,B49)+SUMIFS('Master Log'!$DC$2:$DC$9839,'Master Log'!$A$2:$A$9839,"&gt;="&amp;$C$24,'Master Log'!$A$2:$A$9839,"&lt;="&amp;$C$25,'Master Log'!$DB$2:$DB$9839,B49)+SUMIFS('Master Log'!$DH$2:$DH$9839,'Master Log'!$A$2:$A$9839,"&gt;="&amp;$C$24,'Master Log'!$A$2:$A$9839,"&lt;="&amp;$C$25,'Master Log'!$DG$2:$DG$9839,B49)+SUMIFS('Master Log'!$DM$2:$DM$9839,'Master Log'!$A$2:$A$9839,"&gt;="&amp;$C$24,'Master Log'!$A$2:$A$9839,"&lt;="&amp;$C$25,'Master Log'!$DL$2:$DL$9839,B49)+SUMIFS('Master Log'!$DR$2:$DR$9839,'Master Log'!$A$2:$A$9839,"&gt;="&amp;$C$24,'Master Log'!$A$2:$A$9839,"&lt;="&amp;$C$25,'Master Log'!$DQ$2:$DQ$9839,B49)+SUMIFS('Master Log'!$DW$2:$DW$9839,'Master Log'!$A$2:$A$9839,"&gt;="&amp;$C$24,'Master Log'!$A$2:$A$9839,"&lt;="&amp;$C$25,'Master Log'!$DV$2:$DV$9839,B49)+SUMIFS('Master Log'!$EB$2:$EB$9839,'Master Log'!$A$2:$A$9839,"&gt;="&amp;$C$24,'Master Log'!$A$2:$A$9839,"&lt;="&amp;$C$25,'Master Log'!$EA$2:$EA$9839,B49)+SUMIFS('Master Log'!$EG$2:$EG$9839,'Master Log'!$A$2:$A$9839,"&gt;="&amp;$C$24,'Master Log'!$A$2:$A$9839,"&lt;="&amp;$C$25,'Master Log'!$EF$2:$EF$9839,B49)+SUMIFS('Master Log'!$EL$2:$EL$9839,'Master Log'!$A$2:$A$9839,"&gt;="&amp;$C$24,'Master Log'!$A$2:$A$9839,"&lt;="&amp;$C$25,'Master Log'!$EK$2:$EK$9839,B49)+SUMIFS('Master Log'!$EQ$2:$EQ$9839,'Master Log'!$A$2:$A$9839,"&gt;="&amp;$C$24,'Master Log'!$A$2:$A$9839,"&lt;="&amp;$C$25,'Master Log'!$EP$2:$EP$9839,B49)+SUMIFS('Master Log'!$EV$2:$EV$9839,'Master Log'!$A$2:$A$9839,"&gt;="&amp;$C$24,'Master Log'!$A$2:$A$9839,"&lt;="&amp;$C$25,'Master Log'!$EU$2:$EU$9839,B49)</f>
        <v>0</v>
      </c>
      <c r="D49" s="130">
        <f>IF(B49&lt;&gt;"",COUNTIFS('Master Log'!A:A,"&gt;="&amp;$C$24,'Master Log'!A:A,"&lt;="&amp;$C$25,'Master Log'!CR:CR,B49)+COUNTIFS('Master Log'!A:A,"&gt;="&amp;$C$24,'Master Log'!A:A,"&lt;="&amp;$C$25,'Master Log'!CW:CW,B49)+COUNTIFS('Master Log'!A:A,"&gt;="&amp;$C$24,'Master Log'!A:A,"&lt;="&amp;$C$25,'Master Log'!DB:DB,B49)+COUNTIFS('Master Log'!A:A,"&gt;="&amp;$C$24,'Master Log'!A:A,"&lt;="&amp;$C$25,'Master Log'!DG:DG,B49)+COUNTIFS('Master Log'!A:A,"&gt;="&amp;$C$24,'Master Log'!A:A,"&lt;="&amp;$C$25,'Master Log'!DL:DL,B49)+COUNTIFS('Master Log'!A:A,"&gt;="&amp;$C$24,'Master Log'!A:A,"&lt;="&amp;$C$25,'Master Log'!DQ:DQ,B49)+COUNTIFS('Master Log'!A:A,"&gt;="&amp;$C$24,'Master Log'!A:A,"&lt;="&amp;$C$25,'Master Log'!DV:DV,B49)+COUNTIFS('Master Log'!A:A,"&gt;="&amp;$C$24,'Master Log'!A:A,"&lt;="&amp;$C$25,'Master Log'!EA:EA,B49)+COUNTIFS('Master Log'!A:A,"&gt;="&amp;$C$24,'Master Log'!A:A,"&lt;="&amp;$C$25,'Master Log'!EF:EF,B49)+COUNTIFS('Master Log'!A:A,"&gt;="&amp;$C$24,'Master Log'!A:A,"&lt;="&amp;$C$25,'Master Log'!EK:EK,B49)+COUNTIFS('Master Log'!A:A,"&gt;="&amp;$C$24,'Master Log'!A:A,"&lt;="&amp;$C$25,'Master Log'!EP:EP,B49)+COUNTIFS('Master Log'!A:A,"&gt;="&amp;$C$24,'Master Log'!A:A,"&lt;="&amp;$C$25,'Master Log'!EU:EU,B49),"")</f>
        <v>0</v>
      </c>
      <c r="E49" s="135">
        <f t="shared" si="2"/>
        <v>0</v>
      </c>
    </row>
    <row r="50" spans="2:5">
      <c r="B50" s="127" t="str">
        <f>IF('Setup Sheet'!A21&lt;&gt;"",'Setup Sheet'!A21,"")</f>
        <v>Case_Erector_(Operating_Discipline)</v>
      </c>
      <c r="C50" s="128">
        <f>SUMIFS('Master Log'!$CS$2:$CS$9839,'Master Log'!$A$2:$A$9839,"&gt;="&amp;$C$24,'Master Log'!$A$2:$A$9839,"&lt;="&amp;$C$25,'Master Log'!$CR$2:$CR$9839,B50)+SUMIFS('Master Log'!$CX$2:$CX$9839,'Master Log'!$A$2:$A$9839,"&gt;="&amp;$C$24,'Master Log'!$A$2:$A$9839,"&lt;="&amp;$C$25,'Master Log'!$CW$2:$CW$9839,B50)+SUMIFS('Master Log'!$DC$2:$DC$9839,'Master Log'!$A$2:$A$9839,"&gt;="&amp;$C$24,'Master Log'!$A$2:$A$9839,"&lt;="&amp;$C$25,'Master Log'!$DB$2:$DB$9839,B50)+SUMIFS('Master Log'!$DH$2:$DH$9839,'Master Log'!$A$2:$A$9839,"&gt;="&amp;$C$24,'Master Log'!$A$2:$A$9839,"&lt;="&amp;$C$25,'Master Log'!$DG$2:$DG$9839,B50)+SUMIFS('Master Log'!$DM$2:$DM$9839,'Master Log'!$A$2:$A$9839,"&gt;="&amp;$C$24,'Master Log'!$A$2:$A$9839,"&lt;="&amp;$C$25,'Master Log'!$DL$2:$DL$9839,B50)+SUMIFS('Master Log'!$DR$2:$DR$9839,'Master Log'!$A$2:$A$9839,"&gt;="&amp;$C$24,'Master Log'!$A$2:$A$9839,"&lt;="&amp;$C$25,'Master Log'!$DQ$2:$DQ$9839,B50)+SUMIFS('Master Log'!$DW$2:$DW$9839,'Master Log'!$A$2:$A$9839,"&gt;="&amp;$C$24,'Master Log'!$A$2:$A$9839,"&lt;="&amp;$C$25,'Master Log'!$DV$2:$DV$9839,B50)+SUMIFS('Master Log'!$EB$2:$EB$9839,'Master Log'!$A$2:$A$9839,"&gt;="&amp;$C$24,'Master Log'!$A$2:$A$9839,"&lt;="&amp;$C$25,'Master Log'!$EA$2:$EA$9839,B50)+SUMIFS('Master Log'!$EG$2:$EG$9839,'Master Log'!$A$2:$A$9839,"&gt;="&amp;$C$24,'Master Log'!$A$2:$A$9839,"&lt;="&amp;$C$25,'Master Log'!$EF$2:$EF$9839,B50)+SUMIFS('Master Log'!$EL$2:$EL$9839,'Master Log'!$A$2:$A$9839,"&gt;="&amp;$C$24,'Master Log'!$A$2:$A$9839,"&lt;="&amp;$C$25,'Master Log'!$EK$2:$EK$9839,B50)+SUMIFS('Master Log'!$EQ$2:$EQ$9839,'Master Log'!$A$2:$A$9839,"&gt;="&amp;$C$24,'Master Log'!$A$2:$A$9839,"&lt;="&amp;$C$25,'Master Log'!$EP$2:$EP$9839,B50)+SUMIFS('Master Log'!$EV$2:$EV$9839,'Master Log'!$A$2:$A$9839,"&gt;="&amp;$C$24,'Master Log'!$A$2:$A$9839,"&lt;="&amp;$C$25,'Master Log'!$EU$2:$EU$9839,B50)</f>
        <v>0</v>
      </c>
      <c r="D50" s="130">
        <f>IF(B50&lt;&gt;"",COUNTIFS('Master Log'!A:A,"&gt;="&amp;$C$24,'Master Log'!A:A,"&lt;="&amp;$C$25,'Master Log'!CR:CR,B50)+COUNTIFS('Master Log'!A:A,"&gt;="&amp;$C$24,'Master Log'!A:A,"&lt;="&amp;$C$25,'Master Log'!CW:CW,B50)+COUNTIFS('Master Log'!A:A,"&gt;="&amp;$C$24,'Master Log'!A:A,"&lt;="&amp;$C$25,'Master Log'!DB:DB,B50)+COUNTIFS('Master Log'!A:A,"&gt;="&amp;$C$24,'Master Log'!A:A,"&lt;="&amp;$C$25,'Master Log'!DG:DG,B50)+COUNTIFS('Master Log'!A:A,"&gt;="&amp;$C$24,'Master Log'!A:A,"&lt;="&amp;$C$25,'Master Log'!DL:DL,B50)+COUNTIFS('Master Log'!A:A,"&gt;="&amp;$C$24,'Master Log'!A:A,"&lt;="&amp;$C$25,'Master Log'!DQ:DQ,B50)+COUNTIFS('Master Log'!A:A,"&gt;="&amp;$C$24,'Master Log'!A:A,"&lt;="&amp;$C$25,'Master Log'!DV:DV,B50)+COUNTIFS('Master Log'!A:A,"&gt;="&amp;$C$24,'Master Log'!A:A,"&lt;="&amp;$C$25,'Master Log'!EA:EA,B50)+COUNTIFS('Master Log'!A:A,"&gt;="&amp;$C$24,'Master Log'!A:A,"&lt;="&amp;$C$25,'Master Log'!EF:EF,B50)+COUNTIFS('Master Log'!A:A,"&gt;="&amp;$C$24,'Master Log'!A:A,"&lt;="&amp;$C$25,'Master Log'!EK:EK,B50)+COUNTIFS('Master Log'!A:A,"&gt;="&amp;$C$24,'Master Log'!A:A,"&lt;="&amp;$C$25,'Master Log'!EP:EP,B50)+COUNTIFS('Master Log'!A:A,"&gt;="&amp;$C$24,'Master Log'!A:A,"&lt;="&amp;$C$25,'Master Log'!EU:EU,B50),"")</f>
        <v>0</v>
      </c>
      <c r="E50" s="135">
        <f t="shared" si="2"/>
        <v>0</v>
      </c>
    </row>
    <row r="51" spans="2:5">
      <c r="B51" s="127" t="str">
        <f>IF('Setup Sheet'!A23&lt;&gt;"",'Setup Sheet'!A23,"")</f>
        <v>Case_Sealer_(Equipment)</v>
      </c>
      <c r="C51" s="128">
        <f>SUMIFS('Master Log'!$CS$2:$CS$9839,'Master Log'!$A$2:$A$9839,"&gt;="&amp;$C$24,'Master Log'!$A$2:$A$9839,"&lt;="&amp;$C$25,'Master Log'!$CR$2:$CR$9839,B51)+SUMIFS('Master Log'!$CX$2:$CX$9839,'Master Log'!$A$2:$A$9839,"&gt;="&amp;$C$24,'Master Log'!$A$2:$A$9839,"&lt;="&amp;$C$25,'Master Log'!$CW$2:$CW$9839,B51)+SUMIFS('Master Log'!$DC$2:$DC$9839,'Master Log'!$A$2:$A$9839,"&gt;="&amp;$C$24,'Master Log'!$A$2:$A$9839,"&lt;="&amp;$C$25,'Master Log'!$DB$2:$DB$9839,B51)+SUMIFS('Master Log'!$DH$2:$DH$9839,'Master Log'!$A$2:$A$9839,"&gt;="&amp;$C$24,'Master Log'!$A$2:$A$9839,"&lt;="&amp;$C$25,'Master Log'!$DG$2:$DG$9839,B51)+SUMIFS('Master Log'!$DM$2:$DM$9839,'Master Log'!$A$2:$A$9839,"&gt;="&amp;$C$24,'Master Log'!$A$2:$A$9839,"&lt;="&amp;$C$25,'Master Log'!$DL$2:$DL$9839,B51)+SUMIFS('Master Log'!$DR$2:$DR$9839,'Master Log'!$A$2:$A$9839,"&gt;="&amp;$C$24,'Master Log'!$A$2:$A$9839,"&lt;="&amp;$C$25,'Master Log'!$DQ$2:$DQ$9839,B51)+SUMIFS('Master Log'!$DW$2:$DW$9839,'Master Log'!$A$2:$A$9839,"&gt;="&amp;$C$24,'Master Log'!$A$2:$A$9839,"&lt;="&amp;$C$25,'Master Log'!$DV$2:$DV$9839,B51)+SUMIFS('Master Log'!$EB$2:$EB$9839,'Master Log'!$A$2:$A$9839,"&gt;="&amp;$C$24,'Master Log'!$A$2:$A$9839,"&lt;="&amp;$C$25,'Master Log'!$EA$2:$EA$9839,B51)+SUMIFS('Master Log'!$EG$2:$EG$9839,'Master Log'!$A$2:$A$9839,"&gt;="&amp;$C$24,'Master Log'!$A$2:$A$9839,"&lt;="&amp;$C$25,'Master Log'!$EF$2:$EF$9839,B51)+SUMIFS('Master Log'!$EL$2:$EL$9839,'Master Log'!$A$2:$A$9839,"&gt;="&amp;$C$24,'Master Log'!$A$2:$A$9839,"&lt;="&amp;$C$25,'Master Log'!$EK$2:$EK$9839,B51)+SUMIFS('Master Log'!$EQ$2:$EQ$9839,'Master Log'!$A$2:$A$9839,"&gt;="&amp;$C$24,'Master Log'!$A$2:$A$9839,"&lt;="&amp;$C$25,'Master Log'!$EP$2:$EP$9839,B51)+SUMIFS('Master Log'!$EV$2:$EV$9839,'Master Log'!$A$2:$A$9839,"&gt;="&amp;$C$24,'Master Log'!$A$2:$A$9839,"&lt;="&amp;$C$25,'Master Log'!$EU$2:$EU$9839,B51)</f>
        <v>0</v>
      </c>
      <c r="D51" s="130">
        <f>IF(B51&lt;&gt;"",COUNTIFS('Master Log'!A:A,"&gt;="&amp;$C$24,'Master Log'!A:A,"&lt;="&amp;$C$25,'Master Log'!CR:CR,B51)+COUNTIFS('Master Log'!A:A,"&gt;="&amp;$C$24,'Master Log'!A:A,"&lt;="&amp;$C$25,'Master Log'!CW:CW,B51)+COUNTIFS('Master Log'!A:A,"&gt;="&amp;$C$24,'Master Log'!A:A,"&lt;="&amp;$C$25,'Master Log'!DB:DB,B51)+COUNTIFS('Master Log'!A:A,"&gt;="&amp;$C$24,'Master Log'!A:A,"&lt;="&amp;$C$25,'Master Log'!DG:DG,B51)+COUNTIFS('Master Log'!A:A,"&gt;="&amp;$C$24,'Master Log'!A:A,"&lt;="&amp;$C$25,'Master Log'!DL:DL,B51)+COUNTIFS('Master Log'!A:A,"&gt;="&amp;$C$24,'Master Log'!A:A,"&lt;="&amp;$C$25,'Master Log'!DQ:DQ,B51)+COUNTIFS('Master Log'!A:A,"&gt;="&amp;$C$24,'Master Log'!A:A,"&lt;="&amp;$C$25,'Master Log'!DV:DV,B51)+COUNTIFS('Master Log'!A:A,"&gt;="&amp;$C$24,'Master Log'!A:A,"&lt;="&amp;$C$25,'Master Log'!EA:EA,B51)+COUNTIFS('Master Log'!A:A,"&gt;="&amp;$C$24,'Master Log'!A:A,"&lt;="&amp;$C$25,'Master Log'!EF:EF,B51)+COUNTIFS('Master Log'!A:A,"&gt;="&amp;$C$24,'Master Log'!A:A,"&lt;="&amp;$C$25,'Master Log'!EK:EK,B51)+COUNTIFS('Master Log'!A:A,"&gt;="&amp;$C$24,'Master Log'!A:A,"&lt;="&amp;$C$25,'Master Log'!EP:EP,B51)+COUNTIFS('Master Log'!A:A,"&gt;="&amp;$C$24,'Master Log'!A:A,"&lt;="&amp;$C$25,'Master Log'!EU:EU,B51),"")</f>
        <v>0</v>
      </c>
      <c r="E51" s="135">
        <f t="shared" si="2"/>
        <v>0</v>
      </c>
    </row>
    <row r="52" spans="2:5">
      <c r="B52" s="127" t="str">
        <f>IF('Setup Sheet'!A24&lt;&gt;"",'Setup Sheet'!A24,"")</f>
        <v>Case_Sealer_(Operating_Discipline)</v>
      </c>
      <c r="C52" s="128">
        <f>SUMIFS('Master Log'!$CS$2:$CS$9839,'Master Log'!$A$2:$A$9839,"&gt;="&amp;$C$24,'Master Log'!$A$2:$A$9839,"&lt;="&amp;$C$25,'Master Log'!$CR$2:$CR$9839,B52)+SUMIFS('Master Log'!$CX$2:$CX$9839,'Master Log'!$A$2:$A$9839,"&gt;="&amp;$C$24,'Master Log'!$A$2:$A$9839,"&lt;="&amp;$C$25,'Master Log'!$CW$2:$CW$9839,B52)+SUMIFS('Master Log'!$DC$2:$DC$9839,'Master Log'!$A$2:$A$9839,"&gt;="&amp;$C$24,'Master Log'!$A$2:$A$9839,"&lt;="&amp;$C$25,'Master Log'!$DB$2:$DB$9839,B52)+SUMIFS('Master Log'!$DH$2:$DH$9839,'Master Log'!$A$2:$A$9839,"&gt;="&amp;$C$24,'Master Log'!$A$2:$A$9839,"&lt;="&amp;$C$25,'Master Log'!$DG$2:$DG$9839,B52)+SUMIFS('Master Log'!$DM$2:$DM$9839,'Master Log'!$A$2:$A$9839,"&gt;="&amp;$C$24,'Master Log'!$A$2:$A$9839,"&lt;="&amp;$C$25,'Master Log'!$DL$2:$DL$9839,B52)+SUMIFS('Master Log'!$DR$2:$DR$9839,'Master Log'!$A$2:$A$9839,"&gt;="&amp;$C$24,'Master Log'!$A$2:$A$9839,"&lt;="&amp;$C$25,'Master Log'!$DQ$2:$DQ$9839,B52)+SUMIFS('Master Log'!$DW$2:$DW$9839,'Master Log'!$A$2:$A$9839,"&gt;="&amp;$C$24,'Master Log'!$A$2:$A$9839,"&lt;="&amp;$C$25,'Master Log'!$DV$2:$DV$9839,B52)+SUMIFS('Master Log'!$EB$2:$EB$9839,'Master Log'!$A$2:$A$9839,"&gt;="&amp;$C$24,'Master Log'!$A$2:$A$9839,"&lt;="&amp;$C$25,'Master Log'!$EA$2:$EA$9839,B52)+SUMIFS('Master Log'!$EG$2:$EG$9839,'Master Log'!$A$2:$A$9839,"&gt;="&amp;$C$24,'Master Log'!$A$2:$A$9839,"&lt;="&amp;$C$25,'Master Log'!$EF$2:$EF$9839,B52)+SUMIFS('Master Log'!$EL$2:$EL$9839,'Master Log'!$A$2:$A$9839,"&gt;="&amp;$C$24,'Master Log'!$A$2:$A$9839,"&lt;="&amp;$C$25,'Master Log'!$EK$2:$EK$9839,B52)+SUMIFS('Master Log'!$EQ$2:$EQ$9839,'Master Log'!$A$2:$A$9839,"&gt;="&amp;$C$24,'Master Log'!$A$2:$A$9839,"&lt;="&amp;$C$25,'Master Log'!$EP$2:$EP$9839,B52)+SUMIFS('Master Log'!$EV$2:$EV$9839,'Master Log'!$A$2:$A$9839,"&gt;="&amp;$C$24,'Master Log'!$A$2:$A$9839,"&lt;="&amp;$C$25,'Master Log'!$EU$2:$EU$9839,B52)</f>
        <v>0</v>
      </c>
      <c r="D52" s="130">
        <f>IF(B52&lt;&gt;"",COUNTIFS('Master Log'!A:A,"&gt;="&amp;$C$24,'Master Log'!A:A,"&lt;="&amp;$C$25,'Master Log'!CR:CR,B52)+COUNTIFS('Master Log'!A:A,"&gt;="&amp;$C$24,'Master Log'!A:A,"&lt;="&amp;$C$25,'Master Log'!CW:CW,B52)+COUNTIFS('Master Log'!A:A,"&gt;="&amp;$C$24,'Master Log'!A:A,"&lt;="&amp;$C$25,'Master Log'!DB:DB,B52)+COUNTIFS('Master Log'!A:A,"&gt;="&amp;$C$24,'Master Log'!A:A,"&lt;="&amp;$C$25,'Master Log'!DG:DG,B52)+COUNTIFS('Master Log'!A:A,"&gt;="&amp;$C$24,'Master Log'!A:A,"&lt;="&amp;$C$25,'Master Log'!DL:DL,B52)+COUNTIFS('Master Log'!A:A,"&gt;="&amp;$C$24,'Master Log'!A:A,"&lt;="&amp;$C$25,'Master Log'!DQ:DQ,B52)+COUNTIFS('Master Log'!A:A,"&gt;="&amp;$C$24,'Master Log'!A:A,"&lt;="&amp;$C$25,'Master Log'!DV:DV,B52)+COUNTIFS('Master Log'!A:A,"&gt;="&amp;$C$24,'Master Log'!A:A,"&lt;="&amp;$C$25,'Master Log'!EA:EA,B52)+COUNTIFS('Master Log'!A:A,"&gt;="&amp;$C$24,'Master Log'!A:A,"&lt;="&amp;$C$25,'Master Log'!EF:EF,B52)+COUNTIFS('Master Log'!A:A,"&gt;="&amp;$C$24,'Master Log'!A:A,"&lt;="&amp;$C$25,'Master Log'!EK:EK,B52)+COUNTIFS('Master Log'!A:A,"&gt;="&amp;$C$24,'Master Log'!A:A,"&lt;="&amp;$C$25,'Master Log'!EP:EP,B52)+COUNTIFS('Master Log'!A:A,"&gt;="&amp;$C$24,'Master Log'!A:A,"&lt;="&amp;$C$25,'Master Log'!EU:EU,B52),"")</f>
        <v>0</v>
      </c>
      <c r="E52" s="135">
        <f t="shared" si="2"/>
        <v>0</v>
      </c>
    </row>
    <row r="53" spans="2:5">
      <c r="B53" s="127" t="str">
        <f>IF('Setup Sheet'!A25&lt;&gt;"",'Setup Sheet'!A25,"")</f>
        <v>Case_Sealer_(Other)</v>
      </c>
      <c r="C53" s="128">
        <f>SUMIFS('Master Log'!$CS$2:$CS$9839,'Master Log'!$A$2:$A$9839,"&gt;="&amp;$C$24,'Master Log'!$A$2:$A$9839,"&lt;="&amp;$C$25,'Master Log'!$CR$2:$CR$9839,B53)+SUMIFS('Master Log'!$CX$2:$CX$9839,'Master Log'!$A$2:$A$9839,"&gt;="&amp;$C$24,'Master Log'!$A$2:$A$9839,"&lt;="&amp;$C$25,'Master Log'!$CW$2:$CW$9839,B53)+SUMIFS('Master Log'!$DC$2:$DC$9839,'Master Log'!$A$2:$A$9839,"&gt;="&amp;$C$24,'Master Log'!$A$2:$A$9839,"&lt;="&amp;$C$25,'Master Log'!$DB$2:$DB$9839,B53)+SUMIFS('Master Log'!$DH$2:$DH$9839,'Master Log'!$A$2:$A$9839,"&gt;="&amp;$C$24,'Master Log'!$A$2:$A$9839,"&lt;="&amp;$C$25,'Master Log'!$DG$2:$DG$9839,B53)+SUMIFS('Master Log'!$DM$2:$DM$9839,'Master Log'!$A$2:$A$9839,"&gt;="&amp;$C$24,'Master Log'!$A$2:$A$9839,"&lt;="&amp;$C$25,'Master Log'!$DL$2:$DL$9839,B53)+SUMIFS('Master Log'!$DR$2:$DR$9839,'Master Log'!$A$2:$A$9839,"&gt;="&amp;$C$24,'Master Log'!$A$2:$A$9839,"&lt;="&amp;$C$25,'Master Log'!$DQ$2:$DQ$9839,B53)+SUMIFS('Master Log'!$DW$2:$DW$9839,'Master Log'!$A$2:$A$9839,"&gt;="&amp;$C$24,'Master Log'!$A$2:$A$9839,"&lt;="&amp;$C$25,'Master Log'!$DV$2:$DV$9839,B53)+SUMIFS('Master Log'!$EB$2:$EB$9839,'Master Log'!$A$2:$A$9839,"&gt;="&amp;$C$24,'Master Log'!$A$2:$A$9839,"&lt;="&amp;$C$25,'Master Log'!$EA$2:$EA$9839,B53)+SUMIFS('Master Log'!$EG$2:$EG$9839,'Master Log'!$A$2:$A$9839,"&gt;="&amp;$C$24,'Master Log'!$A$2:$A$9839,"&lt;="&amp;$C$25,'Master Log'!$EF$2:$EF$9839,B53)+SUMIFS('Master Log'!$EL$2:$EL$9839,'Master Log'!$A$2:$A$9839,"&gt;="&amp;$C$24,'Master Log'!$A$2:$A$9839,"&lt;="&amp;$C$25,'Master Log'!$EK$2:$EK$9839,B53)+SUMIFS('Master Log'!$EQ$2:$EQ$9839,'Master Log'!$A$2:$A$9839,"&gt;="&amp;$C$24,'Master Log'!$A$2:$A$9839,"&lt;="&amp;$C$25,'Master Log'!$EP$2:$EP$9839,B53)+SUMIFS('Master Log'!$EV$2:$EV$9839,'Master Log'!$A$2:$A$9839,"&gt;="&amp;$C$24,'Master Log'!$A$2:$A$9839,"&lt;="&amp;$C$25,'Master Log'!$EU$2:$EU$9839,B53)</f>
        <v>0</v>
      </c>
      <c r="D53" s="130">
        <f>IF(B53&lt;&gt;"",COUNTIFS('Master Log'!A:A,"&gt;="&amp;$C$24,'Master Log'!A:A,"&lt;="&amp;$C$25,'Master Log'!CR:CR,B53)+COUNTIFS('Master Log'!A:A,"&gt;="&amp;$C$24,'Master Log'!A:A,"&lt;="&amp;$C$25,'Master Log'!CW:CW,B53)+COUNTIFS('Master Log'!A:A,"&gt;="&amp;$C$24,'Master Log'!A:A,"&lt;="&amp;$C$25,'Master Log'!DB:DB,B53)+COUNTIFS('Master Log'!A:A,"&gt;="&amp;$C$24,'Master Log'!A:A,"&lt;="&amp;$C$25,'Master Log'!DG:DG,B53)+COUNTIFS('Master Log'!A:A,"&gt;="&amp;$C$24,'Master Log'!A:A,"&lt;="&amp;$C$25,'Master Log'!DL:DL,B53)+COUNTIFS('Master Log'!A:A,"&gt;="&amp;$C$24,'Master Log'!A:A,"&lt;="&amp;$C$25,'Master Log'!DQ:DQ,B53)+COUNTIFS('Master Log'!A:A,"&gt;="&amp;$C$24,'Master Log'!A:A,"&lt;="&amp;$C$25,'Master Log'!DV:DV,B53)+COUNTIFS('Master Log'!A:A,"&gt;="&amp;$C$24,'Master Log'!A:A,"&lt;="&amp;$C$25,'Master Log'!EA:EA,B53)+COUNTIFS('Master Log'!A:A,"&gt;="&amp;$C$24,'Master Log'!A:A,"&lt;="&amp;$C$25,'Master Log'!EF:EF,B53)+COUNTIFS('Master Log'!A:A,"&gt;="&amp;$C$24,'Master Log'!A:A,"&lt;="&amp;$C$25,'Master Log'!EK:EK,B53)+COUNTIFS('Master Log'!A:A,"&gt;="&amp;$C$24,'Master Log'!A:A,"&lt;="&amp;$C$25,'Master Log'!EP:EP,B53)+COUNTIFS('Master Log'!A:A,"&gt;="&amp;$C$24,'Master Log'!A:A,"&lt;="&amp;$C$25,'Master Log'!EU:EU,B53),"")</f>
        <v>0</v>
      </c>
      <c r="E53" s="135">
        <f t="shared" si="2"/>
        <v>0</v>
      </c>
    </row>
    <row r="54" spans="2:5">
      <c r="B54" s="127" t="str">
        <f>IF('Setup Sheet'!A27&lt;&gt;"",'Setup Sheet'!A27,"")</f>
        <v>Conveyor_(Operating_Discipline)</v>
      </c>
      <c r="C54" s="128">
        <f>SUMIFS('Master Log'!$CS$2:$CS$9839,'Master Log'!$A$2:$A$9839,"&gt;="&amp;$C$24,'Master Log'!$A$2:$A$9839,"&lt;="&amp;$C$25,'Master Log'!$CR$2:$CR$9839,B54)+SUMIFS('Master Log'!$CX$2:$CX$9839,'Master Log'!$A$2:$A$9839,"&gt;="&amp;$C$24,'Master Log'!$A$2:$A$9839,"&lt;="&amp;$C$25,'Master Log'!$CW$2:$CW$9839,B54)+SUMIFS('Master Log'!$DC$2:$DC$9839,'Master Log'!$A$2:$A$9839,"&gt;="&amp;$C$24,'Master Log'!$A$2:$A$9839,"&lt;="&amp;$C$25,'Master Log'!$DB$2:$DB$9839,B54)+SUMIFS('Master Log'!$DH$2:$DH$9839,'Master Log'!$A$2:$A$9839,"&gt;="&amp;$C$24,'Master Log'!$A$2:$A$9839,"&lt;="&amp;$C$25,'Master Log'!$DG$2:$DG$9839,B54)+SUMIFS('Master Log'!$DM$2:$DM$9839,'Master Log'!$A$2:$A$9839,"&gt;="&amp;$C$24,'Master Log'!$A$2:$A$9839,"&lt;="&amp;$C$25,'Master Log'!$DL$2:$DL$9839,B54)+SUMIFS('Master Log'!$DR$2:$DR$9839,'Master Log'!$A$2:$A$9839,"&gt;="&amp;$C$24,'Master Log'!$A$2:$A$9839,"&lt;="&amp;$C$25,'Master Log'!$DQ$2:$DQ$9839,B54)+SUMIFS('Master Log'!$DW$2:$DW$9839,'Master Log'!$A$2:$A$9839,"&gt;="&amp;$C$24,'Master Log'!$A$2:$A$9839,"&lt;="&amp;$C$25,'Master Log'!$DV$2:$DV$9839,B54)+SUMIFS('Master Log'!$EB$2:$EB$9839,'Master Log'!$A$2:$A$9839,"&gt;="&amp;$C$24,'Master Log'!$A$2:$A$9839,"&lt;="&amp;$C$25,'Master Log'!$EA$2:$EA$9839,B54)+SUMIFS('Master Log'!$EG$2:$EG$9839,'Master Log'!$A$2:$A$9839,"&gt;="&amp;$C$24,'Master Log'!$A$2:$A$9839,"&lt;="&amp;$C$25,'Master Log'!$EF$2:$EF$9839,B54)+SUMIFS('Master Log'!$EL$2:$EL$9839,'Master Log'!$A$2:$A$9839,"&gt;="&amp;$C$24,'Master Log'!$A$2:$A$9839,"&lt;="&amp;$C$25,'Master Log'!$EK$2:$EK$9839,B54)+SUMIFS('Master Log'!$EQ$2:$EQ$9839,'Master Log'!$A$2:$A$9839,"&gt;="&amp;$C$24,'Master Log'!$A$2:$A$9839,"&lt;="&amp;$C$25,'Master Log'!$EP$2:$EP$9839,B54)+SUMIFS('Master Log'!$EV$2:$EV$9839,'Master Log'!$A$2:$A$9839,"&gt;="&amp;$C$24,'Master Log'!$A$2:$A$9839,"&lt;="&amp;$C$25,'Master Log'!$EU$2:$EU$9839,B54)</f>
        <v>0</v>
      </c>
      <c r="D54" s="130">
        <f>IF(B54&lt;&gt;"",COUNTIFS('Master Log'!A:A,"&gt;="&amp;$C$24,'Master Log'!A:A,"&lt;="&amp;$C$25,'Master Log'!CR:CR,B54)+COUNTIFS('Master Log'!A:A,"&gt;="&amp;$C$24,'Master Log'!A:A,"&lt;="&amp;$C$25,'Master Log'!CW:CW,B54)+COUNTIFS('Master Log'!A:A,"&gt;="&amp;$C$24,'Master Log'!A:A,"&lt;="&amp;$C$25,'Master Log'!DB:DB,B54)+COUNTIFS('Master Log'!A:A,"&gt;="&amp;$C$24,'Master Log'!A:A,"&lt;="&amp;$C$25,'Master Log'!DG:DG,B54)+COUNTIFS('Master Log'!A:A,"&gt;="&amp;$C$24,'Master Log'!A:A,"&lt;="&amp;$C$25,'Master Log'!DL:DL,B54)+COUNTIFS('Master Log'!A:A,"&gt;="&amp;$C$24,'Master Log'!A:A,"&lt;="&amp;$C$25,'Master Log'!DQ:DQ,B54)+COUNTIFS('Master Log'!A:A,"&gt;="&amp;$C$24,'Master Log'!A:A,"&lt;="&amp;$C$25,'Master Log'!DV:DV,B54)+COUNTIFS('Master Log'!A:A,"&gt;="&amp;$C$24,'Master Log'!A:A,"&lt;="&amp;$C$25,'Master Log'!EA:EA,B54)+COUNTIFS('Master Log'!A:A,"&gt;="&amp;$C$24,'Master Log'!A:A,"&lt;="&amp;$C$25,'Master Log'!EF:EF,B54)+COUNTIFS('Master Log'!A:A,"&gt;="&amp;$C$24,'Master Log'!A:A,"&lt;="&amp;$C$25,'Master Log'!EK:EK,B54)+COUNTIFS('Master Log'!A:A,"&gt;="&amp;$C$24,'Master Log'!A:A,"&lt;="&amp;$C$25,'Master Log'!EP:EP,B54)+COUNTIFS('Master Log'!A:A,"&gt;="&amp;$C$24,'Master Log'!A:A,"&lt;="&amp;$C$25,'Master Log'!EU:EU,B54),"")</f>
        <v>0</v>
      </c>
      <c r="E54" s="135">
        <f t="shared" si="2"/>
        <v>0</v>
      </c>
    </row>
    <row r="55" spans="2:5">
      <c r="B55" s="127" t="str">
        <f>IF('Setup Sheet'!A28&lt;&gt;"",'Setup Sheet'!A28,"")</f>
        <v>Conveyor_(Other)</v>
      </c>
      <c r="C55" s="128">
        <f>SUMIFS('Master Log'!$CS$2:$CS$9839,'Master Log'!$A$2:$A$9839,"&gt;="&amp;$C$24,'Master Log'!$A$2:$A$9839,"&lt;="&amp;$C$25,'Master Log'!$CR$2:$CR$9839,B55)+SUMIFS('Master Log'!$CX$2:$CX$9839,'Master Log'!$A$2:$A$9839,"&gt;="&amp;$C$24,'Master Log'!$A$2:$A$9839,"&lt;="&amp;$C$25,'Master Log'!$CW$2:$CW$9839,B55)+SUMIFS('Master Log'!$DC$2:$DC$9839,'Master Log'!$A$2:$A$9839,"&gt;="&amp;$C$24,'Master Log'!$A$2:$A$9839,"&lt;="&amp;$C$25,'Master Log'!$DB$2:$DB$9839,B55)+SUMIFS('Master Log'!$DH$2:$DH$9839,'Master Log'!$A$2:$A$9839,"&gt;="&amp;$C$24,'Master Log'!$A$2:$A$9839,"&lt;="&amp;$C$25,'Master Log'!$DG$2:$DG$9839,B55)+SUMIFS('Master Log'!$DM$2:$DM$9839,'Master Log'!$A$2:$A$9839,"&gt;="&amp;$C$24,'Master Log'!$A$2:$A$9839,"&lt;="&amp;$C$25,'Master Log'!$DL$2:$DL$9839,B55)+SUMIFS('Master Log'!$DR$2:$DR$9839,'Master Log'!$A$2:$A$9839,"&gt;="&amp;$C$24,'Master Log'!$A$2:$A$9839,"&lt;="&amp;$C$25,'Master Log'!$DQ$2:$DQ$9839,B55)+SUMIFS('Master Log'!$DW$2:$DW$9839,'Master Log'!$A$2:$A$9839,"&gt;="&amp;$C$24,'Master Log'!$A$2:$A$9839,"&lt;="&amp;$C$25,'Master Log'!$DV$2:$DV$9839,B55)+SUMIFS('Master Log'!$EB$2:$EB$9839,'Master Log'!$A$2:$A$9839,"&gt;="&amp;$C$24,'Master Log'!$A$2:$A$9839,"&lt;="&amp;$C$25,'Master Log'!$EA$2:$EA$9839,B55)+SUMIFS('Master Log'!$EG$2:$EG$9839,'Master Log'!$A$2:$A$9839,"&gt;="&amp;$C$24,'Master Log'!$A$2:$A$9839,"&lt;="&amp;$C$25,'Master Log'!$EF$2:$EF$9839,B55)+SUMIFS('Master Log'!$EL$2:$EL$9839,'Master Log'!$A$2:$A$9839,"&gt;="&amp;$C$24,'Master Log'!$A$2:$A$9839,"&lt;="&amp;$C$25,'Master Log'!$EK$2:$EK$9839,B55)+SUMIFS('Master Log'!$EQ$2:$EQ$9839,'Master Log'!$A$2:$A$9839,"&gt;="&amp;$C$24,'Master Log'!$A$2:$A$9839,"&lt;="&amp;$C$25,'Master Log'!$EP$2:$EP$9839,B55)+SUMIFS('Master Log'!$EV$2:$EV$9839,'Master Log'!$A$2:$A$9839,"&gt;="&amp;$C$24,'Master Log'!$A$2:$A$9839,"&lt;="&amp;$C$25,'Master Log'!$EU$2:$EU$9839,B55)</f>
        <v>0</v>
      </c>
      <c r="D55" s="130">
        <f>IF(B55&lt;&gt;"",COUNTIFS('Master Log'!A:A,"&gt;="&amp;$C$24,'Master Log'!A:A,"&lt;="&amp;$C$25,'Master Log'!CR:CR,B55)+COUNTIFS('Master Log'!A:A,"&gt;="&amp;$C$24,'Master Log'!A:A,"&lt;="&amp;$C$25,'Master Log'!CW:CW,B55)+COUNTIFS('Master Log'!A:A,"&gt;="&amp;$C$24,'Master Log'!A:A,"&lt;="&amp;$C$25,'Master Log'!DB:DB,B55)+COUNTIFS('Master Log'!A:A,"&gt;="&amp;$C$24,'Master Log'!A:A,"&lt;="&amp;$C$25,'Master Log'!DG:DG,B55)+COUNTIFS('Master Log'!A:A,"&gt;="&amp;$C$24,'Master Log'!A:A,"&lt;="&amp;$C$25,'Master Log'!DL:DL,B55)+COUNTIFS('Master Log'!A:A,"&gt;="&amp;$C$24,'Master Log'!A:A,"&lt;="&amp;$C$25,'Master Log'!DQ:DQ,B55)+COUNTIFS('Master Log'!A:A,"&gt;="&amp;$C$24,'Master Log'!A:A,"&lt;="&amp;$C$25,'Master Log'!DV:DV,B55)+COUNTIFS('Master Log'!A:A,"&gt;="&amp;$C$24,'Master Log'!A:A,"&lt;="&amp;$C$25,'Master Log'!EA:EA,B55)+COUNTIFS('Master Log'!A:A,"&gt;="&amp;$C$24,'Master Log'!A:A,"&lt;="&amp;$C$25,'Master Log'!EF:EF,B55)+COUNTIFS('Master Log'!A:A,"&gt;="&amp;$C$24,'Master Log'!A:A,"&lt;="&amp;$C$25,'Master Log'!EK:EK,B55)+COUNTIFS('Master Log'!A:A,"&gt;="&amp;$C$24,'Master Log'!A:A,"&lt;="&amp;$C$25,'Master Log'!EP:EP,B55)+COUNTIFS('Master Log'!A:A,"&gt;="&amp;$C$24,'Master Log'!A:A,"&lt;="&amp;$C$25,'Master Log'!EU:EU,B55),"")</f>
        <v>0</v>
      </c>
      <c r="E55" s="135">
        <f t="shared" si="2"/>
        <v>0</v>
      </c>
    </row>
    <row r="56" spans="2:5">
      <c r="B56" s="127" t="str">
        <f>IF('Setup Sheet'!A30&lt;&gt;"",'Setup Sheet'!A30,"")</f>
        <v>Filler/Capper_(Operating_Discipline)</v>
      </c>
      <c r="C56" s="128">
        <f>SUMIFS('Master Log'!$CS$2:$CS$9839,'Master Log'!$A$2:$A$9839,"&gt;="&amp;$C$24,'Master Log'!$A$2:$A$9839,"&lt;="&amp;$C$25,'Master Log'!$CR$2:$CR$9839,B56)+SUMIFS('Master Log'!$CX$2:$CX$9839,'Master Log'!$A$2:$A$9839,"&gt;="&amp;$C$24,'Master Log'!$A$2:$A$9839,"&lt;="&amp;$C$25,'Master Log'!$CW$2:$CW$9839,B56)+SUMIFS('Master Log'!$DC$2:$DC$9839,'Master Log'!$A$2:$A$9839,"&gt;="&amp;$C$24,'Master Log'!$A$2:$A$9839,"&lt;="&amp;$C$25,'Master Log'!$DB$2:$DB$9839,B56)+SUMIFS('Master Log'!$DH$2:$DH$9839,'Master Log'!$A$2:$A$9839,"&gt;="&amp;$C$24,'Master Log'!$A$2:$A$9839,"&lt;="&amp;$C$25,'Master Log'!$DG$2:$DG$9839,B56)+SUMIFS('Master Log'!$DM$2:$DM$9839,'Master Log'!$A$2:$A$9839,"&gt;="&amp;$C$24,'Master Log'!$A$2:$A$9839,"&lt;="&amp;$C$25,'Master Log'!$DL$2:$DL$9839,B56)+SUMIFS('Master Log'!$DR$2:$DR$9839,'Master Log'!$A$2:$A$9839,"&gt;="&amp;$C$24,'Master Log'!$A$2:$A$9839,"&lt;="&amp;$C$25,'Master Log'!$DQ$2:$DQ$9839,B56)+SUMIFS('Master Log'!$DW$2:$DW$9839,'Master Log'!$A$2:$A$9839,"&gt;="&amp;$C$24,'Master Log'!$A$2:$A$9839,"&lt;="&amp;$C$25,'Master Log'!$DV$2:$DV$9839,B56)+SUMIFS('Master Log'!$EB$2:$EB$9839,'Master Log'!$A$2:$A$9839,"&gt;="&amp;$C$24,'Master Log'!$A$2:$A$9839,"&lt;="&amp;$C$25,'Master Log'!$EA$2:$EA$9839,B56)+SUMIFS('Master Log'!$EG$2:$EG$9839,'Master Log'!$A$2:$A$9839,"&gt;="&amp;$C$24,'Master Log'!$A$2:$A$9839,"&lt;="&amp;$C$25,'Master Log'!$EF$2:$EF$9839,B56)+SUMIFS('Master Log'!$EL$2:$EL$9839,'Master Log'!$A$2:$A$9839,"&gt;="&amp;$C$24,'Master Log'!$A$2:$A$9839,"&lt;="&amp;$C$25,'Master Log'!$EK$2:$EK$9839,B56)+SUMIFS('Master Log'!$EQ$2:$EQ$9839,'Master Log'!$A$2:$A$9839,"&gt;="&amp;$C$24,'Master Log'!$A$2:$A$9839,"&lt;="&amp;$C$25,'Master Log'!$EP$2:$EP$9839,B56)+SUMIFS('Master Log'!$EV$2:$EV$9839,'Master Log'!$A$2:$A$9839,"&gt;="&amp;$C$24,'Master Log'!$A$2:$A$9839,"&lt;="&amp;$C$25,'Master Log'!$EU$2:$EU$9839,B56)</f>
        <v>0</v>
      </c>
      <c r="D56" s="130">
        <f>IF(B56&lt;&gt;"",COUNTIFS('Master Log'!A:A,"&gt;="&amp;$C$24,'Master Log'!A:A,"&lt;="&amp;$C$25,'Master Log'!CR:CR,B56)+COUNTIFS('Master Log'!A:A,"&gt;="&amp;$C$24,'Master Log'!A:A,"&lt;="&amp;$C$25,'Master Log'!CW:CW,B56)+COUNTIFS('Master Log'!A:A,"&gt;="&amp;$C$24,'Master Log'!A:A,"&lt;="&amp;$C$25,'Master Log'!DB:DB,B56)+COUNTIFS('Master Log'!A:A,"&gt;="&amp;$C$24,'Master Log'!A:A,"&lt;="&amp;$C$25,'Master Log'!DG:DG,B56)+COUNTIFS('Master Log'!A:A,"&gt;="&amp;$C$24,'Master Log'!A:A,"&lt;="&amp;$C$25,'Master Log'!DL:DL,B56)+COUNTIFS('Master Log'!A:A,"&gt;="&amp;$C$24,'Master Log'!A:A,"&lt;="&amp;$C$25,'Master Log'!DQ:DQ,B56)+COUNTIFS('Master Log'!A:A,"&gt;="&amp;$C$24,'Master Log'!A:A,"&lt;="&amp;$C$25,'Master Log'!DV:DV,B56)+COUNTIFS('Master Log'!A:A,"&gt;="&amp;$C$24,'Master Log'!A:A,"&lt;="&amp;$C$25,'Master Log'!EA:EA,B56)+COUNTIFS('Master Log'!A:A,"&gt;="&amp;$C$24,'Master Log'!A:A,"&lt;="&amp;$C$25,'Master Log'!EF:EF,B56)+COUNTIFS('Master Log'!A:A,"&gt;="&amp;$C$24,'Master Log'!A:A,"&lt;="&amp;$C$25,'Master Log'!EK:EK,B56)+COUNTIFS('Master Log'!A:A,"&gt;="&amp;$C$24,'Master Log'!A:A,"&lt;="&amp;$C$25,'Master Log'!EP:EP,B56)+COUNTIFS('Master Log'!A:A,"&gt;="&amp;$C$24,'Master Log'!A:A,"&lt;="&amp;$C$25,'Master Log'!EU:EU,B56),"")</f>
        <v>0</v>
      </c>
      <c r="E56" s="135">
        <f t="shared" si="2"/>
        <v>0</v>
      </c>
    </row>
    <row r="57" spans="2:5">
      <c r="B57" s="127" t="str">
        <f>IF('Setup Sheet'!A32&lt;&gt;"",'Setup Sheet'!A32,"")</f>
        <v>Infeed_Table_(Equipment)</v>
      </c>
      <c r="C57" s="128">
        <f>SUMIFS('Master Log'!$CS$2:$CS$9839,'Master Log'!$A$2:$A$9839,"&gt;="&amp;$C$24,'Master Log'!$A$2:$A$9839,"&lt;="&amp;$C$25,'Master Log'!$CR$2:$CR$9839,B57)+SUMIFS('Master Log'!$CX$2:$CX$9839,'Master Log'!$A$2:$A$9839,"&gt;="&amp;$C$24,'Master Log'!$A$2:$A$9839,"&lt;="&amp;$C$25,'Master Log'!$CW$2:$CW$9839,B57)+SUMIFS('Master Log'!$DC$2:$DC$9839,'Master Log'!$A$2:$A$9839,"&gt;="&amp;$C$24,'Master Log'!$A$2:$A$9839,"&lt;="&amp;$C$25,'Master Log'!$DB$2:$DB$9839,B57)+SUMIFS('Master Log'!$DH$2:$DH$9839,'Master Log'!$A$2:$A$9839,"&gt;="&amp;$C$24,'Master Log'!$A$2:$A$9839,"&lt;="&amp;$C$25,'Master Log'!$DG$2:$DG$9839,B57)+SUMIFS('Master Log'!$DM$2:$DM$9839,'Master Log'!$A$2:$A$9839,"&gt;="&amp;$C$24,'Master Log'!$A$2:$A$9839,"&lt;="&amp;$C$25,'Master Log'!$DL$2:$DL$9839,B57)+SUMIFS('Master Log'!$DR$2:$DR$9839,'Master Log'!$A$2:$A$9839,"&gt;="&amp;$C$24,'Master Log'!$A$2:$A$9839,"&lt;="&amp;$C$25,'Master Log'!$DQ$2:$DQ$9839,B57)+SUMIFS('Master Log'!$DW$2:$DW$9839,'Master Log'!$A$2:$A$9839,"&gt;="&amp;$C$24,'Master Log'!$A$2:$A$9839,"&lt;="&amp;$C$25,'Master Log'!$DV$2:$DV$9839,B57)+SUMIFS('Master Log'!$EB$2:$EB$9839,'Master Log'!$A$2:$A$9839,"&gt;="&amp;$C$24,'Master Log'!$A$2:$A$9839,"&lt;="&amp;$C$25,'Master Log'!$EA$2:$EA$9839,B57)+SUMIFS('Master Log'!$EG$2:$EG$9839,'Master Log'!$A$2:$A$9839,"&gt;="&amp;$C$24,'Master Log'!$A$2:$A$9839,"&lt;="&amp;$C$25,'Master Log'!$EF$2:$EF$9839,B57)+SUMIFS('Master Log'!$EL$2:$EL$9839,'Master Log'!$A$2:$A$9839,"&gt;="&amp;$C$24,'Master Log'!$A$2:$A$9839,"&lt;="&amp;$C$25,'Master Log'!$EK$2:$EK$9839,B57)+SUMIFS('Master Log'!$EQ$2:$EQ$9839,'Master Log'!$A$2:$A$9839,"&gt;="&amp;$C$24,'Master Log'!$A$2:$A$9839,"&lt;="&amp;$C$25,'Master Log'!$EP$2:$EP$9839,B57)+SUMIFS('Master Log'!$EV$2:$EV$9839,'Master Log'!$A$2:$A$9839,"&gt;="&amp;$C$24,'Master Log'!$A$2:$A$9839,"&lt;="&amp;$C$25,'Master Log'!$EU$2:$EU$9839,B57)</f>
        <v>0</v>
      </c>
      <c r="D57" s="130">
        <f>IF(B57&lt;&gt;"",COUNTIFS('Master Log'!A:A,"&gt;="&amp;$C$24,'Master Log'!A:A,"&lt;="&amp;$C$25,'Master Log'!CR:CR,B57)+COUNTIFS('Master Log'!A:A,"&gt;="&amp;$C$24,'Master Log'!A:A,"&lt;="&amp;$C$25,'Master Log'!CW:CW,B57)+COUNTIFS('Master Log'!A:A,"&gt;="&amp;$C$24,'Master Log'!A:A,"&lt;="&amp;$C$25,'Master Log'!DB:DB,B57)+COUNTIFS('Master Log'!A:A,"&gt;="&amp;$C$24,'Master Log'!A:A,"&lt;="&amp;$C$25,'Master Log'!DG:DG,B57)+COUNTIFS('Master Log'!A:A,"&gt;="&amp;$C$24,'Master Log'!A:A,"&lt;="&amp;$C$25,'Master Log'!DL:DL,B57)+COUNTIFS('Master Log'!A:A,"&gt;="&amp;$C$24,'Master Log'!A:A,"&lt;="&amp;$C$25,'Master Log'!DQ:DQ,B57)+COUNTIFS('Master Log'!A:A,"&gt;="&amp;$C$24,'Master Log'!A:A,"&lt;="&amp;$C$25,'Master Log'!DV:DV,B57)+COUNTIFS('Master Log'!A:A,"&gt;="&amp;$C$24,'Master Log'!A:A,"&lt;="&amp;$C$25,'Master Log'!EA:EA,B57)+COUNTIFS('Master Log'!A:A,"&gt;="&amp;$C$24,'Master Log'!A:A,"&lt;="&amp;$C$25,'Master Log'!EF:EF,B57)+COUNTIFS('Master Log'!A:A,"&gt;="&amp;$C$24,'Master Log'!A:A,"&lt;="&amp;$C$25,'Master Log'!EK:EK,B57)+COUNTIFS('Master Log'!A:A,"&gt;="&amp;$C$24,'Master Log'!A:A,"&lt;="&amp;$C$25,'Master Log'!EP:EP,B57)+COUNTIFS('Master Log'!A:A,"&gt;="&amp;$C$24,'Master Log'!A:A,"&lt;="&amp;$C$25,'Master Log'!EU:EU,B57),"")</f>
        <v>0</v>
      </c>
      <c r="E57" s="135">
        <f t="shared" si="2"/>
        <v>0</v>
      </c>
    </row>
    <row r="58" spans="2:5">
      <c r="B58" s="127" t="str">
        <f>IF('Setup Sheet'!A33&lt;&gt;"",'Setup Sheet'!A33,"")</f>
        <v>Infeed_Table_(Operating_Discipline)</v>
      </c>
      <c r="C58" s="128">
        <f>SUMIFS('Master Log'!$CS$2:$CS$9839,'Master Log'!$A$2:$A$9839,"&gt;="&amp;$C$24,'Master Log'!$A$2:$A$9839,"&lt;="&amp;$C$25,'Master Log'!$CR$2:$CR$9839,B58)+SUMIFS('Master Log'!$CX$2:$CX$9839,'Master Log'!$A$2:$A$9839,"&gt;="&amp;$C$24,'Master Log'!$A$2:$A$9839,"&lt;="&amp;$C$25,'Master Log'!$CW$2:$CW$9839,B58)+SUMIFS('Master Log'!$DC$2:$DC$9839,'Master Log'!$A$2:$A$9839,"&gt;="&amp;$C$24,'Master Log'!$A$2:$A$9839,"&lt;="&amp;$C$25,'Master Log'!$DB$2:$DB$9839,B58)+SUMIFS('Master Log'!$DH$2:$DH$9839,'Master Log'!$A$2:$A$9839,"&gt;="&amp;$C$24,'Master Log'!$A$2:$A$9839,"&lt;="&amp;$C$25,'Master Log'!$DG$2:$DG$9839,B58)+SUMIFS('Master Log'!$DM$2:$DM$9839,'Master Log'!$A$2:$A$9839,"&gt;="&amp;$C$24,'Master Log'!$A$2:$A$9839,"&lt;="&amp;$C$25,'Master Log'!$DL$2:$DL$9839,B58)+SUMIFS('Master Log'!$DR$2:$DR$9839,'Master Log'!$A$2:$A$9839,"&gt;="&amp;$C$24,'Master Log'!$A$2:$A$9839,"&lt;="&amp;$C$25,'Master Log'!$DQ$2:$DQ$9839,B58)+SUMIFS('Master Log'!$DW$2:$DW$9839,'Master Log'!$A$2:$A$9839,"&gt;="&amp;$C$24,'Master Log'!$A$2:$A$9839,"&lt;="&amp;$C$25,'Master Log'!$DV$2:$DV$9839,B58)+SUMIFS('Master Log'!$EB$2:$EB$9839,'Master Log'!$A$2:$A$9839,"&gt;="&amp;$C$24,'Master Log'!$A$2:$A$9839,"&lt;="&amp;$C$25,'Master Log'!$EA$2:$EA$9839,B58)+SUMIFS('Master Log'!$EG$2:$EG$9839,'Master Log'!$A$2:$A$9839,"&gt;="&amp;$C$24,'Master Log'!$A$2:$A$9839,"&lt;="&amp;$C$25,'Master Log'!$EF$2:$EF$9839,B58)+SUMIFS('Master Log'!$EL$2:$EL$9839,'Master Log'!$A$2:$A$9839,"&gt;="&amp;$C$24,'Master Log'!$A$2:$A$9839,"&lt;="&amp;$C$25,'Master Log'!$EK$2:$EK$9839,B58)+SUMIFS('Master Log'!$EQ$2:$EQ$9839,'Master Log'!$A$2:$A$9839,"&gt;="&amp;$C$24,'Master Log'!$A$2:$A$9839,"&lt;="&amp;$C$25,'Master Log'!$EP$2:$EP$9839,B58)+SUMIFS('Master Log'!$EV$2:$EV$9839,'Master Log'!$A$2:$A$9839,"&gt;="&amp;$C$24,'Master Log'!$A$2:$A$9839,"&lt;="&amp;$C$25,'Master Log'!$EU$2:$EU$9839,B58)</f>
        <v>0</v>
      </c>
      <c r="D58" s="130">
        <f>IF(B58&lt;&gt;"",COUNTIFS('Master Log'!A:A,"&gt;="&amp;$C$24,'Master Log'!A:A,"&lt;="&amp;$C$25,'Master Log'!CR:CR,B58)+COUNTIFS('Master Log'!A:A,"&gt;="&amp;$C$24,'Master Log'!A:A,"&lt;="&amp;$C$25,'Master Log'!CW:CW,B58)+COUNTIFS('Master Log'!A:A,"&gt;="&amp;$C$24,'Master Log'!A:A,"&lt;="&amp;$C$25,'Master Log'!DB:DB,B58)+COUNTIFS('Master Log'!A:A,"&gt;="&amp;$C$24,'Master Log'!A:A,"&lt;="&amp;$C$25,'Master Log'!DG:DG,B58)+COUNTIFS('Master Log'!A:A,"&gt;="&amp;$C$24,'Master Log'!A:A,"&lt;="&amp;$C$25,'Master Log'!DL:DL,B58)+COUNTIFS('Master Log'!A:A,"&gt;="&amp;$C$24,'Master Log'!A:A,"&lt;="&amp;$C$25,'Master Log'!DQ:DQ,B58)+COUNTIFS('Master Log'!A:A,"&gt;="&amp;$C$24,'Master Log'!A:A,"&lt;="&amp;$C$25,'Master Log'!DV:DV,B58)+COUNTIFS('Master Log'!A:A,"&gt;="&amp;$C$24,'Master Log'!A:A,"&lt;="&amp;$C$25,'Master Log'!EA:EA,B58)+COUNTIFS('Master Log'!A:A,"&gt;="&amp;$C$24,'Master Log'!A:A,"&lt;="&amp;$C$25,'Master Log'!EF:EF,B58)+COUNTIFS('Master Log'!A:A,"&gt;="&amp;$C$24,'Master Log'!A:A,"&lt;="&amp;$C$25,'Master Log'!EK:EK,B58)+COUNTIFS('Master Log'!A:A,"&gt;="&amp;$C$24,'Master Log'!A:A,"&lt;="&amp;$C$25,'Master Log'!EP:EP,B58)+COUNTIFS('Master Log'!A:A,"&gt;="&amp;$C$24,'Master Log'!A:A,"&lt;="&amp;$C$25,'Master Log'!EU:EU,B58),"")</f>
        <v>0</v>
      </c>
      <c r="E58" s="135">
        <f t="shared" si="2"/>
        <v>0</v>
      </c>
    </row>
    <row r="59" spans="2:5">
      <c r="B59" s="127" t="str">
        <f>IF('Setup Sheet'!A34&lt;&gt;"",'Setup Sheet'!A34,"")</f>
        <v>Infeed_Table_(Other)</v>
      </c>
      <c r="C59" s="128">
        <f>SUMIFS('Master Log'!$CS$2:$CS$9839,'Master Log'!$A$2:$A$9839,"&gt;="&amp;$C$24,'Master Log'!$A$2:$A$9839,"&lt;="&amp;$C$25,'Master Log'!$CR$2:$CR$9839,B59)+SUMIFS('Master Log'!$CX$2:$CX$9839,'Master Log'!$A$2:$A$9839,"&gt;="&amp;$C$24,'Master Log'!$A$2:$A$9839,"&lt;="&amp;$C$25,'Master Log'!$CW$2:$CW$9839,B59)+SUMIFS('Master Log'!$DC$2:$DC$9839,'Master Log'!$A$2:$A$9839,"&gt;="&amp;$C$24,'Master Log'!$A$2:$A$9839,"&lt;="&amp;$C$25,'Master Log'!$DB$2:$DB$9839,B59)+SUMIFS('Master Log'!$DH$2:$DH$9839,'Master Log'!$A$2:$A$9839,"&gt;="&amp;$C$24,'Master Log'!$A$2:$A$9839,"&lt;="&amp;$C$25,'Master Log'!$DG$2:$DG$9839,B59)+SUMIFS('Master Log'!$DM$2:$DM$9839,'Master Log'!$A$2:$A$9839,"&gt;="&amp;$C$24,'Master Log'!$A$2:$A$9839,"&lt;="&amp;$C$25,'Master Log'!$DL$2:$DL$9839,B59)+SUMIFS('Master Log'!$DR$2:$DR$9839,'Master Log'!$A$2:$A$9839,"&gt;="&amp;$C$24,'Master Log'!$A$2:$A$9839,"&lt;="&amp;$C$25,'Master Log'!$DQ$2:$DQ$9839,B59)+SUMIFS('Master Log'!$DW$2:$DW$9839,'Master Log'!$A$2:$A$9839,"&gt;="&amp;$C$24,'Master Log'!$A$2:$A$9839,"&lt;="&amp;$C$25,'Master Log'!$DV$2:$DV$9839,B59)+SUMIFS('Master Log'!$EB$2:$EB$9839,'Master Log'!$A$2:$A$9839,"&gt;="&amp;$C$24,'Master Log'!$A$2:$A$9839,"&lt;="&amp;$C$25,'Master Log'!$EA$2:$EA$9839,B59)+SUMIFS('Master Log'!$EG$2:$EG$9839,'Master Log'!$A$2:$A$9839,"&gt;="&amp;$C$24,'Master Log'!$A$2:$A$9839,"&lt;="&amp;$C$25,'Master Log'!$EF$2:$EF$9839,B59)+SUMIFS('Master Log'!$EL$2:$EL$9839,'Master Log'!$A$2:$A$9839,"&gt;="&amp;$C$24,'Master Log'!$A$2:$A$9839,"&lt;="&amp;$C$25,'Master Log'!$EK$2:$EK$9839,B59)+SUMIFS('Master Log'!$EQ$2:$EQ$9839,'Master Log'!$A$2:$A$9839,"&gt;="&amp;$C$24,'Master Log'!$A$2:$A$9839,"&lt;="&amp;$C$25,'Master Log'!$EP$2:$EP$9839,B59)+SUMIFS('Master Log'!$EV$2:$EV$9839,'Master Log'!$A$2:$A$9839,"&gt;="&amp;$C$24,'Master Log'!$A$2:$A$9839,"&lt;="&amp;$C$25,'Master Log'!$EU$2:$EU$9839,B59)</f>
        <v>0</v>
      </c>
      <c r="D59" s="130">
        <f>IF(B59&lt;&gt;"",COUNTIFS('Master Log'!A:A,"&gt;="&amp;$C$24,'Master Log'!A:A,"&lt;="&amp;$C$25,'Master Log'!CR:CR,B59)+COUNTIFS('Master Log'!A:A,"&gt;="&amp;$C$24,'Master Log'!A:A,"&lt;="&amp;$C$25,'Master Log'!CW:CW,B59)+COUNTIFS('Master Log'!A:A,"&gt;="&amp;$C$24,'Master Log'!A:A,"&lt;="&amp;$C$25,'Master Log'!DB:DB,B59)+COUNTIFS('Master Log'!A:A,"&gt;="&amp;$C$24,'Master Log'!A:A,"&lt;="&amp;$C$25,'Master Log'!DG:DG,B59)+COUNTIFS('Master Log'!A:A,"&gt;="&amp;$C$24,'Master Log'!A:A,"&lt;="&amp;$C$25,'Master Log'!DL:DL,B59)+COUNTIFS('Master Log'!A:A,"&gt;="&amp;$C$24,'Master Log'!A:A,"&lt;="&amp;$C$25,'Master Log'!DQ:DQ,B59)+COUNTIFS('Master Log'!A:A,"&gt;="&amp;$C$24,'Master Log'!A:A,"&lt;="&amp;$C$25,'Master Log'!DV:DV,B59)+COUNTIFS('Master Log'!A:A,"&gt;="&amp;$C$24,'Master Log'!A:A,"&lt;="&amp;$C$25,'Master Log'!EA:EA,B59)+COUNTIFS('Master Log'!A:A,"&gt;="&amp;$C$24,'Master Log'!A:A,"&lt;="&amp;$C$25,'Master Log'!EF:EF,B59)+COUNTIFS('Master Log'!A:A,"&gt;="&amp;$C$24,'Master Log'!A:A,"&lt;="&amp;$C$25,'Master Log'!EK:EK,B59)+COUNTIFS('Master Log'!A:A,"&gt;="&amp;$C$24,'Master Log'!A:A,"&lt;="&amp;$C$25,'Master Log'!EP:EP,B59)+COUNTIFS('Master Log'!A:A,"&gt;="&amp;$C$24,'Master Log'!A:A,"&lt;="&amp;$C$25,'Master Log'!EU:EU,B59),"")</f>
        <v>0</v>
      </c>
      <c r="E59" s="135">
        <f t="shared" si="2"/>
        <v>0</v>
      </c>
    </row>
    <row r="60" spans="2:5">
      <c r="B60" s="127" t="str">
        <f>IF('Setup Sheet'!A35&lt;&gt;"",'Setup Sheet'!A35,"")</f>
        <v>Other_(Equpment)</v>
      </c>
      <c r="C60" s="128">
        <f>SUMIFS('Master Log'!$CS$2:$CS$9839,'Master Log'!$A$2:$A$9839,"&gt;="&amp;$C$24,'Master Log'!$A$2:$A$9839,"&lt;="&amp;$C$25,'Master Log'!$CR$2:$CR$9839,B60)+SUMIFS('Master Log'!$CX$2:$CX$9839,'Master Log'!$A$2:$A$9839,"&gt;="&amp;$C$24,'Master Log'!$A$2:$A$9839,"&lt;="&amp;$C$25,'Master Log'!$CW$2:$CW$9839,B60)+SUMIFS('Master Log'!$DC$2:$DC$9839,'Master Log'!$A$2:$A$9839,"&gt;="&amp;$C$24,'Master Log'!$A$2:$A$9839,"&lt;="&amp;$C$25,'Master Log'!$DB$2:$DB$9839,B60)+SUMIFS('Master Log'!$DH$2:$DH$9839,'Master Log'!$A$2:$A$9839,"&gt;="&amp;$C$24,'Master Log'!$A$2:$A$9839,"&lt;="&amp;$C$25,'Master Log'!$DG$2:$DG$9839,B60)+SUMIFS('Master Log'!$DM$2:$DM$9839,'Master Log'!$A$2:$A$9839,"&gt;="&amp;$C$24,'Master Log'!$A$2:$A$9839,"&lt;="&amp;$C$25,'Master Log'!$DL$2:$DL$9839,B60)+SUMIFS('Master Log'!$DR$2:$DR$9839,'Master Log'!$A$2:$A$9839,"&gt;="&amp;$C$24,'Master Log'!$A$2:$A$9839,"&lt;="&amp;$C$25,'Master Log'!$DQ$2:$DQ$9839,B60)+SUMIFS('Master Log'!$DW$2:$DW$9839,'Master Log'!$A$2:$A$9839,"&gt;="&amp;$C$24,'Master Log'!$A$2:$A$9839,"&lt;="&amp;$C$25,'Master Log'!$DV$2:$DV$9839,B60)+SUMIFS('Master Log'!$EB$2:$EB$9839,'Master Log'!$A$2:$A$9839,"&gt;="&amp;$C$24,'Master Log'!$A$2:$A$9839,"&lt;="&amp;$C$25,'Master Log'!$EA$2:$EA$9839,B60)+SUMIFS('Master Log'!$EG$2:$EG$9839,'Master Log'!$A$2:$A$9839,"&gt;="&amp;$C$24,'Master Log'!$A$2:$A$9839,"&lt;="&amp;$C$25,'Master Log'!$EF$2:$EF$9839,B60)+SUMIFS('Master Log'!$EL$2:$EL$9839,'Master Log'!$A$2:$A$9839,"&gt;="&amp;$C$24,'Master Log'!$A$2:$A$9839,"&lt;="&amp;$C$25,'Master Log'!$EK$2:$EK$9839,B60)+SUMIFS('Master Log'!$EQ$2:$EQ$9839,'Master Log'!$A$2:$A$9839,"&gt;="&amp;$C$24,'Master Log'!$A$2:$A$9839,"&lt;="&amp;$C$25,'Master Log'!$EP$2:$EP$9839,B60)+SUMIFS('Master Log'!$EV$2:$EV$9839,'Master Log'!$A$2:$A$9839,"&gt;="&amp;$C$24,'Master Log'!$A$2:$A$9839,"&lt;="&amp;$C$25,'Master Log'!$EU$2:$EU$9839,B60)</f>
        <v>0</v>
      </c>
      <c r="D60" s="130">
        <f>IF(B60&lt;&gt;"",COUNTIFS('Master Log'!A:A,"&gt;="&amp;$C$24,'Master Log'!A:A,"&lt;="&amp;$C$25,'Master Log'!CR:CR,B60)+COUNTIFS('Master Log'!A:A,"&gt;="&amp;$C$24,'Master Log'!A:A,"&lt;="&amp;$C$25,'Master Log'!CW:CW,B60)+COUNTIFS('Master Log'!A:A,"&gt;="&amp;$C$24,'Master Log'!A:A,"&lt;="&amp;$C$25,'Master Log'!DB:DB,B60)+COUNTIFS('Master Log'!A:A,"&gt;="&amp;$C$24,'Master Log'!A:A,"&lt;="&amp;$C$25,'Master Log'!DG:DG,B60)+COUNTIFS('Master Log'!A:A,"&gt;="&amp;$C$24,'Master Log'!A:A,"&lt;="&amp;$C$25,'Master Log'!DL:DL,B60)+COUNTIFS('Master Log'!A:A,"&gt;="&amp;$C$24,'Master Log'!A:A,"&lt;="&amp;$C$25,'Master Log'!DQ:DQ,B60)+COUNTIFS('Master Log'!A:A,"&gt;="&amp;$C$24,'Master Log'!A:A,"&lt;="&amp;$C$25,'Master Log'!DV:DV,B60)+COUNTIFS('Master Log'!A:A,"&gt;="&amp;$C$24,'Master Log'!A:A,"&lt;="&amp;$C$25,'Master Log'!EA:EA,B60)+COUNTIFS('Master Log'!A:A,"&gt;="&amp;$C$24,'Master Log'!A:A,"&lt;="&amp;$C$25,'Master Log'!EF:EF,B60)+COUNTIFS('Master Log'!A:A,"&gt;="&amp;$C$24,'Master Log'!A:A,"&lt;="&amp;$C$25,'Master Log'!EK:EK,B60)+COUNTIFS('Master Log'!A:A,"&gt;="&amp;$C$24,'Master Log'!A:A,"&lt;="&amp;$C$25,'Master Log'!EP:EP,B60)+COUNTIFS('Master Log'!A:A,"&gt;="&amp;$C$24,'Master Log'!A:A,"&lt;="&amp;$C$25,'Master Log'!EU:EU,B60),"")</f>
        <v>0</v>
      </c>
      <c r="E60" s="135">
        <f t="shared" si="2"/>
        <v>0</v>
      </c>
    </row>
    <row r="61" spans="2:5">
      <c r="B61" s="127" t="str">
        <f>IF('Setup Sheet'!A37&lt;&gt;"",'Setup Sheet'!A37,"")</f>
        <v>Lift_Assist_(Equipment)</v>
      </c>
      <c r="C61" s="128">
        <f>SUMIFS('Master Log'!$CS$2:$CS$9839,'Master Log'!$A$2:$A$9839,"&gt;="&amp;$C$24,'Master Log'!$A$2:$A$9839,"&lt;="&amp;$C$25,'Master Log'!$CR$2:$CR$9839,B61)+SUMIFS('Master Log'!$CX$2:$CX$9839,'Master Log'!$A$2:$A$9839,"&gt;="&amp;$C$24,'Master Log'!$A$2:$A$9839,"&lt;="&amp;$C$25,'Master Log'!$CW$2:$CW$9839,B61)+SUMIFS('Master Log'!$DC$2:$DC$9839,'Master Log'!$A$2:$A$9839,"&gt;="&amp;$C$24,'Master Log'!$A$2:$A$9839,"&lt;="&amp;$C$25,'Master Log'!$DB$2:$DB$9839,B61)+SUMIFS('Master Log'!$DH$2:$DH$9839,'Master Log'!$A$2:$A$9839,"&gt;="&amp;$C$24,'Master Log'!$A$2:$A$9839,"&lt;="&amp;$C$25,'Master Log'!$DG$2:$DG$9839,B61)+SUMIFS('Master Log'!$DM$2:$DM$9839,'Master Log'!$A$2:$A$9839,"&gt;="&amp;$C$24,'Master Log'!$A$2:$A$9839,"&lt;="&amp;$C$25,'Master Log'!$DL$2:$DL$9839,B61)+SUMIFS('Master Log'!$DR$2:$DR$9839,'Master Log'!$A$2:$A$9839,"&gt;="&amp;$C$24,'Master Log'!$A$2:$A$9839,"&lt;="&amp;$C$25,'Master Log'!$DQ$2:$DQ$9839,B61)+SUMIFS('Master Log'!$DW$2:$DW$9839,'Master Log'!$A$2:$A$9839,"&gt;="&amp;$C$24,'Master Log'!$A$2:$A$9839,"&lt;="&amp;$C$25,'Master Log'!$DV$2:$DV$9839,B61)+SUMIFS('Master Log'!$EB$2:$EB$9839,'Master Log'!$A$2:$A$9839,"&gt;="&amp;$C$24,'Master Log'!$A$2:$A$9839,"&lt;="&amp;$C$25,'Master Log'!$EA$2:$EA$9839,B61)+SUMIFS('Master Log'!$EG$2:$EG$9839,'Master Log'!$A$2:$A$9839,"&gt;="&amp;$C$24,'Master Log'!$A$2:$A$9839,"&lt;="&amp;$C$25,'Master Log'!$EF$2:$EF$9839,B61)+SUMIFS('Master Log'!$EL$2:$EL$9839,'Master Log'!$A$2:$A$9839,"&gt;="&amp;$C$24,'Master Log'!$A$2:$A$9839,"&lt;="&amp;$C$25,'Master Log'!$EK$2:$EK$9839,B61)+SUMIFS('Master Log'!$EQ$2:$EQ$9839,'Master Log'!$A$2:$A$9839,"&gt;="&amp;$C$24,'Master Log'!$A$2:$A$9839,"&lt;="&amp;$C$25,'Master Log'!$EP$2:$EP$9839,B61)+SUMIFS('Master Log'!$EV$2:$EV$9839,'Master Log'!$A$2:$A$9839,"&gt;="&amp;$C$24,'Master Log'!$A$2:$A$9839,"&lt;="&amp;$C$25,'Master Log'!$EU$2:$EU$9839,B61)</f>
        <v>0</v>
      </c>
      <c r="D61" s="130">
        <f>IF(B61&lt;&gt;"",COUNTIFS('Master Log'!A:A,"&gt;="&amp;$C$24,'Master Log'!A:A,"&lt;="&amp;$C$25,'Master Log'!CR:CR,B61)+COUNTIFS('Master Log'!A:A,"&gt;="&amp;$C$24,'Master Log'!A:A,"&lt;="&amp;$C$25,'Master Log'!CW:CW,B61)+COUNTIFS('Master Log'!A:A,"&gt;="&amp;$C$24,'Master Log'!A:A,"&lt;="&amp;$C$25,'Master Log'!DB:DB,B61)+COUNTIFS('Master Log'!A:A,"&gt;="&amp;$C$24,'Master Log'!A:A,"&lt;="&amp;$C$25,'Master Log'!DG:DG,B61)+COUNTIFS('Master Log'!A:A,"&gt;="&amp;$C$24,'Master Log'!A:A,"&lt;="&amp;$C$25,'Master Log'!DL:DL,B61)+COUNTIFS('Master Log'!A:A,"&gt;="&amp;$C$24,'Master Log'!A:A,"&lt;="&amp;$C$25,'Master Log'!DQ:DQ,B61)+COUNTIFS('Master Log'!A:A,"&gt;="&amp;$C$24,'Master Log'!A:A,"&lt;="&amp;$C$25,'Master Log'!DV:DV,B61)+COUNTIFS('Master Log'!A:A,"&gt;="&amp;$C$24,'Master Log'!A:A,"&lt;="&amp;$C$25,'Master Log'!EA:EA,B61)+COUNTIFS('Master Log'!A:A,"&gt;="&amp;$C$24,'Master Log'!A:A,"&lt;="&amp;$C$25,'Master Log'!EF:EF,B61)+COUNTIFS('Master Log'!A:A,"&gt;="&amp;$C$24,'Master Log'!A:A,"&lt;="&amp;$C$25,'Master Log'!EK:EK,B61)+COUNTIFS('Master Log'!A:A,"&gt;="&amp;$C$24,'Master Log'!A:A,"&lt;="&amp;$C$25,'Master Log'!EP:EP,B61)+COUNTIFS('Master Log'!A:A,"&gt;="&amp;$C$24,'Master Log'!A:A,"&lt;="&amp;$C$25,'Master Log'!EU:EU,B61),"")</f>
        <v>0</v>
      </c>
      <c r="E61" s="135">
        <f t="shared" si="2"/>
        <v>0</v>
      </c>
    </row>
    <row r="62" spans="2:5">
      <c r="B62" s="127" t="str">
        <f>IF('Setup Sheet'!A38&lt;&gt;"",'Setup Sheet'!A38,"")</f>
        <v>Lift_Assist_(Operating_Discipline)</v>
      </c>
      <c r="C62" s="128">
        <f>SUMIFS('Master Log'!$CS$2:$CS$9839,'Master Log'!$A$2:$A$9839,"&gt;="&amp;$C$24,'Master Log'!$A$2:$A$9839,"&lt;="&amp;$C$25,'Master Log'!$CR$2:$CR$9839,B62)+SUMIFS('Master Log'!$CX$2:$CX$9839,'Master Log'!$A$2:$A$9839,"&gt;="&amp;$C$24,'Master Log'!$A$2:$A$9839,"&lt;="&amp;$C$25,'Master Log'!$CW$2:$CW$9839,B62)+SUMIFS('Master Log'!$DC$2:$DC$9839,'Master Log'!$A$2:$A$9839,"&gt;="&amp;$C$24,'Master Log'!$A$2:$A$9839,"&lt;="&amp;$C$25,'Master Log'!$DB$2:$DB$9839,B62)+SUMIFS('Master Log'!$DH$2:$DH$9839,'Master Log'!$A$2:$A$9839,"&gt;="&amp;$C$24,'Master Log'!$A$2:$A$9839,"&lt;="&amp;$C$25,'Master Log'!$DG$2:$DG$9839,B62)+SUMIFS('Master Log'!$DM$2:$DM$9839,'Master Log'!$A$2:$A$9839,"&gt;="&amp;$C$24,'Master Log'!$A$2:$A$9839,"&lt;="&amp;$C$25,'Master Log'!$DL$2:$DL$9839,B62)+SUMIFS('Master Log'!$DR$2:$DR$9839,'Master Log'!$A$2:$A$9839,"&gt;="&amp;$C$24,'Master Log'!$A$2:$A$9839,"&lt;="&amp;$C$25,'Master Log'!$DQ$2:$DQ$9839,B62)+SUMIFS('Master Log'!$DW$2:$DW$9839,'Master Log'!$A$2:$A$9839,"&gt;="&amp;$C$24,'Master Log'!$A$2:$A$9839,"&lt;="&amp;$C$25,'Master Log'!$DV$2:$DV$9839,B62)+SUMIFS('Master Log'!$EB$2:$EB$9839,'Master Log'!$A$2:$A$9839,"&gt;="&amp;$C$24,'Master Log'!$A$2:$A$9839,"&lt;="&amp;$C$25,'Master Log'!$EA$2:$EA$9839,B62)+SUMIFS('Master Log'!$EG$2:$EG$9839,'Master Log'!$A$2:$A$9839,"&gt;="&amp;$C$24,'Master Log'!$A$2:$A$9839,"&lt;="&amp;$C$25,'Master Log'!$EF$2:$EF$9839,B62)+SUMIFS('Master Log'!$EL$2:$EL$9839,'Master Log'!$A$2:$A$9839,"&gt;="&amp;$C$24,'Master Log'!$A$2:$A$9839,"&lt;="&amp;$C$25,'Master Log'!$EK$2:$EK$9839,B62)+SUMIFS('Master Log'!$EQ$2:$EQ$9839,'Master Log'!$A$2:$A$9839,"&gt;="&amp;$C$24,'Master Log'!$A$2:$A$9839,"&lt;="&amp;$C$25,'Master Log'!$EP$2:$EP$9839,B62)+SUMIFS('Master Log'!$EV$2:$EV$9839,'Master Log'!$A$2:$A$9839,"&gt;="&amp;$C$24,'Master Log'!$A$2:$A$9839,"&lt;="&amp;$C$25,'Master Log'!$EU$2:$EU$9839,B62)</f>
        <v>0</v>
      </c>
      <c r="D62" s="130">
        <f>IF(B62&lt;&gt;"",COUNTIFS('Master Log'!A:A,"&gt;="&amp;$C$24,'Master Log'!A:A,"&lt;="&amp;$C$25,'Master Log'!CR:CR,B62)+COUNTIFS('Master Log'!A:A,"&gt;="&amp;$C$24,'Master Log'!A:A,"&lt;="&amp;$C$25,'Master Log'!CW:CW,B62)+COUNTIFS('Master Log'!A:A,"&gt;="&amp;$C$24,'Master Log'!A:A,"&lt;="&amp;$C$25,'Master Log'!DB:DB,B62)+COUNTIFS('Master Log'!A:A,"&gt;="&amp;$C$24,'Master Log'!A:A,"&lt;="&amp;$C$25,'Master Log'!DG:DG,B62)+COUNTIFS('Master Log'!A:A,"&gt;="&amp;$C$24,'Master Log'!A:A,"&lt;="&amp;$C$25,'Master Log'!DL:DL,B62)+COUNTIFS('Master Log'!A:A,"&gt;="&amp;$C$24,'Master Log'!A:A,"&lt;="&amp;$C$25,'Master Log'!DQ:DQ,B62)+COUNTIFS('Master Log'!A:A,"&gt;="&amp;$C$24,'Master Log'!A:A,"&lt;="&amp;$C$25,'Master Log'!DV:DV,B62)+COUNTIFS('Master Log'!A:A,"&gt;="&amp;$C$24,'Master Log'!A:A,"&lt;="&amp;$C$25,'Master Log'!EA:EA,B62)+COUNTIFS('Master Log'!A:A,"&gt;="&amp;$C$24,'Master Log'!A:A,"&lt;="&amp;$C$25,'Master Log'!EF:EF,B62)+COUNTIFS('Master Log'!A:A,"&gt;="&amp;$C$24,'Master Log'!A:A,"&lt;="&amp;$C$25,'Master Log'!EK:EK,B62)+COUNTIFS('Master Log'!A:A,"&gt;="&amp;$C$24,'Master Log'!A:A,"&lt;="&amp;$C$25,'Master Log'!EP:EP,B62)+COUNTIFS('Master Log'!A:A,"&gt;="&amp;$C$24,'Master Log'!A:A,"&lt;="&amp;$C$25,'Master Log'!EU:EU,B62),"")</f>
        <v>0</v>
      </c>
      <c r="E62" s="135">
        <f t="shared" si="2"/>
        <v>0</v>
      </c>
    </row>
    <row r="63" spans="2:5">
      <c r="B63" s="127" t="str">
        <f>IF('Setup Sheet'!A39&lt;&gt;"",'Setup Sheet'!A39,"")</f>
        <v>Lift_Assist_(Other)</v>
      </c>
      <c r="C63" s="128">
        <f>SUMIFS('Master Log'!$CS$2:$CS$9839,'Master Log'!$A$2:$A$9839,"&gt;="&amp;$C$24,'Master Log'!$A$2:$A$9839,"&lt;="&amp;$C$25,'Master Log'!$CR$2:$CR$9839,B63)+SUMIFS('Master Log'!$CX$2:$CX$9839,'Master Log'!$A$2:$A$9839,"&gt;="&amp;$C$24,'Master Log'!$A$2:$A$9839,"&lt;="&amp;$C$25,'Master Log'!$CW$2:$CW$9839,B63)+SUMIFS('Master Log'!$DC$2:$DC$9839,'Master Log'!$A$2:$A$9839,"&gt;="&amp;$C$24,'Master Log'!$A$2:$A$9839,"&lt;="&amp;$C$25,'Master Log'!$DB$2:$DB$9839,B63)+SUMIFS('Master Log'!$DH$2:$DH$9839,'Master Log'!$A$2:$A$9839,"&gt;="&amp;$C$24,'Master Log'!$A$2:$A$9839,"&lt;="&amp;$C$25,'Master Log'!$DG$2:$DG$9839,B63)+SUMIFS('Master Log'!$DM$2:$DM$9839,'Master Log'!$A$2:$A$9839,"&gt;="&amp;$C$24,'Master Log'!$A$2:$A$9839,"&lt;="&amp;$C$25,'Master Log'!$DL$2:$DL$9839,B63)+SUMIFS('Master Log'!$DR$2:$DR$9839,'Master Log'!$A$2:$A$9839,"&gt;="&amp;$C$24,'Master Log'!$A$2:$A$9839,"&lt;="&amp;$C$25,'Master Log'!$DQ$2:$DQ$9839,B63)+SUMIFS('Master Log'!$DW$2:$DW$9839,'Master Log'!$A$2:$A$9839,"&gt;="&amp;$C$24,'Master Log'!$A$2:$A$9839,"&lt;="&amp;$C$25,'Master Log'!$DV$2:$DV$9839,B63)+SUMIFS('Master Log'!$EB$2:$EB$9839,'Master Log'!$A$2:$A$9839,"&gt;="&amp;$C$24,'Master Log'!$A$2:$A$9839,"&lt;="&amp;$C$25,'Master Log'!$EA$2:$EA$9839,B63)+SUMIFS('Master Log'!$EG$2:$EG$9839,'Master Log'!$A$2:$A$9839,"&gt;="&amp;$C$24,'Master Log'!$A$2:$A$9839,"&lt;="&amp;$C$25,'Master Log'!$EF$2:$EF$9839,B63)+SUMIFS('Master Log'!$EL$2:$EL$9839,'Master Log'!$A$2:$A$9839,"&gt;="&amp;$C$24,'Master Log'!$A$2:$A$9839,"&lt;="&amp;$C$25,'Master Log'!$EK$2:$EK$9839,B63)+SUMIFS('Master Log'!$EQ$2:$EQ$9839,'Master Log'!$A$2:$A$9839,"&gt;="&amp;$C$24,'Master Log'!$A$2:$A$9839,"&lt;="&amp;$C$25,'Master Log'!$EP$2:$EP$9839,B63)+SUMIFS('Master Log'!$EV$2:$EV$9839,'Master Log'!$A$2:$A$9839,"&gt;="&amp;$C$24,'Master Log'!$A$2:$A$9839,"&lt;="&amp;$C$25,'Master Log'!$EU$2:$EU$9839,B63)</f>
        <v>0</v>
      </c>
      <c r="D63" s="130">
        <f>IF(B63&lt;&gt;"",COUNTIFS('Master Log'!A:A,"&gt;="&amp;$C$24,'Master Log'!A:A,"&lt;="&amp;$C$25,'Master Log'!CR:CR,B63)+COUNTIFS('Master Log'!A:A,"&gt;="&amp;$C$24,'Master Log'!A:A,"&lt;="&amp;$C$25,'Master Log'!CW:CW,B63)+COUNTIFS('Master Log'!A:A,"&gt;="&amp;$C$24,'Master Log'!A:A,"&lt;="&amp;$C$25,'Master Log'!DB:DB,B63)+COUNTIFS('Master Log'!A:A,"&gt;="&amp;$C$24,'Master Log'!A:A,"&lt;="&amp;$C$25,'Master Log'!DG:DG,B63)+COUNTIFS('Master Log'!A:A,"&gt;="&amp;$C$24,'Master Log'!A:A,"&lt;="&amp;$C$25,'Master Log'!DL:DL,B63)+COUNTIFS('Master Log'!A:A,"&gt;="&amp;$C$24,'Master Log'!A:A,"&lt;="&amp;$C$25,'Master Log'!DQ:DQ,B63)+COUNTIFS('Master Log'!A:A,"&gt;="&amp;$C$24,'Master Log'!A:A,"&lt;="&amp;$C$25,'Master Log'!DV:DV,B63)+COUNTIFS('Master Log'!A:A,"&gt;="&amp;$C$24,'Master Log'!A:A,"&lt;="&amp;$C$25,'Master Log'!EA:EA,B63)+COUNTIFS('Master Log'!A:A,"&gt;="&amp;$C$24,'Master Log'!A:A,"&lt;="&amp;$C$25,'Master Log'!EF:EF,B63)+COUNTIFS('Master Log'!A:A,"&gt;="&amp;$C$24,'Master Log'!A:A,"&lt;="&amp;$C$25,'Master Log'!EK:EK,B63)+COUNTIFS('Master Log'!A:A,"&gt;="&amp;$C$24,'Master Log'!A:A,"&lt;="&amp;$C$25,'Master Log'!EP:EP,B63)+COUNTIFS('Master Log'!A:A,"&gt;="&amp;$C$24,'Master Log'!A:A,"&lt;="&amp;$C$25,'Master Log'!EU:EU,B63),"")</f>
        <v>0</v>
      </c>
      <c r="E63" s="135">
        <f t="shared" si="2"/>
        <v>0</v>
      </c>
    </row>
    <row r="64" spans="2:5">
      <c r="B64" s="127" t="str">
        <f>IF('Setup Sheet'!A40&lt;&gt;"",'Setup Sheet'!A40,"")</f>
        <v>Stretchwrapper_(Equipment)</v>
      </c>
      <c r="C64" s="128">
        <f>SUMIFS('Master Log'!$CS$2:$CS$9839,'Master Log'!$A$2:$A$9839,"&gt;="&amp;$C$24,'Master Log'!$A$2:$A$9839,"&lt;="&amp;$C$25,'Master Log'!$CR$2:$CR$9839,B64)+SUMIFS('Master Log'!$CX$2:$CX$9839,'Master Log'!$A$2:$A$9839,"&gt;="&amp;$C$24,'Master Log'!$A$2:$A$9839,"&lt;="&amp;$C$25,'Master Log'!$CW$2:$CW$9839,B64)+SUMIFS('Master Log'!$DC$2:$DC$9839,'Master Log'!$A$2:$A$9839,"&gt;="&amp;$C$24,'Master Log'!$A$2:$A$9839,"&lt;="&amp;$C$25,'Master Log'!$DB$2:$DB$9839,B64)+SUMIFS('Master Log'!$DH$2:$DH$9839,'Master Log'!$A$2:$A$9839,"&gt;="&amp;$C$24,'Master Log'!$A$2:$A$9839,"&lt;="&amp;$C$25,'Master Log'!$DG$2:$DG$9839,B64)+SUMIFS('Master Log'!$DM$2:$DM$9839,'Master Log'!$A$2:$A$9839,"&gt;="&amp;$C$24,'Master Log'!$A$2:$A$9839,"&lt;="&amp;$C$25,'Master Log'!$DL$2:$DL$9839,B64)+SUMIFS('Master Log'!$DR$2:$DR$9839,'Master Log'!$A$2:$A$9839,"&gt;="&amp;$C$24,'Master Log'!$A$2:$A$9839,"&lt;="&amp;$C$25,'Master Log'!$DQ$2:$DQ$9839,B64)+SUMIFS('Master Log'!$DW$2:$DW$9839,'Master Log'!$A$2:$A$9839,"&gt;="&amp;$C$24,'Master Log'!$A$2:$A$9839,"&lt;="&amp;$C$25,'Master Log'!$DV$2:$DV$9839,B64)+SUMIFS('Master Log'!$EB$2:$EB$9839,'Master Log'!$A$2:$A$9839,"&gt;="&amp;$C$24,'Master Log'!$A$2:$A$9839,"&lt;="&amp;$C$25,'Master Log'!$EA$2:$EA$9839,B64)+SUMIFS('Master Log'!$EG$2:$EG$9839,'Master Log'!$A$2:$A$9839,"&gt;="&amp;$C$24,'Master Log'!$A$2:$A$9839,"&lt;="&amp;$C$25,'Master Log'!$EF$2:$EF$9839,B64)+SUMIFS('Master Log'!$EL$2:$EL$9839,'Master Log'!$A$2:$A$9839,"&gt;="&amp;$C$24,'Master Log'!$A$2:$A$9839,"&lt;="&amp;$C$25,'Master Log'!$EK$2:$EK$9839,B64)+SUMIFS('Master Log'!$EQ$2:$EQ$9839,'Master Log'!$A$2:$A$9839,"&gt;="&amp;$C$24,'Master Log'!$A$2:$A$9839,"&lt;="&amp;$C$25,'Master Log'!$EP$2:$EP$9839,B64)+SUMIFS('Master Log'!$EV$2:$EV$9839,'Master Log'!$A$2:$A$9839,"&gt;="&amp;$C$24,'Master Log'!$A$2:$A$9839,"&lt;="&amp;$C$25,'Master Log'!$EU$2:$EU$9839,B64)</f>
        <v>0</v>
      </c>
      <c r="D64" s="130">
        <f>IF(B64&lt;&gt;"",COUNTIFS('Master Log'!A:A,"&gt;="&amp;$C$24,'Master Log'!A:A,"&lt;="&amp;$C$25,'Master Log'!CR:CR,B64)+COUNTIFS('Master Log'!A:A,"&gt;="&amp;$C$24,'Master Log'!A:A,"&lt;="&amp;$C$25,'Master Log'!CW:CW,B64)+COUNTIFS('Master Log'!A:A,"&gt;="&amp;$C$24,'Master Log'!A:A,"&lt;="&amp;$C$25,'Master Log'!DB:DB,B64)+COUNTIFS('Master Log'!A:A,"&gt;="&amp;$C$24,'Master Log'!A:A,"&lt;="&amp;$C$25,'Master Log'!DG:DG,B64)+COUNTIFS('Master Log'!A:A,"&gt;="&amp;$C$24,'Master Log'!A:A,"&lt;="&amp;$C$25,'Master Log'!DL:DL,B64)+COUNTIFS('Master Log'!A:A,"&gt;="&amp;$C$24,'Master Log'!A:A,"&lt;="&amp;$C$25,'Master Log'!DQ:DQ,B64)+COUNTIFS('Master Log'!A:A,"&gt;="&amp;$C$24,'Master Log'!A:A,"&lt;="&amp;$C$25,'Master Log'!DV:DV,B64)+COUNTIFS('Master Log'!A:A,"&gt;="&amp;$C$24,'Master Log'!A:A,"&lt;="&amp;$C$25,'Master Log'!EA:EA,B64)+COUNTIFS('Master Log'!A:A,"&gt;="&amp;$C$24,'Master Log'!A:A,"&lt;="&amp;$C$25,'Master Log'!EF:EF,B64)+COUNTIFS('Master Log'!A:A,"&gt;="&amp;$C$24,'Master Log'!A:A,"&lt;="&amp;$C$25,'Master Log'!EK:EK,B64)+COUNTIFS('Master Log'!A:A,"&gt;="&amp;$C$24,'Master Log'!A:A,"&lt;="&amp;$C$25,'Master Log'!EP:EP,B64)+COUNTIFS('Master Log'!A:A,"&gt;="&amp;$C$24,'Master Log'!A:A,"&lt;="&amp;$C$25,'Master Log'!EU:EU,B64),"")</f>
        <v>0</v>
      </c>
      <c r="E64" s="135">
        <f t="shared" si="2"/>
        <v>0</v>
      </c>
    </row>
    <row r="65" spans="2:5">
      <c r="B65" s="127" t="str">
        <f>IF('Setup Sheet'!A41&lt;&gt;"",'Setup Sheet'!A41,"")</f>
        <v>Stretchwrapper_(Operating_Discipline)</v>
      </c>
      <c r="C65" s="128">
        <f>SUMIFS('Master Log'!$CS$2:$CS$9839,'Master Log'!$A$2:$A$9839,"&gt;="&amp;$C$24,'Master Log'!$A$2:$A$9839,"&lt;="&amp;$C$25,'Master Log'!$CR$2:$CR$9839,B65)+SUMIFS('Master Log'!$CX$2:$CX$9839,'Master Log'!$A$2:$A$9839,"&gt;="&amp;$C$24,'Master Log'!$A$2:$A$9839,"&lt;="&amp;$C$25,'Master Log'!$CW$2:$CW$9839,B65)+SUMIFS('Master Log'!$DC$2:$DC$9839,'Master Log'!$A$2:$A$9839,"&gt;="&amp;$C$24,'Master Log'!$A$2:$A$9839,"&lt;="&amp;$C$25,'Master Log'!$DB$2:$DB$9839,B65)+SUMIFS('Master Log'!$DH$2:$DH$9839,'Master Log'!$A$2:$A$9839,"&gt;="&amp;$C$24,'Master Log'!$A$2:$A$9839,"&lt;="&amp;$C$25,'Master Log'!$DG$2:$DG$9839,B65)+SUMIFS('Master Log'!$DM$2:$DM$9839,'Master Log'!$A$2:$A$9839,"&gt;="&amp;$C$24,'Master Log'!$A$2:$A$9839,"&lt;="&amp;$C$25,'Master Log'!$DL$2:$DL$9839,B65)+SUMIFS('Master Log'!$DR$2:$DR$9839,'Master Log'!$A$2:$A$9839,"&gt;="&amp;$C$24,'Master Log'!$A$2:$A$9839,"&lt;="&amp;$C$25,'Master Log'!$DQ$2:$DQ$9839,B65)+SUMIFS('Master Log'!$DW$2:$DW$9839,'Master Log'!$A$2:$A$9839,"&gt;="&amp;$C$24,'Master Log'!$A$2:$A$9839,"&lt;="&amp;$C$25,'Master Log'!$DV$2:$DV$9839,B65)+SUMIFS('Master Log'!$EB$2:$EB$9839,'Master Log'!$A$2:$A$9839,"&gt;="&amp;$C$24,'Master Log'!$A$2:$A$9839,"&lt;="&amp;$C$25,'Master Log'!$EA$2:$EA$9839,B65)+SUMIFS('Master Log'!$EG$2:$EG$9839,'Master Log'!$A$2:$A$9839,"&gt;="&amp;$C$24,'Master Log'!$A$2:$A$9839,"&lt;="&amp;$C$25,'Master Log'!$EF$2:$EF$9839,B65)+SUMIFS('Master Log'!$EL$2:$EL$9839,'Master Log'!$A$2:$A$9839,"&gt;="&amp;$C$24,'Master Log'!$A$2:$A$9839,"&lt;="&amp;$C$25,'Master Log'!$EK$2:$EK$9839,B65)+SUMIFS('Master Log'!$EQ$2:$EQ$9839,'Master Log'!$A$2:$A$9839,"&gt;="&amp;$C$24,'Master Log'!$A$2:$A$9839,"&lt;="&amp;$C$25,'Master Log'!$EP$2:$EP$9839,B65)+SUMIFS('Master Log'!$EV$2:$EV$9839,'Master Log'!$A$2:$A$9839,"&gt;="&amp;$C$24,'Master Log'!$A$2:$A$9839,"&lt;="&amp;$C$25,'Master Log'!$EU$2:$EU$9839,B65)</f>
        <v>0</v>
      </c>
      <c r="D65" s="130">
        <f>IF(B65&lt;&gt;"",COUNTIFS('Master Log'!A:A,"&gt;="&amp;$C$24,'Master Log'!A:A,"&lt;="&amp;$C$25,'Master Log'!CR:CR,B65)+COUNTIFS('Master Log'!A:A,"&gt;="&amp;$C$24,'Master Log'!A:A,"&lt;="&amp;$C$25,'Master Log'!CW:CW,B65)+COUNTIFS('Master Log'!A:A,"&gt;="&amp;$C$24,'Master Log'!A:A,"&lt;="&amp;$C$25,'Master Log'!DB:DB,B65)+COUNTIFS('Master Log'!A:A,"&gt;="&amp;$C$24,'Master Log'!A:A,"&lt;="&amp;$C$25,'Master Log'!DG:DG,B65)+COUNTIFS('Master Log'!A:A,"&gt;="&amp;$C$24,'Master Log'!A:A,"&lt;="&amp;$C$25,'Master Log'!DL:DL,B65)+COUNTIFS('Master Log'!A:A,"&gt;="&amp;$C$24,'Master Log'!A:A,"&lt;="&amp;$C$25,'Master Log'!DQ:DQ,B65)+COUNTIFS('Master Log'!A:A,"&gt;="&amp;$C$24,'Master Log'!A:A,"&lt;="&amp;$C$25,'Master Log'!DV:DV,B65)+COUNTIFS('Master Log'!A:A,"&gt;="&amp;$C$24,'Master Log'!A:A,"&lt;="&amp;$C$25,'Master Log'!EA:EA,B65)+COUNTIFS('Master Log'!A:A,"&gt;="&amp;$C$24,'Master Log'!A:A,"&lt;="&amp;$C$25,'Master Log'!EF:EF,B65)+COUNTIFS('Master Log'!A:A,"&gt;="&amp;$C$24,'Master Log'!A:A,"&lt;="&amp;$C$25,'Master Log'!EK:EK,B65)+COUNTIFS('Master Log'!A:A,"&gt;="&amp;$C$24,'Master Log'!A:A,"&lt;="&amp;$C$25,'Master Log'!EP:EP,B65)+COUNTIFS('Master Log'!A:A,"&gt;="&amp;$C$24,'Master Log'!A:A,"&lt;="&amp;$C$25,'Master Log'!EU:EU,B65),"")</f>
        <v>0</v>
      </c>
      <c r="E65" s="135">
        <f t="shared" si="2"/>
        <v>0</v>
      </c>
    </row>
    <row r="66" spans="2:5">
      <c r="B66" s="127" t="str">
        <f>IF('Setup Sheet'!A42&lt;&gt;"",'Setup Sheet'!A42,"")</f>
        <v>Stretchwrapper_(Other)</v>
      </c>
      <c r="C66" s="128">
        <f>SUMIFS('Master Log'!$CS$2:$CS$9839,'Master Log'!$A$2:$A$9839,"&gt;="&amp;$C$24,'Master Log'!$A$2:$A$9839,"&lt;="&amp;$C$25,'Master Log'!$CR$2:$CR$9839,B66)+SUMIFS('Master Log'!$CX$2:$CX$9839,'Master Log'!$A$2:$A$9839,"&gt;="&amp;$C$24,'Master Log'!$A$2:$A$9839,"&lt;="&amp;$C$25,'Master Log'!$CW$2:$CW$9839,B66)+SUMIFS('Master Log'!$DC$2:$DC$9839,'Master Log'!$A$2:$A$9839,"&gt;="&amp;$C$24,'Master Log'!$A$2:$A$9839,"&lt;="&amp;$C$25,'Master Log'!$DB$2:$DB$9839,B66)+SUMIFS('Master Log'!$DH$2:$DH$9839,'Master Log'!$A$2:$A$9839,"&gt;="&amp;$C$24,'Master Log'!$A$2:$A$9839,"&lt;="&amp;$C$25,'Master Log'!$DG$2:$DG$9839,B66)+SUMIFS('Master Log'!$DM$2:$DM$9839,'Master Log'!$A$2:$A$9839,"&gt;="&amp;$C$24,'Master Log'!$A$2:$A$9839,"&lt;="&amp;$C$25,'Master Log'!$DL$2:$DL$9839,B66)+SUMIFS('Master Log'!$DR$2:$DR$9839,'Master Log'!$A$2:$A$9839,"&gt;="&amp;$C$24,'Master Log'!$A$2:$A$9839,"&lt;="&amp;$C$25,'Master Log'!$DQ$2:$DQ$9839,B66)+SUMIFS('Master Log'!$DW$2:$DW$9839,'Master Log'!$A$2:$A$9839,"&gt;="&amp;$C$24,'Master Log'!$A$2:$A$9839,"&lt;="&amp;$C$25,'Master Log'!$DV$2:$DV$9839,B66)+SUMIFS('Master Log'!$EB$2:$EB$9839,'Master Log'!$A$2:$A$9839,"&gt;="&amp;$C$24,'Master Log'!$A$2:$A$9839,"&lt;="&amp;$C$25,'Master Log'!$EA$2:$EA$9839,B66)+SUMIFS('Master Log'!$EG$2:$EG$9839,'Master Log'!$A$2:$A$9839,"&gt;="&amp;$C$24,'Master Log'!$A$2:$A$9839,"&lt;="&amp;$C$25,'Master Log'!$EF$2:$EF$9839,B66)+SUMIFS('Master Log'!$EL$2:$EL$9839,'Master Log'!$A$2:$A$9839,"&gt;="&amp;$C$24,'Master Log'!$A$2:$A$9839,"&lt;="&amp;$C$25,'Master Log'!$EK$2:$EK$9839,B66)+SUMIFS('Master Log'!$EQ$2:$EQ$9839,'Master Log'!$A$2:$A$9839,"&gt;="&amp;$C$24,'Master Log'!$A$2:$A$9839,"&lt;="&amp;$C$25,'Master Log'!$EP$2:$EP$9839,B66)+SUMIFS('Master Log'!$EV$2:$EV$9839,'Master Log'!$A$2:$A$9839,"&gt;="&amp;$C$24,'Master Log'!$A$2:$A$9839,"&lt;="&amp;$C$25,'Master Log'!$EU$2:$EU$9839,B66)</f>
        <v>0</v>
      </c>
      <c r="D66" s="130">
        <f>IF(B66&lt;&gt;"",COUNTIFS('Master Log'!A:A,"&gt;="&amp;$C$24,'Master Log'!A:A,"&lt;="&amp;$C$25,'Master Log'!CR:CR,B66)+COUNTIFS('Master Log'!A:A,"&gt;="&amp;$C$24,'Master Log'!A:A,"&lt;="&amp;$C$25,'Master Log'!CW:CW,B66)+COUNTIFS('Master Log'!A:A,"&gt;="&amp;$C$24,'Master Log'!A:A,"&lt;="&amp;$C$25,'Master Log'!DB:DB,B66)+COUNTIFS('Master Log'!A:A,"&gt;="&amp;$C$24,'Master Log'!A:A,"&lt;="&amp;$C$25,'Master Log'!DG:DG,B66)+COUNTIFS('Master Log'!A:A,"&gt;="&amp;$C$24,'Master Log'!A:A,"&lt;="&amp;$C$25,'Master Log'!DL:DL,B66)+COUNTIFS('Master Log'!A:A,"&gt;="&amp;$C$24,'Master Log'!A:A,"&lt;="&amp;$C$25,'Master Log'!DQ:DQ,B66)+COUNTIFS('Master Log'!A:A,"&gt;="&amp;$C$24,'Master Log'!A:A,"&lt;="&amp;$C$25,'Master Log'!DV:DV,B66)+COUNTIFS('Master Log'!A:A,"&gt;="&amp;$C$24,'Master Log'!A:A,"&lt;="&amp;$C$25,'Master Log'!EA:EA,B66)+COUNTIFS('Master Log'!A:A,"&gt;="&amp;$C$24,'Master Log'!A:A,"&lt;="&amp;$C$25,'Master Log'!EF:EF,B66)+COUNTIFS('Master Log'!A:A,"&gt;="&amp;$C$24,'Master Log'!A:A,"&lt;="&amp;$C$25,'Master Log'!EK:EK,B66)+COUNTIFS('Master Log'!A:A,"&gt;="&amp;$C$24,'Master Log'!A:A,"&lt;="&amp;$C$25,'Master Log'!EP:EP,B66)+COUNTIFS('Master Log'!A:A,"&gt;="&amp;$C$24,'Master Log'!A:A,"&lt;="&amp;$C$25,'Master Log'!EU:EU,B66),"")</f>
        <v>0</v>
      </c>
      <c r="E66" s="135">
        <f t="shared" si="2"/>
        <v>0</v>
      </c>
    </row>
    <row r="67" spans="2:5">
      <c r="B67" s="127" t="str">
        <f>IF('Setup Sheet'!A45&lt;&gt;"",'Setup Sheet'!A45,"")</f>
        <v>Utilities shortage</v>
      </c>
      <c r="C67" s="128">
        <f>SUMIFS('Master Log'!$CS$2:$CS$9839,'Master Log'!$A$2:$A$9839,"&gt;="&amp;$C$24,'Master Log'!$A$2:$A$9839,"&lt;="&amp;$C$25,'Master Log'!$CR$2:$CR$9839,B67)+SUMIFS('Master Log'!$CX$2:$CX$9839,'Master Log'!$A$2:$A$9839,"&gt;="&amp;$C$24,'Master Log'!$A$2:$A$9839,"&lt;="&amp;$C$25,'Master Log'!$CW$2:$CW$9839,B67)+SUMIFS('Master Log'!$DC$2:$DC$9839,'Master Log'!$A$2:$A$9839,"&gt;="&amp;$C$24,'Master Log'!$A$2:$A$9839,"&lt;="&amp;$C$25,'Master Log'!$DB$2:$DB$9839,B67)+SUMIFS('Master Log'!$DH$2:$DH$9839,'Master Log'!$A$2:$A$9839,"&gt;="&amp;$C$24,'Master Log'!$A$2:$A$9839,"&lt;="&amp;$C$25,'Master Log'!$DG$2:$DG$9839,B67)+SUMIFS('Master Log'!$DM$2:$DM$9839,'Master Log'!$A$2:$A$9839,"&gt;="&amp;$C$24,'Master Log'!$A$2:$A$9839,"&lt;="&amp;$C$25,'Master Log'!$DL$2:$DL$9839,B67)+SUMIFS('Master Log'!$DR$2:$DR$9839,'Master Log'!$A$2:$A$9839,"&gt;="&amp;$C$24,'Master Log'!$A$2:$A$9839,"&lt;="&amp;$C$25,'Master Log'!$DQ$2:$DQ$9839,B67)+SUMIFS('Master Log'!$DW$2:$DW$9839,'Master Log'!$A$2:$A$9839,"&gt;="&amp;$C$24,'Master Log'!$A$2:$A$9839,"&lt;="&amp;$C$25,'Master Log'!$DV$2:$DV$9839,B67)+SUMIFS('Master Log'!$EB$2:$EB$9839,'Master Log'!$A$2:$A$9839,"&gt;="&amp;$C$24,'Master Log'!$A$2:$A$9839,"&lt;="&amp;$C$25,'Master Log'!$EA$2:$EA$9839,B67)+SUMIFS('Master Log'!$EG$2:$EG$9839,'Master Log'!$A$2:$A$9839,"&gt;="&amp;$C$24,'Master Log'!$A$2:$A$9839,"&lt;="&amp;$C$25,'Master Log'!$EF$2:$EF$9839,B67)+SUMIFS('Master Log'!$EL$2:$EL$9839,'Master Log'!$A$2:$A$9839,"&gt;="&amp;$C$24,'Master Log'!$A$2:$A$9839,"&lt;="&amp;$C$25,'Master Log'!$EK$2:$EK$9839,B67)+SUMIFS('Master Log'!$EQ$2:$EQ$9839,'Master Log'!$A$2:$A$9839,"&gt;="&amp;$C$24,'Master Log'!$A$2:$A$9839,"&lt;="&amp;$C$25,'Master Log'!$EP$2:$EP$9839,B67)+SUMIFS('Master Log'!$EV$2:$EV$9839,'Master Log'!$A$2:$A$9839,"&gt;="&amp;$C$24,'Master Log'!$A$2:$A$9839,"&lt;="&amp;$C$25,'Master Log'!$EU$2:$EU$9839,B67)</f>
        <v>0</v>
      </c>
      <c r="D67" s="130">
        <f>IF(B67&lt;&gt;"",COUNTIFS('Master Log'!A:A,"&gt;="&amp;$C$24,'Master Log'!A:A,"&lt;="&amp;$C$25,'Master Log'!CR:CR,B67)+COUNTIFS('Master Log'!A:A,"&gt;="&amp;$C$24,'Master Log'!A:A,"&lt;="&amp;$C$25,'Master Log'!CW:CW,B67)+COUNTIFS('Master Log'!A:A,"&gt;="&amp;$C$24,'Master Log'!A:A,"&lt;="&amp;$C$25,'Master Log'!DB:DB,B67)+COUNTIFS('Master Log'!A:A,"&gt;="&amp;$C$24,'Master Log'!A:A,"&lt;="&amp;$C$25,'Master Log'!DG:DG,B67)+COUNTIFS('Master Log'!A:A,"&gt;="&amp;$C$24,'Master Log'!A:A,"&lt;="&amp;$C$25,'Master Log'!DL:DL,B67)+COUNTIFS('Master Log'!A:A,"&gt;="&amp;$C$24,'Master Log'!A:A,"&lt;="&amp;$C$25,'Master Log'!DQ:DQ,B67)+COUNTIFS('Master Log'!A:A,"&gt;="&amp;$C$24,'Master Log'!A:A,"&lt;="&amp;$C$25,'Master Log'!DV:DV,B67)+COUNTIFS('Master Log'!A:A,"&gt;="&amp;$C$24,'Master Log'!A:A,"&lt;="&amp;$C$25,'Master Log'!EA:EA,B67)+COUNTIFS('Master Log'!A:A,"&gt;="&amp;$C$24,'Master Log'!A:A,"&lt;="&amp;$C$25,'Master Log'!EF:EF,B67)+COUNTIFS('Master Log'!A:A,"&gt;="&amp;$C$24,'Master Log'!A:A,"&lt;="&amp;$C$25,'Master Log'!EK:EK,B67)+COUNTIFS('Master Log'!A:A,"&gt;="&amp;$C$24,'Master Log'!A:A,"&lt;="&amp;$C$25,'Master Log'!EP:EP,B67)+COUNTIFS('Master Log'!A:A,"&gt;="&amp;$C$24,'Master Log'!A:A,"&lt;="&amp;$C$25,'Master Log'!EU:EU,B67),"")</f>
        <v>0</v>
      </c>
      <c r="E67" s="135">
        <f t="shared" si="2"/>
        <v>0</v>
      </c>
    </row>
    <row r="68" spans="2:5">
      <c r="B68" s="127" t="str">
        <f>IF('Setup Sheet'!A48&lt;&gt;"",'Setup Sheet'!A48,"")</f>
        <v>Weigh Scale(Opt.Failure )</v>
      </c>
      <c r="C68" s="128">
        <f>SUMIFS('Master Log'!$CS$2:$CS$9839,'Master Log'!$A$2:$A$9839,"&gt;="&amp;$C$24,'Master Log'!$A$2:$A$9839,"&lt;="&amp;$C$25,'Master Log'!$CR$2:$CR$9839,B68)+SUMIFS('Master Log'!$CX$2:$CX$9839,'Master Log'!$A$2:$A$9839,"&gt;="&amp;$C$24,'Master Log'!$A$2:$A$9839,"&lt;="&amp;$C$25,'Master Log'!$CW$2:$CW$9839,B68)+SUMIFS('Master Log'!$DC$2:$DC$9839,'Master Log'!$A$2:$A$9839,"&gt;="&amp;$C$24,'Master Log'!$A$2:$A$9839,"&lt;="&amp;$C$25,'Master Log'!$DB$2:$DB$9839,B68)+SUMIFS('Master Log'!$DH$2:$DH$9839,'Master Log'!$A$2:$A$9839,"&gt;="&amp;$C$24,'Master Log'!$A$2:$A$9839,"&lt;="&amp;$C$25,'Master Log'!$DG$2:$DG$9839,B68)+SUMIFS('Master Log'!$DM$2:$DM$9839,'Master Log'!$A$2:$A$9839,"&gt;="&amp;$C$24,'Master Log'!$A$2:$A$9839,"&lt;="&amp;$C$25,'Master Log'!$DL$2:$DL$9839,B68)+SUMIFS('Master Log'!$DR$2:$DR$9839,'Master Log'!$A$2:$A$9839,"&gt;="&amp;$C$24,'Master Log'!$A$2:$A$9839,"&lt;="&amp;$C$25,'Master Log'!$DQ$2:$DQ$9839,B68)+SUMIFS('Master Log'!$DW$2:$DW$9839,'Master Log'!$A$2:$A$9839,"&gt;="&amp;$C$24,'Master Log'!$A$2:$A$9839,"&lt;="&amp;$C$25,'Master Log'!$DV$2:$DV$9839,B68)+SUMIFS('Master Log'!$EB$2:$EB$9839,'Master Log'!$A$2:$A$9839,"&gt;="&amp;$C$24,'Master Log'!$A$2:$A$9839,"&lt;="&amp;$C$25,'Master Log'!$EA$2:$EA$9839,B68)+SUMIFS('Master Log'!$EG$2:$EG$9839,'Master Log'!$A$2:$A$9839,"&gt;="&amp;$C$24,'Master Log'!$A$2:$A$9839,"&lt;="&amp;$C$25,'Master Log'!$EF$2:$EF$9839,B68)+SUMIFS('Master Log'!$EL$2:$EL$9839,'Master Log'!$A$2:$A$9839,"&gt;="&amp;$C$24,'Master Log'!$A$2:$A$9839,"&lt;="&amp;$C$25,'Master Log'!$EK$2:$EK$9839,B68)+SUMIFS('Master Log'!$EQ$2:$EQ$9839,'Master Log'!$A$2:$A$9839,"&gt;="&amp;$C$24,'Master Log'!$A$2:$A$9839,"&lt;="&amp;$C$25,'Master Log'!$EP$2:$EP$9839,B68)+SUMIFS('Master Log'!$EV$2:$EV$9839,'Master Log'!$A$2:$A$9839,"&gt;="&amp;$C$24,'Master Log'!$A$2:$A$9839,"&lt;="&amp;$C$25,'Master Log'!$EU$2:$EU$9839,B68)</f>
        <v>0</v>
      </c>
      <c r="D68" s="130">
        <f>IF(B68&lt;&gt;"",COUNTIFS('Master Log'!A:A,"&gt;="&amp;$C$24,'Master Log'!A:A,"&lt;="&amp;$C$25,'Master Log'!CR:CR,B68)+COUNTIFS('Master Log'!A:A,"&gt;="&amp;$C$24,'Master Log'!A:A,"&lt;="&amp;$C$25,'Master Log'!CW:CW,B68)+COUNTIFS('Master Log'!A:A,"&gt;="&amp;$C$24,'Master Log'!A:A,"&lt;="&amp;$C$25,'Master Log'!DB:DB,B68)+COUNTIFS('Master Log'!A:A,"&gt;="&amp;$C$24,'Master Log'!A:A,"&lt;="&amp;$C$25,'Master Log'!DG:DG,B68)+COUNTIFS('Master Log'!A:A,"&gt;="&amp;$C$24,'Master Log'!A:A,"&lt;="&amp;$C$25,'Master Log'!DL:DL,B68)+COUNTIFS('Master Log'!A:A,"&gt;="&amp;$C$24,'Master Log'!A:A,"&lt;="&amp;$C$25,'Master Log'!DQ:DQ,B68)+COUNTIFS('Master Log'!A:A,"&gt;="&amp;$C$24,'Master Log'!A:A,"&lt;="&amp;$C$25,'Master Log'!DV:DV,B68)+COUNTIFS('Master Log'!A:A,"&gt;="&amp;$C$24,'Master Log'!A:A,"&lt;="&amp;$C$25,'Master Log'!EA:EA,B68)+COUNTIFS('Master Log'!A:A,"&gt;="&amp;$C$24,'Master Log'!A:A,"&lt;="&amp;$C$25,'Master Log'!EF:EF,B68)+COUNTIFS('Master Log'!A:A,"&gt;="&amp;$C$24,'Master Log'!A:A,"&lt;="&amp;$C$25,'Master Log'!EK:EK,B68)+COUNTIFS('Master Log'!A:A,"&gt;="&amp;$C$24,'Master Log'!A:A,"&lt;="&amp;$C$25,'Master Log'!EP:EP,B68)+COUNTIFS('Master Log'!A:A,"&gt;="&amp;$C$24,'Master Log'!A:A,"&lt;="&amp;$C$25,'Master Log'!EU:EU,B68),"")</f>
        <v>0</v>
      </c>
      <c r="E68" s="135">
        <f t="shared" si="2"/>
        <v>0</v>
      </c>
    </row>
    <row r="69" spans="2:5">
      <c r="B69" s="127" t="str">
        <f>IF('Setup Sheet'!A49&lt;&gt;"",'Setup Sheet'!A49,"")</f>
        <v/>
      </c>
      <c r="C69" s="128">
        <f>SUMIFS('Master Log'!$CS$2:$CS$9839,'Master Log'!$A$2:$A$9839,"&gt;="&amp;$C$24,'Master Log'!$A$2:$A$9839,"&lt;="&amp;$C$25,'Master Log'!$CR$2:$CR$9839,B69)+SUMIFS('Master Log'!$CX$2:$CX$9839,'Master Log'!$A$2:$A$9839,"&gt;="&amp;$C$24,'Master Log'!$A$2:$A$9839,"&lt;="&amp;$C$25,'Master Log'!$CW$2:$CW$9839,B69)+SUMIFS('Master Log'!$DC$2:$DC$9839,'Master Log'!$A$2:$A$9839,"&gt;="&amp;$C$24,'Master Log'!$A$2:$A$9839,"&lt;="&amp;$C$25,'Master Log'!$DB$2:$DB$9839,B69)+SUMIFS('Master Log'!$DH$2:$DH$9839,'Master Log'!$A$2:$A$9839,"&gt;="&amp;$C$24,'Master Log'!$A$2:$A$9839,"&lt;="&amp;$C$25,'Master Log'!$DG$2:$DG$9839,B69)+SUMIFS('Master Log'!$DM$2:$DM$9839,'Master Log'!$A$2:$A$9839,"&gt;="&amp;$C$24,'Master Log'!$A$2:$A$9839,"&lt;="&amp;$C$25,'Master Log'!$DL$2:$DL$9839,B69)+SUMIFS('Master Log'!$DR$2:$DR$9839,'Master Log'!$A$2:$A$9839,"&gt;="&amp;$C$24,'Master Log'!$A$2:$A$9839,"&lt;="&amp;$C$25,'Master Log'!$DQ$2:$DQ$9839,B69)+SUMIFS('Master Log'!$DW$2:$DW$9839,'Master Log'!$A$2:$A$9839,"&gt;="&amp;$C$24,'Master Log'!$A$2:$A$9839,"&lt;="&amp;$C$25,'Master Log'!$DV$2:$DV$9839,B69)+SUMIFS('Master Log'!$EB$2:$EB$9839,'Master Log'!$A$2:$A$9839,"&gt;="&amp;$C$24,'Master Log'!$A$2:$A$9839,"&lt;="&amp;$C$25,'Master Log'!$EA$2:$EA$9839,B69)+SUMIFS('Master Log'!$EG$2:$EG$9839,'Master Log'!$A$2:$A$9839,"&gt;="&amp;$C$24,'Master Log'!$A$2:$A$9839,"&lt;="&amp;$C$25,'Master Log'!$EF$2:$EF$9839,B69)+SUMIFS('Master Log'!$EL$2:$EL$9839,'Master Log'!$A$2:$A$9839,"&gt;="&amp;$C$24,'Master Log'!$A$2:$A$9839,"&lt;="&amp;$C$25,'Master Log'!$EK$2:$EK$9839,B69)+SUMIFS('Master Log'!$EQ$2:$EQ$9839,'Master Log'!$A$2:$A$9839,"&gt;="&amp;$C$24,'Master Log'!$A$2:$A$9839,"&lt;="&amp;$C$25,'Master Log'!$EP$2:$EP$9839,B69)+SUMIFS('Master Log'!$EV$2:$EV$9839,'Master Log'!$A$2:$A$9839,"&gt;="&amp;$C$24,'Master Log'!$A$2:$A$9839,"&lt;="&amp;$C$25,'Master Log'!$EU$2:$EU$9839,B69)</f>
        <v>0</v>
      </c>
      <c r="D69" s="130" t="str">
        <f>IF(B69&lt;&gt;"",COUNTIFS('Master Log'!A:A,"&gt;="&amp;$C$24,'Master Log'!A:A,"&lt;="&amp;$C$25,'Master Log'!CR:CR,B69)+COUNTIFS('Master Log'!A:A,"&gt;="&amp;$C$24,'Master Log'!A:A,"&lt;="&amp;$C$25,'Master Log'!CW:CW,B69)+COUNTIFS('Master Log'!A:A,"&gt;="&amp;$C$24,'Master Log'!A:A,"&lt;="&amp;$C$25,'Master Log'!DB:DB,B69)+COUNTIFS('Master Log'!A:A,"&gt;="&amp;$C$24,'Master Log'!A:A,"&lt;="&amp;$C$25,'Master Log'!DG:DG,B69)+COUNTIFS('Master Log'!A:A,"&gt;="&amp;$C$24,'Master Log'!A:A,"&lt;="&amp;$C$25,'Master Log'!DL:DL,B69)+COUNTIFS('Master Log'!A:A,"&gt;="&amp;$C$24,'Master Log'!A:A,"&lt;="&amp;$C$25,'Master Log'!DQ:DQ,B69)+COUNTIFS('Master Log'!A:A,"&gt;="&amp;$C$24,'Master Log'!A:A,"&lt;="&amp;$C$25,'Master Log'!DV:DV,B69)+COUNTIFS('Master Log'!A:A,"&gt;="&amp;$C$24,'Master Log'!A:A,"&lt;="&amp;$C$25,'Master Log'!EA:EA,B69)+COUNTIFS('Master Log'!A:A,"&gt;="&amp;$C$24,'Master Log'!A:A,"&lt;="&amp;$C$25,'Master Log'!EF:EF,B69)+COUNTIFS('Master Log'!A:A,"&gt;="&amp;$C$24,'Master Log'!A:A,"&lt;="&amp;$C$25,'Master Log'!EK:EK,B69)+COUNTIFS('Master Log'!A:A,"&gt;="&amp;$C$24,'Master Log'!A:A,"&lt;="&amp;$C$25,'Master Log'!EP:EP,B69)+COUNTIFS('Master Log'!A:A,"&gt;="&amp;$C$24,'Master Log'!A:A,"&lt;="&amp;$C$25,'Master Log'!EU:EU,B69),"")</f>
        <v/>
      </c>
      <c r="E69" s="135" t="str">
        <f t="shared" si="2"/>
        <v/>
      </c>
    </row>
    <row r="70" spans="2:5">
      <c r="B70" s="127" t="str">
        <f>IF('Setup Sheet'!A50&lt;&gt;"",'Setup Sheet'!A50,"")</f>
        <v/>
      </c>
      <c r="C70" s="128">
        <f>SUMIFS('Master Log'!$CS$2:$CS$9839,'Master Log'!$A$2:$A$9839,"&gt;="&amp;$C$24,'Master Log'!$A$2:$A$9839,"&lt;="&amp;$C$25,'Master Log'!$CR$2:$CR$9839,B70)+SUMIFS('Master Log'!$CX$2:$CX$9839,'Master Log'!$A$2:$A$9839,"&gt;="&amp;$C$24,'Master Log'!$A$2:$A$9839,"&lt;="&amp;$C$25,'Master Log'!$CW$2:$CW$9839,B70)+SUMIFS('Master Log'!$DC$2:$DC$9839,'Master Log'!$A$2:$A$9839,"&gt;="&amp;$C$24,'Master Log'!$A$2:$A$9839,"&lt;="&amp;$C$25,'Master Log'!$DB$2:$DB$9839,B70)+SUMIFS('Master Log'!$DH$2:$DH$9839,'Master Log'!$A$2:$A$9839,"&gt;="&amp;$C$24,'Master Log'!$A$2:$A$9839,"&lt;="&amp;$C$25,'Master Log'!$DG$2:$DG$9839,B70)+SUMIFS('Master Log'!$DM$2:$DM$9839,'Master Log'!$A$2:$A$9839,"&gt;="&amp;$C$24,'Master Log'!$A$2:$A$9839,"&lt;="&amp;$C$25,'Master Log'!$DL$2:$DL$9839,B70)+SUMIFS('Master Log'!$DR$2:$DR$9839,'Master Log'!$A$2:$A$9839,"&gt;="&amp;$C$24,'Master Log'!$A$2:$A$9839,"&lt;="&amp;$C$25,'Master Log'!$DQ$2:$DQ$9839,B70)+SUMIFS('Master Log'!$DW$2:$DW$9839,'Master Log'!$A$2:$A$9839,"&gt;="&amp;$C$24,'Master Log'!$A$2:$A$9839,"&lt;="&amp;$C$25,'Master Log'!$DV$2:$DV$9839,B70)+SUMIFS('Master Log'!$EB$2:$EB$9839,'Master Log'!$A$2:$A$9839,"&gt;="&amp;$C$24,'Master Log'!$A$2:$A$9839,"&lt;="&amp;$C$25,'Master Log'!$EA$2:$EA$9839,B70)+SUMIFS('Master Log'!$EG$2:$EG$9839,'Master Log'!$A$2:$A$9839,"&gt;="&amp;$C$24,'Master Log'!$A$2:$A$9839,"&lt;="&amp;$C$25,'Master Log'!$EF$2:$EF$9839,B70)+SUMIFS('Master Log'!$EL$2:$EL$9839,'Master Log'!$A$2:$A$9839,"&gt;="&amp;$C$24,'Master Log'!$A$2:$A$9839,"&lt;="&amp;$C$25,'Master Log'!$EK$2:$EK$9839,B70)+SUMIFS('Master Log'!$EQ$2:$EQ$9839,'Master Log'!$A$2:$A$9839,"&gt;="&amp;$C$24,'Master Log'!$A$2:$A$9839,"&lt;="&amp;$C$25,'Master Log'!$EP$2:$EP$9839,B70)+SUMIFS('Master Log'!$EV$2:$EV$9839,'Master Log'!$A$2:$A$9839,"&gt;="&amp;$C$24,'Master Log'!$A$2:$A$9839,"&lt;="&amp;$C$25,'Master Log'!$EU$2:$EU$9839,B70)</f>
        <v>0</v>
      </c>
      <c r="D70" s="130" t="str">
        <f>IF(B70&lt;&gt;"",COUNTIFS('Master Log'!A:A,"&gt;="&amp;$C$24,'Master Log'!A:A,"&lt;="&amp;$C$25,'Master Log'!CR:CR,B70)+COUNTIFS('Master Log'!A:A,"&gt;="&amp;$C$24,'Master Log'!A:A,"&lt;="&amp;$C$25,'Master Log'!CW:CW,B70)+COUNTIFS('Master Log'!A:A,"&gt;="&amp;$C$24,'Master Log'!A:A,"&lt;="&amp;$C$25,'Master Log'!DB:DB,B70)+COUNTIFS('Master Log'!A:A,"&gt;="&amp;$C$24,'Master Log'!A:A,"&lt;="&amp;$C$25,'Master Log'!DG:DG,B70)+COUNTIFS('Master Log'!A:A,"&gt;="&amp;$C$24,'Master Log'!A:A,"&lt;="&amp;$C$25,'Master Log'!DL:DL,B70)+COUNTIFS('Master Log'!A:A,"&gt;="&amp;$C$24,'Master Log'!A:A,"&lt;="&amp;$C$25,'Master Log'!DQ:DQ,B70)+COUNTIFS('Master Log'!A:A,"&gt;="&amp;$C$24,'Master Log'!A:A,"&lt;="&amp;$C$25,'Master Log'!DV:DV,B70)+COUNTIFS('Master Log'!A:A,"&gt;="&amp;$C$24,'Master Log'!A:A,"&lt;="&amp;$C$25,'Master Log'!EA:EA,B70)+COUNTIFS('Master Log'!A:A,"&gt;="&amp;$C$24,'Master Log'!A:A,"&lt;="&amp;$C$25,'Master Log'!EF:EF,B70)+COUNTIFS('Master Log'!A:A,"&gt;="&amp;$C$24,'Master Log'!A:A,"&lt;="&amp;$C$25,'Master Log'!EK:EK,B70)+COUNTIFS('Master Log'!A:A,"&gt;="&amp;$C$24,'Master Log'!A:A,"&lt;="&amp;$C$25,'Master Log'!EP:EP,B70)+COUNTIFS('Master Log'!A:A,"&gt;="&amp;$C$24,'Master Log'!A:A,"&lt;="&amp;$C$25,'Master Log'!EU:EU,B70),"")</f>
        <v/>
      </c>
      <c r="E70" s="135" t="str">
        <f t="shared" si="2"/>
        <v/>
      </c>
    </row>
    <row r="71" spans="2:5">
      <c r="B71" s="127" t="str">
        <f>IF('Setup Sheet'!A51&lt;&gt;"",'Setup Sheet'!A51,"")</f>
        <v/>
      </c>
      <c r="C71" s="128">
        <f>SUMIFS('Master Log'!$CS$2:$CS$9839,'Master Log'!$A$2:$A$9839,"&gt;="&amp;$C$24,'Master Log'!$A$2:$A$9839,"&lt;="&amp;$C$25,'Master Log'!$CR$2:$CR$9839,B71)+SUMIFS('Master Log'!$CX$2:$CX$9839,'Master Log'!$A$2:$A$9839,"&gt;="&amp;$C$24,'Master Log'!$A$2:$A$9839,"&lt;="&amp;$C$25,'Master Log'!$CW$2:$CW$9839,B71)+SUMIFS('Master Log'!$DC$2:$DC$9839,'Master Log'!$A$2:$A$9839,"&gt;="&amp;$C$24,'Master Log'!$A$2:$A$9839,"&lt;="&amp;$C$25,'Master Log'!$DB$2:$DB$9839,B71)+SUMIFS('Master Log'!$DH$2:$DH$9839,'Master Log'!$A$2:$A$9839,"&gt;="&amp;$C$24,'Master Log'!$A$2:$A$9839,"&lt;="&amp;$C$25,'Master Log'!$DG$2:$DG$9839,B71)+SUMIFS('Master Log'!$DM$2:$DM$9839,'Master Log'!$A$2:$A$9839,"&gt;="&amp;$C$24,'Master Log'!$A$2:$A$9839,"&lt;="&amp;$C$25,'Master Log'!$DL$2:$DL$9839,B71)+SUMIFS('Master Log'!$DR$2:$DR$9839,'Master Log'!$A$2:$A$9839,"&gt;="&amp;$C$24,'Master Log'!$A$2:$A$9839,"&lt;="&amp;$C$25,'Master Log'!$DQ$2:$DQ$9839,B71)+SUMIFS('Master Log'!$DW$2:$DW$9839,'Master Log'!$A$2:$A$9839,"&gt;="&amp;$C$24,'Master Log'!$A$2:$A$9839,"&lt;="&amp;$C$25,'Master Log'!$DV$2:$DV$9839,B71)+SUMIFS('Master Log'!$EB$2:$EB$9839,'Master Log'!$A$2:$A$9839,"&gt;="&amp;$C$24,'Master Log'!$A$2:$A$9839,"&lt;="&amp;$C$25,'Master Log'!$EA$2:$EA$9839,B71)+SUMIFS('Master Log'!$EG$2:$EG$9839,'Master Log'!$A$2:$A$9839,"&gt;="&amp;$C$24,'Master Log'!$A$2:$A$9839,"&lt;="&amp;$C$25,'Master Log'!$EF$2:$EF$9839,B71)+SUMIFS('Master Log'!$EL$2:$EL$9839,'Master Log'!$A$2:$A$9839,"&gt;="&amp;$C$24,'Master Log'!$A$2:$A$9839,"&lt;="&amp;$C$25,'Master Log'!$EK$2:$EK$9839,B71)+SUMIFS('Master Log'!$EQ$2:$EQ$9839,'Master Log'!$A$2:$A$9839,"&gt;="&amp;$C$24,'Master Log'!$A$2:$A$9839,"&lt;="&amp;$C$25,'Master Log'!$EP$2:$EP$9839,B71)+SUMIFS('Master Log'!$EV$2:$EV$9839,'Master Log'!$A$2:$A$9839,"&gt;="&amp;$C$24,'Master Log'!$A$2:$A$9839,"&lt;="&amp;$C$25,'Master Log'!$EU$2:$EU$9839,B71)</f>
        <v>0</v>
      </c>
      <c r="D71" s="130" t="str">
        <f>IF(B71&lt;&gt;"",COUNTIFS('Master Log'!A:A,"&gt;="&amp;$C$24,'Master Log'!A:A,"&lt;="&amp;$C$25,'Master Log'!CR:CR,B71)+COUNTIFS('Master Log'!A:A,"&gt;="&amp;$C$24,'Master Log'!A:A,"&lt;="&amp;$C$25,'Master Log'!CW:CW,B71)+COUNTIFS('Master Log'!A:A,"&gt;="&amp;$C$24,'Master Log'!A:A,"&lt;="&amp;$C$25,'Master Log'!DB:DB,B71)+COUNTIFS('Master Log'!A:A,"&gt;="&amp;$C$24,'Master Log'!A:A,"&lt;="&amp;$C$25,'Master Log'!DG:DG,B71)+COUNTIFS('Master Log'!A:A,"&gt;="&amp;$C$24,'Master Log'!A:A,"&lt;="&amp;$C$25,'Master Log'!DL:DL,B71)+COUNTIFS('Master Log'!A:A,"&gt;="&amp;$C$24,'Master Log'!A:A,"&lt;="&amp;$C$25,'Master Log'!DQ:DQ,B71)+COUNTIFS('Master Log'!A:A,"&gt;="&amp;$C$24,'Master Log'!A:A,"&lt;="&amp;$C$25,'Master Log'!DV:DV,B71)+COUNTIFS('Master Log'!A:A,"&gt;="&amp;$C$24,'Master Log'!A:A,"&lt;="&amp;$C$25,'Master Log'!EA:EA,B71)+COUNTIFS('Master Log'!A:A,"&gt;="&amp;$C$24,'Master Log'!A:A,"&lt;="&amp;$C$25,'Master Log'!EF:EF,B71)+COUNTIFS('Master Log'!A:A,"&gt;="&amp;$C$24,'Master Log'!A:A,"&lt;="&amp;$C$25,'Master Log'!EK:EK,B71)+COUNTIFS('Master Log'!A:A,"&gt;="&amp;$C$24,'Master Log'!A:A,"&lt;="&amp;$C$25,'Master Log'!EP:EP,B71)+COUNTIFS('Master Log'!A:A,"&gt;="&amp;$C$24,'Master Log'!A:A,"&lt;="&amp;$C$25,'Master Log'!EU:EU,B71),"")</f>
        <v/>
      </c>
      <c r="E71" s="135" t="str">
        <f t="shared" si="2"/>
        <v/>
      </c>
    </row>
    <row r="72" spans="2:5">
      <c r="B72" s="127" t="str">
        <f>IF('Setup Sheet'!A52&lt;&gt;"",'Setup Sheet'!A52,"")</f>
        <v/>
      </c>
      <c r="C72" s="128">
        <f>SUMIFS('Master Log'!$CS$2:$CS$9839,'Master Log'!$A$2:$A$9839,"&gt;="&amp;$C$24,'Master Log'!$A$2:$A$9839,"&lt;="&amp;$C$25,'Master Log'!$CR$2:$CR$9839,B72)+SUMIFS('Master Log'!$CX$2:$CX$9839,'Master Log'!$A$2:$A$9839,"&gt;="&amp;$C$24,'Master Log'!$A$2:$A$9839,"&lt;="&amp;$C$25,'Master Log'!$CW$2:$CW$9839,B72)+SUMIFS('Master Log'!$DC$2:$DC$9839,'Master Log'!$A$2:$A$9839,"&gt;="&amp;$C$24,'Master Log'!$A$2:$A$9839,"&lt;="&amp;$C$25,'Master Log'!$DB$2:$DB$9839,B72)+SUMIFS('Master Log'!$DH$2:$DH$9839,'Master Log'!$A$2:$A$9839,"&gt;="&amp;$C$24,'Master Log'!$A$2:$A$9839,"&lt;="&amp;$C$25,'Master Log'!$DG$2:$DG$9839,B72)+SUMIFS('Master Log'!$DM$2:$DM$9839,'Master Log'!$A$2:$A$9839,"&gt;="&amp;$C$24,'Master Log'!$A$2:$A$9839,"&lt;="&amp;$C$25,'Master Log'!$DL$2:$DL$9839,B72)+SUMIFS('Master Log'!$DR$2:$DR$9839,'Master Log'!$A$2:$A$9839,"&gt;="&amp;$C$24,'Master Log'!$A$2:$A$9839,"&lt;="&amp;$C$25,'Master Log'!$DQ$2:$DQ$9839,B72)+SUMIFS('Master Log'!$DW$2:$DW$9839,'Master Log'!$A$2:$A$9839,"&gt;="&amp;$C$24,'Master Log'!$A$2:$A$9839,"&lt;="&amp;$C$25,'Master Log'!$DV$2:$DV$9839,B72)+SUMIFS('Master Log'!$EB$2:$EB$9839,'Master Log'!$A$2:$A$9839,"&gt;="&amp;$C$24,'Master Log'!$A$2:$A$9839,"&lt;="&amp;$C$25,'Master Log'!$EA$2:$EA$9839,B72)+SUMIFS('Master Log'!$EG$2:$EG$9839,'Master Log'!$A$2:$A$9839,"&gt;="&amp;$C$24,'Master Log'!$A$2:$A$9839,"&lt;="&amp;$C$25,'Master Log'!$EF$2:$EF$9839,B72)+SUMIFS('Master Log'!$EL$2:$EL$9839,'Master Log'!$A$2:$A$9839,"&gt;="&amp;$C$24,'Master Log'!$A$2:$A$9839,"&lt;="&amp;$C$25,'Master Log'!$EK$2:$EK$9839,B72)+SUMIFS('Master Log'!$EQ$2:$EQ$9839,'Master Log'!$A$2:$A$9839,"&gt;="&amp;$C$24,'Master Log'!$A$2:$A$9839,"&lt;="&amp;$C$25,'Master Log'!$EP$2:$EP$9839,B72)+SUMIFS('Master Log'!$EV$2:$EV$9839,'Master Log'!$A$2:$A$9839,"&gt;="&amp;$C$24,'Master Log'!$A$2:$A$9839,"&lt;="&amp;$C$25,'Master Log'!$EU$2:$EU$9839,B72)</f>
        <v>0</v>
      </c>
      <c r="D72" s="130" t="str">
        <f>IF(B72&lt;&gt;"",COUNTIFS('Master Log'!A:A,"&gt;="&amp;$C$24,'Master Log'!A:A,"&lt;="&amp;$C$25,'Master Log'!CR:CR,B72)+COUNTIFS('Master Log'!A:A,"&gt;="&amp;$C$24,'Master Log'!A:A,"&lt;="&amp;$C$25,'Master Log'!CW:CW,B72)+COUNTIFS('Master Log'!A:A,"&gt;="&amp;$C$24,'Master Log'!A:A,"&lt;="&amp;$C$25,'Master Log'!DB:DB,B72)+COUNTIFS('Master Log'!A:A,"&gt;="&amp;$C$24,'Master Log'!A:A,"&lt;="&amp;$C$25,'Master Log'!DG:DG,B72)+COUNTIFS('Master Log'!A:A,"&gt;="&amp;$C$24,'Master Log'!A:A,"&lt;="&amp;$C$25,'Master Log'!DL:DL,B72)+COUNTIFS('Master Log'!A:A,"&gt;="&amp;$C$24,'Master Log'!A:A,"&lt;="&amp;$C$25,'Master Log'!DQ:DQ,B72)+COUNTIFS('Master Log'!A:A,"&gt;="&amp;$C$24,'Master Log'!A:A,"&lt;="&amp;$C$25,'Master Log'!DV:DV,B72)+COUNTIFS('Master Log'!A:A,"&gt;="&amp;$C$24,'Master Log'!A:A,"&lt;="&amp;$C$25,'Master Log'!EA:EA,B72)+COUNTIFS('Master Log'!A:A,"&gt;="&amp;$C$24,'Master Log'!A:A,"&lt;="&amp;$C$25,'Master Log'!EF:EF,B72)+COUNTIFS('Master Log'!A:A,"&gt;="&amp;$C$24,'Master Log'!A:A,"&lt;="&amp;$C$25,'Master Log'!EK:EK,B72)+COUNTIFS('Master Log'!A:A,"&gt;="&amp;$C$24,'Master Log'!A:A,"&lt;="&amp;$C$25,'Master Log'!EP:EP,B72)+COUNTIFS('Master Log'!A:A,"&gt;="&amp;$C$24,'Master Log'!A:A,"&lt;="&amp;$C$25,'Master Log'!EU:EU,B72),"")</f>
        <v/>
      </c>
      <c r="E72" s="135" t="str">
        <f t="shared" si="2"/>
        <v/>
      </c>
    </row>
    <row r="73" spans="2:5">
      <c r="B73" s="127" t="str">
        <f>IF('Setup Sheet'!A53&lt;&gt;"",'Setup Sheet'!A53,"")</f>
        <v/>
      </c>
      <c r="C73" s="128">
        <f>SUMIFS('Master Log'!$CS$2:$CS$9839,'Master Log'!$A$2:$A$9839,"&gt;="&amp;$C$24,'Master Log'!$A$2:$A$9839,"&lt;="&amp;$C$25,'Master Log'!$CR$2:$CR$9839,B73)+SUMIFS('Master Log'!$CX$2:$CX$9839,'Master Log'!$A$2:$A$9839,"&gt;="&amp;$C$24,'Master Log'!$A$2:$A$9839,"&lt;="&amp;$C$25,'Master Log'!$CW$2:$CW$9839,B73)+SUMIFS('Master Log'!$DC$2:$DC$9839,'Master Log'!$A$2:$A$9839,"&gt;="&amp;$C$24,'Master Log'!$A$2:$A$9839,"&lt;="&amp;$C$25,'Master Log'!$DB$2:$DB$9839,B73)+SUMIFS('Master Log'!$DH$2:$DH$9839,'Master Log'!$A$2:$A$9839,"&gt;="&amp;$C$24,'Master Log'!$A$2:$A$9839,"&lt;="&amp;$C$25,'Master Log'!$DG$2:$DG$9839,B73)+SUMIFS('Master Log'!$DM$2:$DM$9839,'Master Log'!$A$2:$A$9839,"&gt;="&amp;$C$24,'Master Log'!$A$2:$A$9839,"&lt;="&amp;$C$25,'Master Log'!$DL$2:$DL$9839,B73)+SUMIFS('Master Log'!$DR$2:$DR$9839,'Master Log'!$A$2:$A$9839,"&gt;="&amp;$C$24,'Master Log'!$A$2:$A$9839,"&lt;="&amp;$C$25,'Master Log'!$DQ$2:$DQ$9839,B73)+SUMIFS('Master Log'!$DW$2:$DW$9839,'Master Log'!$A$2:$A$9839,"&gt;="&amp;$C$24,'Master Log'!$A$2:$A$9839,"&lt;="&amp;$C$25,'Master Log'!$DV$2:$DV$9839,B73)+SUMIFS('Master Log'!$EB$2:$EB$9839,'Master Log'!$A$2:$A$9839,"&gt;="&amp;$C$24,'Master Log'!$A$2:$A$9839,"&lt;="&amp;$C$25,'Master Log'!$EA$2:$EA$9839,B73)+SUMIFS('Master Log'!$EG$2:$EG$9839,'Master Log'!$A$2:$A$9839,"&gt;="&amp;$C$24,'Master Log'!$A$2:$A$9839,"&lt;="&amp;$C$25,'Master Log'!$EF$2:$EF$9839,B73)+SUMIFS('Master Log'!$EL$2:$EL$9839,'Master Log'!$A$2:$A$9839,"&gt;="&amp;$C$24,'Master Log'!$A$2:$A$9839,"&lt;="&amp;$C$25,'Master Log'!$EK$2:$EK$9839,B73)+SUMIFS('Master Log'!$EQ$2:$EQ$9839,'Master Log'!$A$2:$A$9839,"&gt;="&amp;$C$24,'Master Log'!$A$2:$A$9839,"&lt;="&amp;$C$25,'Master Log'!$EP$2:$EP$9839,B73)+SUMIFS('Master Log'!$EV$2:$EV$9839,'Master Log'!$A$2:$A$9839,"&gt;="&amp;$C$24,'Master Log'!$A$2:$A$9839,"&lt;="&amp;$C$25,'Master Log'!$EU$2:$EU$9839,B73)</f>
        <v>0</v>
      </c>
      <c r="D73" s="130" t="str">
        <f>IF(B73&lt;&gt;"",COUNTIFS('Master Log'!A:A,"&gt;="&amp;$C$24,'Master Log'!A:A,"&lt;="&amp;$C$25,'Master Log'!CR:CR,B73)+COUNTIFS('Master Log'!A:A,"&gt;="&amp;$C$24,'Master Log'!A:A,"&lt;="&amp;$C$25,'Master Log'!CW:CW,B73)+COUNTIFS('Master Log'!A:A,"&gt;="&amp;$C$24,'Master Log'!A:A,"&lt;="&amp;$C$25,'Master Log'!DB:DB,B73)+COUNTIFS('Master Log'!A:A,"&gt;="&amp;$C$24,'Master Log'!A:A,"&lt;="&amp;$C$25,'Master Log'!DG:DG,B73)+COUNTIFS('Master Log'!A:A,"&gt;="&amp;$C$24,'Master Log'!A:A,"&lt;="&amp;$C$25,'Master Log'!DL:DL,B73)+COUNTIFS('Master Log'!A:A,"&gt;="&amp;$C$24,'Master Log'!A:A,"&lt;="&amp;$C$25,'Master Log'!DQ:DQ,B73)+COUNTIFS('Master Log'!A:A,"&gt;="&amp;$C$24,'Master Log'!A:A,"&lt;="&amp;$C$25,'Master Log'!DV:DV,B73)+COUNTIFS('Master Log'!A:A,"&gt;="&amp;$C$24,'Master Log'!A:A,"&lt;="&amp;$C$25,'Master Log'!EA:EA,B73)+COUNTIFS('Master Log'!A:A,"&gt;="&amp;$C$24,'Master Log'!A:A,"&lt;="&amp;$C$25,'Master Log'!EF:EF,B73)+COUNTIFS('Master Log'!A:A,"&gt;="&amp;$C$24,'Master Log'!A:A,"&lt;="&amp;$C$25,'Master Log'!EK:EK,B73)+COUNTIFS('Master Log'!A:A,"&gt;="&amp;$C$24,'Master Log'!A:A,"&lt;="&amp;$C$25,'Master Log'!EP:EP,B73)+COUNTIFS('Master Log'!A:A,"&gt;="&amp;$C$24,'Master Log'!A:A,"&lt;="&amp;$C$25,'Master Log'!EU:EU,B73),"")</f>
        <v/>
      </c>
      <c r="E73" s="135" t="str">
        <f t="shared" si="2"/>
        <v/>
      </c>
    </row>
    <row r="74" spans="2:5">
      <c r="B74" s="127" t="str">
        <f>IF('Setup Sheet'!A54&lt;&gt;"",'Setup Sheet'!A54,"")</f>
        <v/>
      </c>
      <c r="C74" s="128">
        <f>SUMIFS('Master Log'!$CS$2:$CS$9839,'Master Log'!$A$2:$A$9839,"&gt;="&amp;$C$24,'Master Log'!$A$2:$A$9839,"&lt;="&amp;$C$25,'Master Log'!$CR$2:$CR$9839,B74)+SUMIFS('Master Log'!$CX$2:$CX$9839,'Master Log'!$A$2:$A$9839,"&gt;="&amp;$C$24,'Master Log'!$A$2:$A$9839,"&lt;="&amp;$C$25,'Master Log'!$CW$2:$CW$9839,B74)+SUMIFS('Master Log'!$DC$2:$DC$9839,'Master Log'!$A$2:$A$9839,"&gt;="&amp;$C$24,'Master Log'!$A$2:$A$9839,"&lt;="&amp;$C$25,'Master Log'!$DB$2:$DB$9839,B74)+SUMIFS('Master Log'!$DH$2:$DH$9839,'Master Log'!$A$2:$A$9839,"&gt;="&amp;$C$24,'Master Log'!$A$2:$A$9839,"&lt;="&amp;$C$25,'Master Log'!$DG$2:$DG$9839,B74)+SUMIFS('Master Log'!$DM$2:$DM$9839,'Master Log'!$A$2:$A$9839,"&gt;="&amp;$C$24,'Master Log'!$A$2:$A$9839,"&lt;="&amp;$C$25,'Master Log'!$DL$2:$DL$9839,B74)+SUMIFS('Master Log'!$DR$2:$DR$9839,'Master Log'!$A$2:$A$9839,"&gt;="&amp;$C$24,'Master Log'!$A$2:$A$9839,"&lt;="&amp;$C$25,'Master Log'!$DQ$2:$DQ$9839,B74)+SUMIFS('Master Log'!$DW$2:$DW$9839,'Master Log'!$A$2:$A$9839,"&gt;="&amp;$C$24,'Master Log'!$A$2:$A$9839,"&lt;="&amp;$C$25,'Master Log'!$DV$2:$DV$9839,B74)+SUMIFS('Master Log'!$EB$2:$EB$9839,'Master Log'!$A$2:$A$9839,"&gt;="&amp;$C$24,'Master Log'!$A$2:$A$9839,"&lt;="&amp;$C$25,'Master Log'!$EA$2:$EA$9839,B74)+SUMIFS('Master Log'!$EG$2:$EG$9839,'Master Log'!$A$2:$A$9839,"&gt;="&amp;$C$24,'Master Log'!$A$2:$A$9839,"&lt;="&amp;$C$25,'Master Log'!$EF$2:$EF$9839,B74)+SUMIFS('Master Log'!$EL$2:$EL$9839,'Master Log'!$A$2:$A$9839,"&gt;="&amp;$C$24,'Master Log'!$A$2:$A$9839,"&lt;="&amp;$C$25,'Master Log'!$EK$2:$EK$9839,B74)+SUMIFS('Master Log'!$EQ$2:$EQ$9839,'Master Log'!$A$2:$A$9839,"&gt;="&amp;$C$24,'Master Log'!$A$2:$A$9839,"&lt;="&amp;$C$25,'Master Log'!$EP$2:$EP$9839,B74)+SUMIFS('Master Log'!$EV$2:$EV$9839,'Master Log'!$A$2:$A$9839,"&gt;="&amp;$C$24,'Master Log'!$A$2:$A$9839,"&lt;="&amp;$C$25,'Master Log'!$EU$2:$EU$9839,B74)</f>
        <v>0</v>
      </c>
      <c r="D74" s="130" t="str">
        <f>IF(B74&lt;&gt;"",COUNTIFS('Master Log'!A:A,"&gt;="&amp;$C$24,'Master Log'!A:A,"&lt;="&amp;$C$25,'Master Log'!CR:CR,B74)+COUNTIFS('Master Log'!A:A,"&gt;="&amp;$C$24,'Master Log'!A:A,"&lt;="&amp;$C$25,'Master Log'!CW:CW,B74)+COUNTIFS('Master Log'!A:A,"&gt;="&amp;$C$24,'Master Log'!A:A,"&lt;="&amp;$C$25,'Master Log'!DB:DB,B74)+COUNTIFS('Master Log'!A:A,"&gt;="&amp;$C$24,'Master Log'!A:A,"&lt;="&amp;$C$25,'Master Log'!DG:DG,B74)+COUNTIFS('Master Log'!A:A,"&gt;="&amp;$C$24,'Master Log'!A:A,"&lt;="&amp;$C$25,'Master Log'!DL:DL,B74)+COUNTIFS('Master Log'!A:A,"&gt;="&amp;$C$24,'Master Log'!A:A,"&lt;="&amp;$C$25,'Master Log'!DQ:DQ,B74)+COUNTIFS('Master Log'!A:A,"&gt;="&amp;$C$24,'Master Log'!A:A,"&lt;="&amp;$C$25,'Master Log'!DV:DV,B74)+COUNTIFS('Master Log'!A:A,"&gt;="&amp;$C$24,'Master Log'!A:A,"&lt;="&amp;$C$25,'Master Log'!EA:EA,B74)+COUNTIFS('Master Log'!A:A,"&gt;="&amp;$C$24,'Master Log'!A:A,"&lt;="&amp;$C$25,'Master Log'!EF:EF,B74)+COUNTIFS('Master Log'!A:A,"&gt;="&amp;$C$24,'Master Log'!A:A,"&lt;="&amp;$C$25,'Master Log'!EK:EK,B74)+COUNTIFS('Master Log'!A:A,"&gt;="&amp;$C$24,'Master Log'!A:A,"&lt;="&amp;$C$25,'Master Log'!EP:EP,B74)+COUNTIFS('Master Log'!A:A,"&gt;="&amp;$C$24,'Master Log'!A:A,"&lt;="&amp;$C$25,'Master Log'!EU:EU,B74),"")</f>
        <v/>
      </c>
      <c r="E74" s="135" t="str">
        <f t="shared" si="2"/>
        <v/>
      </c>
    </row>
    <row r="75" spans="2:5">
      <c r="B75" s="127" t="str">
        <f>IF('Setup Sheet'!A55&lt;&gt;"",'Setup Sheet'!A55,"")</f>
        <v/>
      </c>
      <c r="C75" s="128">
        <f>SUMIFS('Master Log'!$CS$2:$CS$9839,'Master Log'!$A$2:$A$9839,"&gt;="&amp;$C$24,'Master Log'!$A$2:$A$9839,"&lt;="&amp;$C$25,'Master Log'!$CR$2:$CR$9839,B75)+SUMIFS('Master Log'!$CX$2:$CX$9839,'Master Log'!$A$2:$A$9839,"&gt;="&amp;$C$24,'Master Log'!$A$2:$A$9839,"&lt;="&amp;$C$25,'Master Log'!$CW$2:$CW$9839,B75)+SUMIFS('Master Log'!$DC$2:$DC$9839,'Master Log'!$A$2:$A$9839,"&gt;="&amp;$C$24,'Master Log'!$A$2:$A$9839,"&lt;="&amp;$C$25,'Master Log'!$DB$2:$DB$9839,B75)+SUMIFS('Master Log'!$DH$2:$DH$9839,'Master Log'!$A$2:$A$9839,"&gt;="&amp;$C$24,'Master Log'!$A$2:$A$9839,"&lt;="&amp;$C$25,'Master Log'!$DG$2:$DG$9839,B75)+SUMIFS('Master Log'!$DM$2:$DM$9839,'Master Log'!$A$2:$A$9839,"&gt;="&amp;$C$24,'Master Log'!$A$2:$A$9839,"&lt;="&amp;$C$25,'Master Log'!$DL$2:$DL$9839,B75)+SUMIFS('Master Log'!$DR$2:$DR$9839,'Master Log'!$A$2:$A$9839,"&gt;="&amp;$C$24,'Master Log'!$A$2:$A$9839,"&lt;="&amp;$C$25,'Master Log'!$DQ$2:$DQ$9839,B75)+SUMIFS('Master Log'!$DW$2:$DW$9839,'Master Log'!$A$2:$A$9839,"&gt;="&amp;$C$24,'Master Log'!$A$2:$A$9839,"&lt;="&amp;$C$25,'Master Log'!$DV$2:$DV$9839,B75)+SUMIFS('Master Log'!$EB$2:$EB$9839,'Master Log'!$A$2:$A$9839,"&gt;="&amp;$C$24,'Master Log'!$A$2:$A$9839,"&lt;="&amp;$C$25,'Master Log'!$EA$2:$EA$9839,B75)+SUMIFS('Master Log'!$EG$2:$EG$9839,'Master Log'!$A$2:$A$9839,"&gt;="&amp;$C$24,'Master Log'!$A$2:$A$9839,"&lt;="&amp;$C$25,'Master Log'!$EF$2:$EF$9839,B75)+SUMIFS('Master Log'!$EL$2:$EL$9839,'Master Log'!$A$2:$A$9839,"&gt;="&amp;$C$24,'Master Log'!$A$2:$A$9839,"&lt;="&amp;$C$25,'Master Log'!$EK$2:$EK$9839,B75)+SUMIFS('Master Log'!$EQ$2:$EQ$9839,'Master Log'!$A$2:$A$9839,"&gt;="&amp;$C$24,'Master Log'!$A$2:$A$9839,"&lt;="&amp;$C$25,'Master Log'!$EP$2:$EP$9839,B75)+SUMIFS('Master Log'!$EV$2:$EV$9839,'Master Log'!$A$2:$A$9839,"&gt;="&amp;$C$24,'Master Log'!$A$2:$A$9839,"&lt;="&amp;$C$25,'Master Log'!$EU$2:$EU$9839,B75)</f>
        <v>0</v>
      </c>
      <c r="D75" s="130" t="str">
        <f>IF(B75&lt;&gt;"",COUNTIFS('Master Log'!A:A,"&gt;="&amp;$C$24,'Master Log'!A:A,"&lt;="&amp;$C$25,'Master Log'!CR:CR,B75)+COUNTIFS('Master Log'!A:A,"&gt;="&amp;$C$24,'Master Log'!A:A,"&lt;="&amp;$C$25,'Master Log'!CW:CW,B75)+COUNTIFS('Master Log'!A:A,"&gt;="&amp;$C$24,'Master Log'!A:A,"&lt;="&amp;$C$25,'Master Log'!DB:DB,B75)+COUNTIFS('Master Log'!A:A,"&gt;="&amp;$C$24,'Master Log'!A:A,"&lt;="&amp;$C$25,'Master Log'!DG:DG,B75)+COUNTIFS('Master Log'!A:A,"&gt;="&amp;$C$24,'Master Log'!A:A,"&lt;="&amp;$C$25,'Master Log'!DL:DL,B75)+COUNTIFS('Master Log'!A:A,"&gt;="&amp;$C$24,'Master Log'!A:A,"&lt;="&amp;$C$25,'Master Log'!DQ:DQ,B75)+COUNTIFS('Master Log'!A:A,"&gt;="&amp;$C$24,'Master Log'!A:A,"&lt;="&amp;$C$25,'Master Log'!DV:DV,B75)+COUNTIFS('Master Log'!A:A,"&gt;="&amp;$C$24,'Master Log'!A:A,"&lt;="&amp;$C$25,'Master Log'!EA:EA,B75)+COUNTIFS('Master Log'!A:A,"&gt;="&amp;$C$24,'Master Log'!A:A,"&lt;="&amp;$C$25,'Master Log'!EF:EF,B75)+COUNTIFS('Master Log'!A:A,"&gt;="&amp;$C$24,'Master Log'!A:A,"&lt;="&amp;$C$25,'Master Log'!EK:EK,B75)+COUNTIFS('Master Log'!A:A,"&gt;="&amp;$C$24,'Master Log'!A:A,"&lt;="&amp;$C$25,'Master Log'!EP:EP,B75)+COUNTIFS('Master Log'!A:A,"&gt;="&amp;$C$24,'Master Log'!A:A,"&lt;="&amp;$C$25,'Master Log'!EU:EU,B75),"")</f>
        <v/>
      </c>
      <c r="E75" s="135" t="str">
        <f t="shared" si="2"/>
        <v/>
      </c>
    </row>
    <row r="76" spans="2:5">
      <c r="B76" s="127" t="str">
        <f>IF('Setup Sheet'!A56&lt;&gt;"",'Setup Sheet'!A56,"")</f>
        <v/>
      </c>
      <c r="C76" s="128">
        <f>SUMIFS('Master Log'!$CS$2:$CS$9839,'Master Log'!$A$2:$A$9839,"&gt;="&amp;$C$24,'Master Log'!$A$2:$A$9839,"&lt;="&amp;$C$25,'Master Log'!$CR$2:$CR$9839,B76)+SUMIFS('Master Log'!$CX$2:$CX$9839,'Master Log'!$A$2:$A$9839,"&gt;="&amp;$C$24,'Master Log'!$A$2:$A$9839,"&lt;="&amp;$C$25,'Master Log'!$CW$2:$CW$9839,B76)+SUMIFS('Master Log'!$DC$2:$DC$9839,'Master Log'!$A$2:$A$9839,"&gt;="&amp;$C$24,'Master Log'!$A$2:$A$9839,"&lt;="&amp;$C$25,'Master Log'!$DB$2:$DB$9839,B76)+SUMIFS('Master Log'!$DH$2:$DH$9839,'Master Log'!$A$2:$A$9839,"&gt;="&amp;$C$24,'Master Log'!$A$2:$A$9839,"&lt;="&amp;$C$25,'Master Log'!$DG$2:$DG$9839,B76)+SUMIFS('Master Log'!$DM$2:$DM$9839,'Master Log'!$A$2:$A$9839,"&gt;="&amp;$C$24,'Master Log'!$A$2:$A$9839,"&lt;="&amp;$C$25,'Master Log'!$DL$2:$DL$9839,B76)+SUMIFS('Master Log'!$DR$2:$DR$9839,'Master Log'!$A$2:$A$9839,"&gt;="&amp;$C$24,'Master Log'!$A$2:$A$9839,"&lt;="&amp;$C$25,'Master Log'!$DQ$2:$DQ$9839,B76)+SUMIFS('Master Log'!$DW$2:$DW$9839,'Master Log'!$A$2:$A$9839,"&gt;="&amp;$C$24,'Master Log'!$A$2:$A$9839,"&lt;="&amp;$C$25,'Master Log'!$DV$2:$DV$9839,B76)+SUMIFS('Master Log'!$EB$2:$EB$9839,'Master Log'!$A$2:$A$9839,"&gt;="&amp;$C$24,'Master Log'!$A$2:$A$9839,"&lt;="&amp;$C$25,'Master Log'!$EA$2:$EA$9839,B76)+SUMIFS('Master Log'!$EG$2:$EG$9839,'Master Log'!$A$2:$A$9839,"&gt;="&amp;$C$24,'Master Log'!$A$2:$A$9839,"&lt;="&amp;$C$25,'Master Log'!$EF$2:$EF$9839,B76)+SUMIFS('Master Log'!$EL$2:$EL$9839,'Master Log'!$A$2:$A$9839,"&gt;="&amp;$C$24,'Master Log'!$A$2:$A$9839,"&lt;="&amp;$C$25,'Master Log'!$EK$2:$EK$9839,B76)+SUMIFS('Master Log'!$EQ$2:$EQ$9839,'Master Log'!$A$2:$A$9839,"&gt;="&amp;$C$24,'Master Log'!$A$2:$A$9839,"&lt;="&amp;$C$25,'Master Log'!$EP$2:$EP$9839,B76)+SUMIFS('Master Log'!$EV$2:$EV$9839,'Master Log'!$A$2:$A$9839,"&gt;="&amp;$C$24,'Master Log'!$A$2:$A$9839,"&lt;="&amp;$C$25,'Master Log'!$EU$2:$EU$9839,B76)</f>
        <v>0</v>
      </c>
      <c r="D76" s="130" t="str">
        <f>IF(B76&lt;&gt;"",COUNTIFS('Master Log'!A:A,"&gt;="&amp;$C$24,'Master Log'!A:A,"&lt;="&amp;$C$25,'Master Log'!CR:CR,B76)+COUNTIFS('Master Log'!A:A,"&gt;="&amp;$C$24,'Master Log'!A:A,"&lt;="&amp;$C$25,'Master Log'!CW:CW,B76)+COUNTIFS('Master Log'!A:A,"&gt;="&amp;$C$24,'Master Log'!A:A,"&lt;="&amp;$C$25,'Master Log'!DB:DB,B76)+COUNTIFS('Master Log'!A:A,"&gt;="&amp;$C$24,'Master Log'!A:A,"&lt;="&amp;$C$25,'Master Log'!DG:DG,B76)+COUNTIFS('Master Log'!A:A,"&gt;="&amp;$C$24,'Master Log'!A:A,"&lt;="&amp;$C$25,'Master Log'!DL:DL,B76)+COUNTIFS('Master Log'!A:A,"&gt;="&amp;$C$24,'Master Log'!A:A,"&lt;="&amp;$C$25,'Master Log'!DQ:DQ,B76)+COUNTIFS('Master Log'!A:A,"&gt;="&amp;$C$24,'Master Log'!A:A,"&lt;="&amp;$C$25,'Master Log'!DV:DV,B76)+COUNTIFS('Master Log'!A:A,"&gt;="&amp;$C$24,'Master Log'!A:A,"&lt;="&amp;$C$25,'Master Log'!EA:EA,B76)+COUNTIFS('Master Log'!A:A,"&gt;="&amp;$C$24,'Master Log'!A:A,"&lt;="&amp;$C$25,'Master Log'!EF:EF,B76)+COUNTIFS('Master Log'!A:A,"&gt;="&amp;$C$24,'Master Log'!A:A,"&lt;="&amp;$C$25,'Master Log'!EK:EK,B76)+COUNTIFS('Master Log'!A:A,"&gt;="&amp;$C$24,'Master Log'!A:A,"&lt;="&amp;$C$25,'Master Log'!EP:EP,B76)+COUNTIFS('Master Log'!A:A,"&gt;="&amp;$C$24,'Master Log'!A:A,"&lt;="&amp;$C$25,'Master Log'!EU:EU,B76),"")</f>
        <v/>
      </c>
      <c r="E76" s="135" t="str">
        <f t="shared" si="2"/>
        <v/>
      </c>
    </row>
    <row r="77" spans="2:5">
      <c r="B77" s="127" t="str">
        <f>IF('Setup Sheet'!A57&lt;&gt;"",'Setup Sheet'!A57,"")</f>
        <v/>
      </c>
      <c r="C77" s="128">
        <f>SUMIFS('Master Log'!$CS$2:$CS$9839,'Master Log'!$A$2:$A$9839,"&gt;="&amp;$C$24,'Master Log'!$A$2:$A$9839,"&lt;="&amp;$C$25,'Master Log'!$CR$2:$CR$9839,B77)+SUMIFS('Master Log'!$CX$2:$CX$9839,'Master Log'!$A$2:$A$9839,"&gt;="&amp;$C$24,'Master Log'!$A$2:$A$9839,"&lt;="&amp;$C$25,'Master Log'!$CW$2:$CW$9839,B77)+SUMIFS('Master Log'!$DC$2:$DC$9839,'Master Log'!$A$2:$A$9839,"&gt;="&amp;$C$24,'Master Log'!$A$2:$A$9839,"&lt;="&amp;$C$25,'Master Log'!$DB$2:$DB$9839,B77)+SUMIFS('Master Log'!$DH$2:$DH$9839,'Master Log'!$A$2:$A$9839,"&gt;="&amp;$C$24,'Master Log'!$A$2:$A$9839,"&lt;="&amp;$C$25,'Master Log'!$DG$2:$DG$9839,B77)+SUMIFS('Master Log'!$DM$2:$DM$9839,'Master Log'!$A$2:$A$9839,"&gt;="&amp;$C$24,'Master Log'!$A$2:$A$9839,"&lt;="&amp;$C$25,'Master Log'!$DL$2:$DL$9839,B77)+SUMIFS('Master Log'!$DR$2:$DR$9839,'Master Log'!$A$2:$A$9839,"&gt;="&amp;$C$24,'Master Log'!$A$2:$A$9839,"&lt;="&amp;$C$25,'Master Log'!$DQ$2:$DQ$9839,B77)+SUMIFS('Master Log'!$DW$2:$DW$9839,'Master Log'!$A$2:$A$9839,"&gt;="&amp;$C$24,'Master Log'!$A$2:$A$9839,"&lt;="&amp;$C$25,'Master Log'!$DV$2:$DV$9839,B77)+SUMIFS('Master Log'!$EB$2:$EB$9839,'Master Log'!$A$2:$A$9839,"&gt;="&amp;$C$24,'Master Log'!$A$2:$A$9839,"&lt;="&amp;$C$25,'Master Log'!$EA$2:$EA$9839,B77)+SUMIFS('Master Log'!$EG$2:$EG$9839,'Master Log'!$A$2:$A$9839,"&gt;="&amp;$C$24,'Master Log'!$A$2:$A$9839,"&lt;="&amp;$C$25,'Master Log'!$EF$2:$EF$9839,B77)+SUMIFS('Master Log'!$EL$2:$EL$9839,'Master Log'!$A$2:$A$9839,"&gt;="&amp;$C$24,'Master Log'!$A$2:$A$9839,"&lt;="&amp;$C$25,'Master Log'!$EK$2:$EK$9839,B77)+SUMIFS('Master Log'!$EQ$2:$EQ$9839,'Master Log'!$A$2:$A$9839,"&gt;="&amp;$C$24,'Master Log'!$A$2:$A$9839,"&lt;="&amp;$C$25,'Master Log'!$EP$2:$EP$9839,B77)+SUMIFS('Master Log'!$EV$2:$EV$9839,'Master Log'!$A$2:$A$9839,"&gt;="&amp;$C$24,'Master Log'!$A$2:$A$9839,"&lt;="&amp;$C$25,'Master Log'!$EU$2:$EU$9839,B77)</f>
        <v>0</v>
      </c>
      <c r="D77" s="130" t="str">
        <f>IF(B77&lt;&gt;"",COUNTIFS('Master Log'!A:A,"&gt;="&amp;$C$24,'Master Log'!A:A,"&lt;="&amp;$C$25,'Master Log'!CR:CR,B77)+COUNTIFS('Master Log'!A:A,"&gt;="&amp;$C$24,'Master Log'!A:A,"&lt;="&amp;$C$25,'Master Log'!CW:CW,B77)+COUNTIFS('Master Log'!A:A,"&gt;="&amp;$C$24,'Master Log'!A:A,"&lt;="&amp;$C$25,'Master Log'!DB:DB,B77)+COUNTIFS('Master Log'!A:A,"&gt;="&amp;$C$24,'Master Log'!A:A,"&lt;="&amp;$C$25,'Master Log'!DG:DG,B77)+COUNTIFS('Master Log'!A:A,"&gt;="&amp;$C$24,'Master Log'!A:A,"&lt;="&amp;$C$25,'Master Log'!DL:DL,B77)+COUNTIFS('Master Log'!A:A,"&gt;="&amp;$C$24,'Master Log'!A:A,"&lt;="&amp;$C$25,'Master Log'!DQ:DQ,B77)+COUNTIFS('Master Log'!A:A,"&gt;="&amp;$C$24,'Master Log'!A:A,"&lt;="&amp;$C$25,'Master Log'!DV:DV,B77)+COUNTIFS('Master Log'!A:A,"&gt;="&amp;$C$24,'Master Log'!A:A,"&lt;="&amp;$C$25,'Master Log'!EA:EA,B77)+COUNTIFS('Master Log'!A:A,"&gt;="&amp;$C$24,'Master Log'!A:A,"&lt;="&amp;$C$25,'Master Log'!EF:EF,B77)+COUNTIFS('Master Log'!A:A,"&gt;="&amp;$C$24,'Master Log'!A:A,"&lt;="&amp;$C$25,'Master Log'!EK:EK,B77)+COUNTIFS('Master Log'!A:A,"&gt;="&amp;$C$24,'Master Log'!A:A,"&lt;="&amp;$C$25,'Master Log'!EP:EP,B77)+COUNTIFS('Master Log'!A:A,"&gt;="&amp;$C$24,'Master Log'!A:A,"&lt;="&amp;$C$25,'Master Log'!EU:EU,B77),"")</f>
        <v/>
      </c>
      <c r="E77" s="135" t="str">
        <f t="shared" si="2"/>
        <v/>
      </c>
    </row>
    <row r="78" spans="2:5">
      <c r="B78" s="127" t="str">
        <f>IF('Setup Sheet'!A58&lt;&gt;"",'Setup Sheet'!A58,"")</f>
        <v/>
      </c>
      <c r="C78" s="128">
        <f>SUMIFS('Master Log'!$CS$2:$CS$9839,'Master Log'!$A$2:$A$9839,"&gt;="&amp;$C$24,'Master Log'!$A$2:$A$9839,"&lt;="&amp;$C$25,'Master Log'!$CR$2:$CR$9839,B78)+SUMIFS('Master Log'!$CX$2:$CX$9839,'Master Log'!$A$2:$A$9839,"&gt;="&amp;$C$24,'Master Log'!$A$2:$A$9839,"&lt;="&amp;$C$25,'Master Log'!$CW$2:$CW$9839,B78)+SUMIFS('Master Log'!$DC$2:$DC$9839,'Master Log'!$A$2:$A$9839,"&gt;="&amp;$C$24,'Master Log'!$A$2:$A$9839,"&lt;="&amp;$C$25,'Master Log'!$DB$2:$DB$9839,B78)+SUMIFS('Master Log'!$DH$2:$DH$9839,'Master Log'!$A$2:$A$9839,"&gt;="&amp;$C$24,'Master Log'!$A$2:$A$9839,"&lt;="&amp;$C$25,'Master Log'!$DG$2:$DG$9839,B78)+SUMIFS('Master Log'!$DM$2:$DM$9839,'Master Log'!$A$2:$A$9839,"&gt;="&amp;$C$24,'Master Log'!$A$2:$A$9839,"&lt;="&amp;$C$25,'Master Log'!$DL$2:$DL$9839,B78)+SUMIFS('Master Log'!$DR$2:$DR$9839,'Master Log'!$A$2:$A$9839,"&gt;="&amp;$C$24,'Master Log'!$A$2:$A$9839,"&lt;="&amp;$C$25,'Master Log'!$DQ$2:$DQ$9839,B78)+SUMIFS('Master Log'!$DW$2:$DW$9839,'Master Log'!$A$2:$A$9839,"&gt;="&amp;$C$24,'Master Log'!$A$2:$A$9839,"&lt;="&amp;$C$25,'Master Log'!$DV$2:$DV$9839,B78)+SUMIFS('Master Log'!$EB$2:$EB$9839,'Master Log'!$A$2:$A$9839,"&gt;="&amp;$C$24,'Master Log'!$A$2:$A$9839,"&lt;="&amp;$C$25,'Master Log'!$EA$2:$EA$9839,B78)+SUMIFS('Master Log'!$EG$2:$EG$9839,'Master Log'!$A$2:$A$9839,"&gt;="&amp;$C$24,'Master Log'!$A$2:$A$9839,"&lt;="&amp;$C$25,'Master Log'!$EF$2:$EF$9839,B78)+SUMIFS('Master Log'!$EL$2:$EL$9839,'Master Log'!$A$2:$A$9839,"&gt;="&amp;$C$24,'Master Log'!$A$2:$A$9839,"&lt;="&amp;$C$25,'Master Log'!$EK$2:$EK$9839,B78)+SUMIFS('Master Log'!$EQ$2:$EQ$9839,'Master Log'!$A$2:$A$9839,"&gt;="&amp;$C$24,'Master Log'!$A$2:$A$9839,"&lt;="&amp;$C$25,'Master Log'!$EP$2:$EP$9839,B78)+SUMIFS('Master Log'!$EV$2:$EV$9839,'Master Log'!$A$2:$A$9839,"&gt;="&amp;$C$24,'Master Log'!$A$2:$A$9839,"&lt;="&amp;$C$25,'Master Log'!$EU$2:$EU$9839,B78)</f>
        <v>0</v>
      </c>
      <c r="D78" s="130" t="str">
        <f>IF(B78&lt;&gt;"",COUNTIFS('Master Log'!A:A,"&gt;="&amp;$C$24,'Master Log'!A:A,"&lt;="&amp;$C$25,'Master Log'!CR:CR,B78)+COUNTIFS('Master Log'!A:A,"&gt;="&amp;$C$24,'Master Log'!A:A,"&lt;="&amp;$C$25,'Master Log'!CW:CW,B78)+COUNTIFS('Master Log'!A:A,"&gt;="&amp;$C$24,'Master Log'!A:A,"&lt;="&amp;$C$25,'Master Log'!DB:DB,B78)+COUNTIFS('Master Log'!A:A,"&gt;="&amp;$C$24,'Master Log'!A:A,"&lt;="&amp;$C$25,'Master Log'!DG:DG,B78)+COUNTIFS('Master Log'!A:A,"&gt;="&amp;$C$24,'Master Log'!A:A,"&lt;="&amp;$C$25,'Master Log'!DL:DL,B78)+COUNTIFS('Master Log'!A:A,"&gt;="&amp;$C$24,'Master Log'!A:A,"&lt;="&amp;$C$25,'Master Log'!DQ:DQ,B78)+COUNTIFS('Master Log'!A:A,"&gt;="&amp;$C$24,'Master Log'!A:A,"&lt;="&amp;$C$25,'Master Log'!DV:DV,B78)+COUNTIFS('Master Log'!A:A,"&gt;="&amp;$C$24,'Master Log'!A:A,"&lt;="&amp;$C$25,'Master Log'!EA:EA,B78)+COUNTIFS('Master Log'!A:A,"&gt;="&amp;$C$24,'Master Log'!A:A,"&lt;="&amp;$C$25,'Master Log'!EF:EF,B78)+COUNTIFS('Master Log'!A:A,"&gt;="&amp;$C$24,'Master Log'!A:A,"&lt;="&amp;$C$25,'Master Log'!EK:EK,B78)+COUNTIFS('Master Log'!A:A,"&gt;="&amp;$C$24,'Master Log'!A:A,"&lt;="&amp;$C$25,'Master Log'!EP:EP,B78)+COUNTIFS('Master Log'!A:A,"&gt;="&amp;$C$24,'Master Log'!A:A,"&lt;="&amp;$C$25,'Master Log'!EU:EU,B78),"")</f>
        <v/>
      </c>
      <c r="E78" s="135" t="str">
        <f t="shared" si="2"/>
        <v/>
      </c>
    </row>
    <row r="79" spans="2:5">
      <c r="B79" s="127" t="str">
        <f>IF('Setup Sheet'!A59&lt;&gt;"",'Setup Sheet'!A59,"")</f>
        <v/>
      </c>
      <c r="C79" s="128">
        <f>SUMIFS('Master Log'!$CS$2:$CS$9839,'Master Log'!$A$2:$A$9839,"&gt;="&amp;$C$24,'Master Log'!$A$2:$A$9839,"&lt;="&amp;$C$25,'Master Log'!$CR$2:$CR$9839,B79)+SUMIFS('Master Log'!$CX$2:$CX$9839,'Master Log'!$A$2:$A$9839,"&gt;="&amp;$C$24,'Master Log'!$A$2:$A$9839,"&lt;="&amp;$C$25,'Master Log'!$CW$2:$CW$9839,B79)+SUMIFS('Master Log'!$DC$2:$DC$9839,'Master Log'!$A$2:$A$9839,"&gt;="&amp;$C$24,'Master Log'!$A$2:$A$9839,"&lt;="&amp;$C$25,'Master Log'!$DB$2:$DB$9839,B79)+SUMIFS('Master Log'!$DH$2:$DH$9839,'Master Log'!$A$2:$A$9839,"&gt;="&amp;$C$24,'Master Log'!$A$2:$A$9839,"&lt;="&amp;$C$25,'Master Log'!$DG$2:$DG$9839,B79)+SUMIFS('Master Log'!$DM$2:$DM$9839,'Master Log'!$A$2:$A$9839,"&gt;="&amp;$C$24,'Master Log'!$A$2:$A$9839,"&lt;="&amp;$C$25,'Master Log'!$DL$2:$DL$9839,B79)+SUMIFS('Master Log'!$DR$2:$DR$9839,'Master Log'!$A$2:$A$9839,"&gt;="&amp;$C$24,'Master Log'!$A$2:$A$9839,"&lt;="&amp;$C$25,'Master Log'!$DQ$2:$DQ$9839,B79)+SUMIFS('Master Log'!$DW$2:$DW$9839,'Master Log'!$A$2:$A$9839,"&gt;="&amp;$C$24,'Master Log'!$A$2:$A$9839,"&lt;="&amp;$C$25,'Master Log'!$DV$2:$DV$9839,B79)+SUMIFS('Master Log'!$EB$2:$EB$9839,'Master Log'!$A$2:$A$9839,"&gt;="&amp;$C$24,'Master Log'!$A$2:$A$9839,"&lt;="&amp;$C$25,'Master Log'!$EA$2:$EA$9839,B79)+SUMIFS('Master Log'!$EG$2:$EG$9839,'Master Log'!$A$2:$A$9839,"&gt;="&amp;$C$24,'Master Log'!$A$2:$A$9839,"&lt;="&amp;$C$25,'Master Log'!$EF$2:$EF$9839,B79)+SUMIFS('Master Log'!$EL$2:$EL$9839,'Master Log'!$A$2:$A$9839,"&gt;="&amp;$C$24,'Master Log'!$A$2:$A$9839,"&lt;="&amp;$C$25,'Master Log'!$EK$2:$EK$9839,B79)+SUMIFS('Master Log'!$EQ$2:$EQ$9839,'Master Log'!$A$2:$A$9839,"&gt;="&amp;$C$24,'Master Log'!$A$2:$A$9839,"&lt;="&amp;$C$25,'Master Log'!$EP$2:$EP$9839,B79)+SUMIFS('Master Log'!$EV$2:$EV$9839,'Master Log'!$A$2:$A$9839,"&gt;="&amp;$C$24,'Master Log'!$A$2:$A$9839,"&lt;="&amp;$C$25,'Master Log'!$EU$2:$EU$9839,B79)</f>
        <v>0</v>
      </c>
      <c r="D79" s="130" t="str">
        <f>IF(B79&lt;&gt;"",COUNTIFS('Master Log'!A:A,"&gt;="&amp;$C$24,'Master Log'!A:A,"&lt;="&amp;$C$25,'Master Log'!CR:CR,B79)+COUNTIFS('Master Log'!A:A,"&gt;="&amp;$C$24,'Master Log'!A:A,"&lt;="&amp;$C$25,'Master Log'!CW:CW,B79)+COUNTIFS('Master Log'!A:A,"&gt;="&amp;$C$24,'Master Log'!A:A,"&lt;="&amp;$C$25,'Master Log'!DB:DB,B79)+COUNTIFS('Master Log'!A:A,"&gt;="&amp;$C$24,'Master Log'!A:A,"&lt;="&amp;$C$25,'Master Log'!DG:DG,B79)+COUNTIFS('Master Log'!A:A,"&gt;="&amp;$C$24,'Master Log'!A:A,"&lt;="&amp;$C$25,'Master Log'!DL:DL,B79)+COUNTIFS('Master Log'!A:A,"&gt;="&amp;$C$24,'Master Log'!A:A,"&lt;="&amp;$C$25,'Master Log'!DQ:DQ,B79)+COUNTIFS('Master Log'!A:A,"&gt;="&amp;$C$24,'Master Log'!A:A,"&lt;="&amp;$C$25,'Master Log'!DV:DV,B79)+COUNTIFS('Master Log'!A:A,"&gt;="&amp;$C$24,'Master Log'!A:A,"&lt;="&amp;$C$25,'Master Log'!EA:EA,B79)+COUNTIFS('Master Log'!A:A,"&gt;="&amp;$C$24,'Master Log'!A:A,"&lt;="&amp;$C$25,'Master Log'!EF:EF,B79)+COUNTIFS('Master Log'!A:A,"&gt;="&amp;$C$24,'Master Log'!A:A,"&lt;="&amp;$C$25,'Master Log'!EK:EK,B79)+COUNTIFS('Master Log'!A:A,"&gt;="&amp;$C$24,'Master Log'!A:A,"&lt;="&amp;$C$25,'Master Log'!EP:EP,B79)+COUNTIFS('Master Log'!A:A,"&gt;="&amp;$C$24,'Master Log'!A:A,"&lt;="&amp;$C$25,'Master Log'!EU:EU,B79),"")</f>
        <v/>
      </c>
      <c r="E79" s="135" t="str">
        <f t="shared" si="2"/>
        <v/>
      </c>
    </row>
    <row r="80" spans="2:5">
      <c r="B80" s="127" t="str">
        <f>IF('Setup Sheet'!A60&lt;&gt;"",'Setup Sheet'!A60,"")</f>
        <v/>
      </c>
      <c r="C80" s="128">
        <f>SUMIFS('Master Log'!$CS$2:$CS$9839,'Master Log'!$A$2:$A$9839,"&gt;="&amp;$C$24,'Master Log'!$A$2:$A$9839,"&lt;="&amp;$C$25,'Master Log'!$CR$2:$CR$9839,B80)+SUMIFS('Master Log'!$CX$2:$CX$9839,'Master Log'!$A$2:$A$9839,"&gt;="&amp;$C$24,'Master Log'!$A$2:$A$9839,"&lt;="&amp;$C$25,'Master Log'!$CW$2:$CW$9839,B80)+SUMIFS('Master Log'!$DC$2:$DC$9839,'Master Log'!$A$2:$A$9839,"&gt;="&amp;$C$24,'Master Log'!$A$2:$A$9839,"&lt;="&amp;$C$25,'Master Log'!$DB$2:$DB$9839,B80)+SUMIFS('Master Log'!$DH$2:$DH$9839,'Master Log'!$A$2:$A$9839,"&gt;="&amp;$C$24,'Master Log'!$A$2:$A$9839,"&lt;="&amp;$C$25,'Master Log'!$DG$2:$DG$9839,B80)+SUMIFS('Master Log'!$DM$2:$DM$9839,'Master Log'!$A$2:$A$9839,"&gt;="&amp;$C$24,'Master Log'!$A$2:$A$9839,"&lt;="&amp;$C$25,'Master Log'!$DL$2:$DL$9839,B80)+SUMIFS('Master Log'!$DR$2:$DR$9839,'Master Log'!$A$2:$A$9839,"&gt;="&amp;$C$24,'Master Log'!$A$2:$A$9839,"&lt;="&amp;$C$25,'Master Log'!$DQ$2:$DQ$9839,B80)+SUMIFS('Master Log'!$DW$2:$DW$9839,'Master Log'!$A$2:$A$9839,"&gt;="&amp;$C$24,'Master Log'!$A$2:$A$9839,"&lt;="&amp;$C$25,'Master Log'!$DV$2:$DV$9839,B80)+SUMIFS('Master Log'!$EB$2:$EB$9839,'Master Log'!$A$2:$A$9839,"&gt;="&amp;$C$24,'Master Log'!$A$2:$A$9839,"&lt;="&amp;$C$25,'Master Log'!$EA$2:$EA$9839,B80)+SUMIFS('Master Log'!$EG$2:$EG$9839,'Master Log'!$A$2:$A$9839,"&gt;="&amp;$C$24,'Master Log'!$A$2:$A$9839,"&lt;="&amp;$C$25,'Master Log'!$EF$2:$EF$9839,B80)+SUMIFS('Master Log'!$EL$2:$EL$9839,'Master Log'!$A$2:$A$9839,"&gt;="&amp;$C$24,'Master Log'!$A$2:$A$9839,"&lt;="&amp;$C$25,'Master Log'!$EK$2:$EK$9839,B80)+SUMIFS('Master Log'!$EQ$2:$EQ$9839,'Master Log'!$A$2:$A$9839,"&gt;="&amp;$C$24,'Master Log'!$A$2:$A$9839,"&lt;="&amp;$C$25,'Master Log'!$EP$2:$EP$9839,B80)+SUMIFS('Master Log'!$EV$2:$EV$9839,'Master Log'!$A$2:$A$9839,"&gt;="&amp;$C$24,'Master Log'!$A$2:$A$9839,"&lt;="&amp;$C$25,'Master Log'!$EU$2:$EU$9839,B80)</f>
        <v>0</v>
      </c>
      <c r="D80" s="130" t="str">
        <f>IF(B80&lt;&gt;"",COUNTIFS('Master Log'!A:A,"&gt;="&amp;$C$24,'Master Log'!A:A,"&lt;="&amp;$C$25,'Master Log'!CR:CR,B80)+COUNTIFS('Master Log'!A:A,"&gt;="&amp;$C$24,'Master Log'!A:A,"&lt;="&amp;$C$25,'Master Log'!CW:CW,B80)+COUNTIFS('Master Log'!A:A,"&gt;="&amp;$C$24,'Master Log'!A:A,"&lt;="&amp;$C$25,'Master Log'!DB:DB,B80)+COUNTIFS('Master Log'!A:A,"&gt;="&amp;$C$24,'Master Log'!A:A,"&lt;="&amp;$C$25,'Master Log'!DG:DG,B80)+COUNTIFS('Master Log'!A:A,"&gt;="&amp;$C$24,'Master Log'!A:A,"&lt;="&amp;$C$25,'Master Log'!DL:DL,B80)+COUNTIFS('Master Log'!A:A,"&gt;="&amp;$C$24,'Master Log'!A:A,"&lt;="&amp;$C$25,'Master Log'!DQ:DQ,B80)+COUNTIFS('Master Log'!A:A,"&gt;="&amp;$C$24,'Master Log'!A:A,"&lt;="&amp;$C$25,'Master Log'!DV:DV,B80)+COUNTIFS('Master Log'!A:A,"&gt;="&amp;$C$24,'Master Log'!A:A,"&lt;="&amp;$C$25,'Master Log'!EA:EA,B80)+COUNTIFS('Master Log'!A:A,"&gt;="&amp;$C$24,'Master Log'!A:A,"&lt;="&amp;$C$25,'Master Log'!EF:EF,B80)+COUNTIFS('Master Log'!A:A,"&gt;="&amp;$C$24,'Master Log'!A:A,"&lt;="&amp;$C$25,'Master Log'!EK:EK,B80)+COUNTIFS('Master Log'!A:A,"&gt;="&amp;$C$24,'Master Log'!A:A,"&lt;="&amp;$C$25,'Master Log'!EP:EP,B80)+COUNTIFS('Master Log'!A:A,"&gt;="&amp;$C$24,'Master Log'!A:A,"&lt;="&amp;$C$25,'Master Log'!EU:EU,B80),"")</f>
        <v/>
      </c>
      <c r="E80" s="135" t="str">
        <f t="shared" si="2"/>
        <v/>
      </c>
    </row>
    <row r="81" spans="2:5">
      <c r="B81" s="127" t="str">
        <f>IF('Setup Sheet'!A61&lt;&gt;"",'Setup Sheet'!A61,"")</f>
        <v/>
      </c>
      <c r="C81" s="128">
        <f>SUMIFS('Master Log'!$CS$2:$CS$9839,'Master Log'!$A$2:$A$9839,"&gt;="&amp;$C$24,'Master Log'!$A$2:$A$9839,"&lt;="&amp;$C$25,'Master Log'!$CR$2:$CR$9839,B81)+SUMIFS('Master Log'!$CX$2:$CX$9839,'Master Log'!$A$2:$A$9839,"&gt;="&amp;$C$24,'Master Log'!$A$2:$A$9839,"&lt;="&amp;$C$25,'Master Log'!$CW$2:$CW$9839,B81)+SUMIFS('Master Log'!$DC$2:$DC$9839,'Master Log'!$A$2:$A$9839,"&gt;="&amp;$C$24,'Master Log'!$A$2:$A$9839,"&lt;="&amp;$C$25,'Master Log'!$DB$2:$DB$9839,B81)+SUMIFS('Master Log'!$DH$2:$DH$9839,'Master Log'!$A$2:$A$9839,"&gt;="&amp;$C$24,'Master Log'!$A$2:$A$9839,"&lt;="&amp;$C$25,'Master Log'!$DG$2:$DG$9839,B81)+SUMIFS('Master Log'!$DM$2:$DM$9839,'Master Log'!$A$2:$A$9839,"&gt;="&amp;$C$24,'Master Log'!$A$2:$A$9839,"&lt;="&amp;$C$25,'Master Log'!$DL$2:$DL$9839,B81)+SUMIFS('Master Log'!$DR$2:$DR$9839,'Master Log'!$A$2:$A$9839,"&gt;="&amp;$C$24,'Master Log'!$A$2:$A$9839,"&lt;="&amp;$C$25,'Master Log'!$DQ$2:$DQ$9839,B81)+SUMIFS('Master Log'!$DW$2:$DW$9839,'Master Log'!$A$2:$A$9839,"&gt;="&amp;$C$24,'Master Log'!$A$2:$A$9839,"&lt;="&amp;$C$25,'Master Log'!$DV$2:$DV$9839,B81)+SUMIFS('Master Log'!$EB$2:$EB$9839,'Master Log'!$A$2:$A$9839,"&gt;="&amp;$C$24,'Master Log'!$A$2:$A$9839,"&lt;="&amp;$C$25,'Master Log'!$EA$2:$EA$9839,B81)+SUMIFS('Master Log'!$EG$2:$EG$9839,'Master Log'!$A$2:$A$9839,"&gt;="&amp;$C$24,'Master Log'!$A$2:$A$9839,"&lt;="&amp;$C$25,'Master Log'!$EF$2:$EF$9839,B81)+SUMIFS('Master Log'!$EL$2:$EL$9839,'Master Log'!$A$2:$A$9839,"&gt;="&amp;$C$24,'Master Log'!$A$2:$A$9839,"&lt;="&amp;$C$25,'Master Log'!$EK$2:$EK$9839,B81)+SUMIFS('Master Log'!$EQ$2:$EQ$9839,'Master Log'!$A$2:$A$9839,"&gt;="&amp;$C$24,'Master Log'!$A$2:$A$9839,"&lt;="&amp;$C$25,'Master Log'!$EP$2:$EP$9839,B81)+SUMIFS('Master Log'!$EV$2:$EV$9839,'Master Log'!$A$2:$A$9839,"&gt;="&amp;$C$24,'Master Log'!$A$2:$A$9839,"&lt;="&amp;$C$25,'Master Log'!$EU$2:$EU$9839,B81)</f>
        <v>0</v>
      </c>
      <c r="D81" s="130" t="str">
        <f>IF(B81&lt;&gt;"",COUNTIFS('Master Log'!A:A,"&gt;="&amp;$C$24,'Master Log'!A:A,"&lt;="&amp;$C$25,'Master Log'!CR:CR,B81)+COUNTIFS('Master Log'!A:A,"&gt;="&amp;$C$24,'Master Log'!A:A,"&lt;="&amp;$C$25,'Master Log'!CW:CW,B81)+COUNTIFS('Master Log'!A:A,"&gt;="&amp;$C$24,'Master Log'!A:A,"&lt;="&amp;$C$25,'Master Log'!DB:DB,B81)+COUNTIFS('Master Log'!A:A,"&gt;="&amp;$C$24,'Master Log'!A:A,"&lt;="&amp;$C$25,'Master Log'!DG:DG,B81)+COUNTIFS('Master Log'!A:A,"&gt;="&amp;$C$24,'Master Log'!A:A,"&lt;="&amp;$C$25,'Master Log'!DL:DL,B81)+COUNTIFS('Master Log'!A:A,"&gt;="&amp;$C$24,'Master Log'!A:A,"&lt;="&amp;$C$25,'Master Log'!DQ:DQ,B81)+COUNTIFS('Master Log'!A:A,"&gt;="&amp;$C$24,'Master Log'!A:A,"&lt;="&amp;$C$25,'Master Log'!DV:DV,B81)+COUNTIFS('Master Log'!A:A,"&gt;="&amp;$C$24,'Master Log'!A:A,"&lt;="&amp;$C$25,'Master Log'!EA:EA,B81)+COUNTIFS('Master Log'!A:A,"&gt;="&amp;$C$24,'Master Log'!A:A,"&lt;="&amp;$C$25,'Master Log'!EF:EF,B81)+COUNTIFS('Master Log'!A:A,"&gt;="&amp;$C$24,'Master Log'!A:A,"&lt;="&amp;$C$25,'Master Log'!EK:EK,B81)+COUNTIFS('Master Log'!A:A,"&gt;="&amp;$C$24,'Master Log'!A:A,"&lt;="&amp;$C$25,'Master Log'!EP:EP,B81)+COUNTIFS('Master Log'!A:A,"&gt;="&amp;$C$24,'Master Log'!A:A,"&lt;="&amp;$C$25,'Master Log'!EU:EU,B81),"")</f>
        <v/>
      </c>
      <c r="E81" s="135" t="str">
        <f t="shared" si="2"/>
        <v/>
      </c>
    </row>
    <row r="82" spans="2:5">
      <c r="B82" s="127" t="str">
        <f>IF('Setup Sheet'!A62&lt;&gt;"",'Setup Sheet'!A62,"")</f>
        <v/>
      </c>
      <c r="C82" s="128">
        <f>SUMIFS('Master Log'!$CS$2:$CS$9839,'Master Log'!$A$2:$A$9839,"&gt;="&amp;$C$24,'Master Log'!$A$2:$A$9839,"&lt;="&amp;$C$25,'Master Log'!$CR$2:$CR$9839,B82)+SUMIFS('Master Log'!$CX$2:$CX$9839,'Master Log'!$A$2:$A$9839,"&gt;="&amp;$C$24,'Master Log'!$A$2:$A$9839,"&lt;="&amp;$C$25,'Master Log'!$CW$2:$CW$9839,B82)+SUMIFS('Master Log'!$DC$2:$DC$9839,'Master Log'!$A$2:$A$9839,"&gt;="&amp;$C$24,'Master Log'!$A$2:$A$9839,"&lt;="&amp;$C$25,'Master Log'!$DB$2:$DB$9839,B82)+SUMIFS('Master Log'!$DH$2:$DH$9839,'Master Log'!$A$2:$A$9839,"&gt;="&amp;$C$24,'Master Log'!$A$2:$A$9839,"&lt;="&amp;$C$25,'Master Log'!$DG$2:$DG$9839,B82)+SUMIFS('Master Log'!$DM$2:$DM$9839,'Master Log'!$A$2:$A$9839,"&gt;="&amp;$C$24,'Master Log'!$A$2:$A$9839,"&lt;="&amp;$C$25,'Master Log'!$DL$2:$DL$9839,B82)+SUMIFS('Master Log'!$DR$2:$DR$9839,'Master Log'!$A$2:$A$9839,"&gt;="&amp;$C$24,'Master Log'!$A$2:$A$9839,"&lt;="&amp;$C$25,'Master Log'!$DQ$2:$DQ$9839,B82)+SUMIFS('Master Log'!$DW$2:$DW$9839,'Master Log'!$A$2:$A$9839,"&gt;="&amp;$C$24,'Master Log'!$A$2:$A$9839,"&lt;="&amp;$C$25,'Master Log'!$DV$2:$DV$9839,B82)+SUMIFS('Master Log'!$EB$2:$EB$9839,'Master Log'!$A$2:$A$9839,"&gt;="&amp;$C$24,'Master Log'!$A$2:$A$9839,"&lt;="&amp;$C$25,'Master Log'!$EA$2:$EA$9839,B82)+SUMIFS('Master Log'!$EG$2:$EG$9839,'Master Log'!$A$2:$A$9839,"&gt;="&amp;$C$24,'Master Log'!$A$2:$A$9839,"&lt;="&amp;$C$25,'Master Log'!$EF$2:$EF$9839,B82)+SUMIFS('Master Log'!$EL$2:$EL$9839,'Master Log'!$A$2:$A$9839,"&gt;="&amp;$C$24,'Master Log'!$A$2:$A$9839,"&lt;="&amp;$C$25,'Master Log'!$EK$2:$EK$9839,B82)+SUMIFS('Master Log'!$EQ$2:$EQ$9839,'Master Log'!$A$2:$A$9839,"&gt;="&amp;$C$24,'Master Log'!$A$2:$A$9839,"&lt;="&amp;$C$25,'Master Log'!$EP$2:$EP$9839,B82)+SUMIFS('Master Log'!$EV$2:$EV$9839,'Master Log'!$A$2:$A$9839,"&gt;="&amp;$C$24,'Master Log'!$A$2:$A$9839,"&lt;="&amp;$C$25,'Master Log'!$EU$2:$EU$9839,B82)</f>
        <v>0</v>
      </c>
      <c r="D82" s="130" t="str">
        <f>IF(B82&lt;&gt;"",COUNTIFS('Master Log'!A:A,"&gt;="&amp;$C$24,'Master Log'!A:A,"&lt;="&amp;$C$25,'Master Log'!CR:CR,B82)+COUNTIFS('Master Log'!A:A,"&gt;="&amp;$C$24,'Master Log'!A:A,"&lt;="&amp;$C$25,'Master Log'!CW:CW,B82)+COUNTIFS('Master Log'!A:A,"&gt;="&amp;$C$24,'Master Log'!A:A,"&lt;="&amp;$C$25,'Master Log'!DB:DB,B82)+COUNTIFS('Master Log'!A:A,"&gt;="&amp;$C$24,'Master Log'!A:A,"&lt;="&amp;$C$25,'Master Log'!DG:DG,B82)+COUNTIFS('Master Log'!A:A,"&gt;="&amp;$C$24,'Master Log'!A:A,"&lt;="&amp;$C$25,'Master Log'!DL:DL,B82)+COUNTIFS('Master Log'!A:A,"&gt;="&amp;$C$24,'Master Log'!A:A,"&lt;="&amp;$C$25,'Master Log'!DQ:DQ,B82)+COUNTIFS('Master Log'!A:A,"&gt;="&amp;$C$24,'Master Log'!A:A,"&lt;="&amp;$C$25,'Master Log'!DV:DV,B82)+COUNTIFS('Master Log'!A:A,"&gt;="&amp;$C$24,'Master Log'!A:A,"&lt;="&amp;$C$25,'Master Log'!EA:EA,B82)+COUNTIFS('Master Log'!A:A,"&gt;="&amp;$C$24,'Master Log'!A:A,"&lt;="&amp;$C$25,'Master Log'!EF:EF,B82)+COUNTIFS('Master Log'!A:A,"&gt;="&amp;$C$24,'Master Log'!A:A,"&lt;="&amp;$C$25,'Master Log'!EK:EK,B82)+COUNTIFS('Master Log'!A:A,"&gt;="&amp;$C$24,'Master Log'!A:A,"&lt;="&amp;$C$25,'Master Log'!EP:EP,B82)+COUNTIFS('Master Log'!A:A,"&gt;="&amp;$C$24,'Master Log'!A:A,"&lt;="&amp;$C$25,'Master Log'!EU:EU,B82),"")</f>
        <v/>
      </c>
      <c r="E82" s="135" t="str">
        <f t="shared" si="2"/>
        <v/>
      </c>
    </row>
    <row r="83" spans="2:5">
      <c r="B83" s="127" t="str">
        <f>IF('Setup Sheet'!A63&lt;&gt;"",'Setup Sheet'!A63,"")</f>
        <v/>
      </c>
      <c r="C83" s="128">
        <f>SUMIFS('Master Log'!$CS$2:$CS$9839,'Master Log'!$A$2:$A$9839,"&gt;="&amp;$C$24,'Master Log'!$A$2:$A$9839,"&lt;="&amp;$C$25,'Master Log'!$CR$2:$CR$9839,B83)+SUMIFS('Master Log'!$CX$2:$CX$9839,'Master Log'!$A$2:$A$9839,"&gt;="&amp;$C$24,'Master Log'!$A$2:$A$9839,"&lt;="&amp;$C$25,'Master Log'!$CW$2:$CW$9839,B83)+SUMIFS('Master Log'!$DC$2:$DC$9839,'Master Log'!$A$2:$A$9839,"&gt;="&amp;$C$24,'Master Log'!$A$2:$A$9839,"&lt;="&amp;$C$25,'Master Log'!$DB$2:$DB$9839,B83)+SUMIFS('Master Log'!$DH$2:$DH$9839,'Master Log'!$A$2:$A$9839,"&gt;="&amp;$C$24,'Master Log'!$A$2:$A$9839,"&lt;="&amp;$C$25,'Master Log'!$DG$2:$DG$9839,B83)+SUMIFS('Master Log'!$DM$2:$DM$9839,'Master Log'!$A$2:$A$9839,"&gt;="&amp;$C$24,'Master Log'!$A$2:$A$9839,"&lt;="&amp;$C$25,'Master Log'!$DL$2:$DL$9839,B83)+SUMIFS('Master Log'!$DR$2:$DR$9839,'Master Log'!$A$2:$A$9839,"&gt;="&amp;$C$24,'Master Log'!$A$2:$A$9839,"&lt;="&amp;$C$25,'Master Log'!$DQ$2:$DQ$9839,B83)+SUMIFS('Master Log'!$DW$2:$DW$9839,'Master Log'!$A$2:$A$9839,"&gt;="&amp;$C$24,'Master Log'!$A$2:$A$9839,"&lt;="&amp;$C$25,'Master Log'!$DV$2:$DV$9839,B83)+SUMIFS('Master Log'!$EB$2:$EB$9839,'Master Log'!$A$2:$A$9839,"&gt;="&amp;$C$24,'Master Log'!$A$2:$A$9839,"&lt;="&amp;$C$25,'Master Log'!$EA$2:$EA$9839,B83)+SUMIFS('Master Log'!$EG$2:$EG$9839,'Master Log'!$A$2:$A$9839,"&gt;="&amp;$C$24,'Master Log'!$A$2:$A$9839,"&lt;="&amp;$C$25,'Master Log'!$EF$2:$EF$9839,B83)+SUMIFS('Master Log'!$EL$2:$EL$9839,'Master Log'!$A$2:$A$9839,"&gt;="&amp;$C$24,'Master Log'!$A$2:$A$9839,"&lt;="&amp;$C$25,'Master Log'!$EK$2:$EK$9839,B83)+SUMIFS('Master Log'!$EQ$2:$EQ$9839,'Master Log'!$A$2:$A$9839,"&gt;="&amp;$C$24,'Master Log'!$A$2:$A$9839,"&lt;="&amp;$C$25,'Master Log'!$EP$2:$EP$9839,B83)+SUMIFS('Master Log'!$EV$2:$EV$9839,'Master Log'!$A$2:$A$9839,"&gt;="&amp;$C$24,'Master Log'!$A$2:$A$9839,"&lt;="&amp;$C$25,'Master Log'!$EU$2:$EU$9839,B83)</f>
        <v>0</v>
      </c>
      <c r="D83" s="130" t="str">
        <f>IF(B83&lt;&gt;"",COUNTIFS('Master Log'!A:A,"&gt;="&amp;$C$24,'Master Log'!A:A,"&lt;="&amp;$C$25,'Master Log'!CR:CR,B83)+COUNTIFS('Master Log'!A:A,"&gt;="&amp;$C$24,'Master Log'!A:A,"&lt;="&amp;$C$25,'Master Log'!CW:CW,B83)+COUNTIFS('Master Log'!A:A,"&gt;="&amp;$C$24,'Master Log'!A:A,"&lt;="&amp;$C$25,'Master Log'!DB:DB,B83)+COUNTIFS('Master Log'!A:A,"&gt;="&amp;$C$24,'Master Log'!A:A,"&lt;="&amp;$C$25,'Master Log'!DG:DG,B83)+COUNTIFS('Master Log'!A:A,"&gt;="&amp;$C$24,'Master Log'!A:A,"&lt;="&amp;$C$25,'Master Log'!DL:DL,B83)+COUNTIFS('Master Log'!A:A,"&gt;="&amp;$C$24,'Master Log'!A:A,"&lt;="&amp;$C$25,'Master Log'!DQ:DQ,B83)+COUNTIFS('Master Log'!A:A,"&gt;="&amp;$C$24,'Master Log'!A:A,"&lt;="&amp;$C$25,'Master Log'!DV:DV,B83)+COUNTIFS('Master Log'!A:A,"&gt;="&amp;$C$24,'Master Log'!A:A,"&lt;="&amp;$C$25,'Master Log'!EA:EA,B83)+COUNTIFS('Master Log'!A:A,"&gt;="&amp;$C$24,'Master Log'!A:A,"&lt;="&amp;$C$25,'Master Log'!EF:EF,B83)+COUNTIFS('Master Log'!A:A,"&gt;="&amp;$C$24,'Master Log'!A:A,"&lt;="&amp;$C$25,'Master Log'!EK:EK,B83)+COUNTIFS('Master Log'!A:A,"&gt;="&amp;$C$24,'Master Log'!A:A,"&lt;="&amp;$C$25,'Master Log'!EP:EP,B83)+COUNTIFS('Master Log'!A:A,"&gt;="&amp;$C$24,'Master Log'!A:A,"&lt;="&amp;$C$25,'Master Log'!EU:EU,B83),"")</f>
        <v/>
      </c>
      <c r="E83" s="135" t="str">
        <f t="shared" si="2"/>
        <v/>
      </c>
    </row>
    <row r="84" spans="2:5">
      <c r="B84" s="127" t="str">
        <f>IF('Setup Sheet'!A64&lt;&gt;"",'Setup Sheet'!A64,"")</f>
        <v/>
      </c>
      <c r="C84" s="128">
        <f>SUMIFS('Master Log'!$CS$2:$CS$9839,'Master Log'!$A$2:$A$9839,"&gt;="&amp;$C$24,'Master Log'!$A$2:$A$9839,"&lt;="&amp;$C$25,'Master Log'!$CR$2:$CR$9839,B84)+SUMIFS('Master Log'!$CX$2:$CX$9839,'Master Log'!$A$2:$A$9839,"&gt;="&amp;$C$24,'Master Log'!$A$2:$A$9839,"&lt;="&amp;$C$25,'Master Log'!$CW$2:$CW$9839,B84)+SUMIFS('Master Log'!$DC$2:$DC$9839,'Master Log'!$A$2:$A$9839,"&gt;="&amp;$C$24,'Master Log'!$A$2:$A$9839,"&lt;="&amp;$C$25,'Master Log'!$DB$2:$DB$9839,B84)+SUMIFS('Master Log'!$DH$2:$DH$9839,'Master Log'!$A$2:$A$9839,"&gt;="&amp;$C$24,'Master Log'!$A$2:$A$9839,"&lt;="&amp;$C$25,'Master Log'!$DG$2:$DG$9839,B84)+SUMIFS('Master Log'!$DM$2:$DM$9839,'Master Log'!$A$2:$A$9839,"&gt;="&amp;$C$24,'Master Log'!$A$2:$A$9839,"&lt;="&amp;$C$25,'Master Log'!$DL$2:$DL$9839,B84)+SUMIFS('Master Log'!$DR$2:$DR$9839,'Master Log'!$A$2:$A$9839,"&gt;="&amp;$C$24,'Master Log'!$A$2:$A$9839,"&lt;="&amp;$C$25,'Master Log'!$DQ$2:$DQ$9839,B84)+SUMIFS('Master Log'!$DW$2:$DW$9839,'Master Log'!$A$2:$A$9839,"&gt;="&amp;$C$24,'Master Log'!$A$2:$A$9839,"&lt;="&amp;$C$25,'Master Log'!$DV$2:$DV$9839,B84)+SUMIFS('Master Log'!$EB$2:$EB$9839,'Master Log'!$A$2:$A$9839,"&gt;="&amp;$C$24,'Master Log'!$A$2:$A$9839,"&lt;="&amp;$C$25,'Master Log'!$EA$2:$EA$9839,B84)+SUMIFS('Master Log'!$EG$2:$EG$9839,'Master Log'!$A$2:$A$9839,"&gt;="&amp;$C$24,'Master Log'!$A$2:$A$9839,"&lt;="&amp;$C$25,'Master Log'!$EF$2:$EF$9839,B84)+SUMIFS('Master Log'!$EL$2:$EL$9839,'Master Log'!$A$2:$A$9839,"&gt;="&amp;$C$24,'Master Log'!$A$2:$A$9839,"&lt;="&amp;$C$25,'Master Log'!$EK$2:$EK$9839,B84)+SUMIFS('Master Log'!$EQ$2:$EQ$9839,'Master Log'!$A$2:$A$9839,"&gt;="&amp;$C$24,'Master Log'!$A$2:$A$9839,"&lt;="&amp;$C$25,'Master Log'!$EP$2:$EP$9839,B84)+SUMIFS('Master Log'!$EV$2:$EV$9839,'Master Log'!$A$2:$A$9839,"&gt;="&amp;$C$24,'Master Log'!$A$2:$A$9839,"&lt;="&amp;$C$25,'Master Log'!$EU$2:$EU$9839,B84)</f>
        <v>0</v>
      </c>
      <c r="D84" s="130" t="str">
        <f>IF(B84&lt;&gt;"",COUNTIFS('Master Log'!A:A,"&gt;="&amp;$C$24,'Master Log'!A:A,"&lt;="&amp;$C$25,'Master Log'!CR:CR,B84)+COUNTIFS('Master Log'!A:A,"&gt;="&amp;$C$24,'Master Log'!A:A,"&lt;="&amp;$C$25,'Master Log'!CW:CW,B84)+COUNTIFS('Master Log'!A:A,"&gt;="&amp;$C$24,'Master Log'!A:A,"&lt;="&amp;$C$25,'Master Log'!DB:DB,B84)+COUNTIFS('Master Log'!A:A,"&gt;="&amp;$C$24,'Master Log'!A:A,"&lt;="&amp;$C$25,'Master Log'!DG:DG,B84)+COUNTIFS('Master Log'!A:A,"&gt;="&amp;$C$24,'Master Log'!A:A,"&lt;="&amp;$C$25,'Master Log'!DL:DL,B84)+COUNTIFS('Master Log'!A:A,"&gt;="&amp;$C$24,'Master Log'!A:A,"&lt;="&amp;$C$25,'Master Log'!DQ:DQ,B84)+COUNTIFS('Master Log'!A:A,"&gt;="&amp;$C$24,'Master Log'!A:A,"&lt;="&amp;$C$25,'Master Log'!DV:DV,B84)+COUNTIFS('Master Log'!A:A,"&gt;="&amp;$C$24,'Master Log'!A:A,"&lt;="&amp;$C$25,'Master Log'!EA:EA,B84)+COUNTIFS('Master Log'!A:A,"&gt;="&amp;$C$24,'Master Log'!A:A,"&lt;="&amp;$C$25,'Master Log'!EF:EF,B84)+COUNTIFS('Master Log'!A:A,"&gt;="&amp;$C$24,'Master Log'!A:A,"&lt;="&amp;$C$25,'Master Log'!EK:EK,B84)+COUNTIFS('Master Log'!A:A,"&gt;="&amp;$C$24,'Master Log'!A:A,"&lt;="&amp;$C$25,'Master Log'!EP:EP,B84)+COUNTIFS('Master Log'!A:A,"&gt;="&amp;$C$24,'Master Log'!A:A,"&lt;="&amp;$C$25,'Master Log'!EU:EU,B84),"")</f>
        <v/>
      </c>
      <c r="E84" s="135" t="str">
        <f t="shared" si="2"/>
        <v/>
      </c>
    </row>
    <row r="85" spans="2:5">
      <c r="B85" s="127" t="str">
        <f>IF('Setup Sheet'!A65&lt;&gt;"",'Setup Sheet'!A65,"")</f>
        <v/>
      </c>
      <c r="C85" s="128">
        <f>SUMIFS('Master Log'!$CS$2:$CS$9839,'Master Log'!$A$2:$A$9839,"&gt;="&amp;$C$24,'Master Log'!$A$2:$A$9839,"&lt;="&amp;$C$25,'Master Log'!$CR$2:$CR$9839,B85)+SUMIFS('Master Log'!$CX$2:$CX$9839,'Master Log'!$A$2:$A$9839,"&gt;="&amp;$C$24,'Master Log'!$A$2:$A$9839,"&lt;="&amp;$C$25,'Master Log'!$CW$2:$CW$9839,B85)+SUMIFS('Master Log'!$DC$2:$DC$9839,'Master Log'!$A$2:$A$9839,"&gt;="&amp;$C$24,'Master Log'!$A$2:$A$9839,"&lt;="&amp;$C$25,'Master Log'!$DB$2:$DB$9839,B85)+SUMIFS('Master Log'!$DH$2:$DH$9839,'Master Log'!$A$2:$A$9839,"&gt;="&amp;$C$24,'Master Log'!$A$2:$A$9839,"&lt;="&amp;$C$25,'Master Log'!$DG$2:$DG$9839,B85)+SUMIFS('Master Log'!$DM$2:$DM$9839,'Master Log'!$A$2:$A$9839,"&gt;="&amp;$C$24,'Master Log'!$A$2:$A$9839,"&lt;="&amp;$C$25,'Master Log'!$DL$2:$DL$9839,B85)+SUMIFS('Master Log'!$DR$2:$DR$9839,'Master Log'!$A$2:$A$9839,"&gt;="&amp;$C$24,'Master Log'!$A$2:$A$9839,"&lt;="&amp;$C$25,'Master Log'!$DQ$2:$DQ$9839,B85)+SUMIFS('Master Log'!$DW$2:$DW$9839,'Master Log'!$A$2:$A$9839,"&gt;="&amp;$C$24,'Master Log'!$A$2:$A$9839,"&lt;="&amp;$C$25,'Master Log'!$DV$2:$DV$9839,B85)+SUMIFS('Master Log'!$EB$2:$EB$9839,'Master Log'!$A$2:$A$9839,"&gt;="&amp;$C$24,'Master Log'!$A$2:$A$9839,"&lt;="&amp;$C$25,'Master Log'!$EA$2:$EA$9839,B85)+SUMIFS('Master Log'!$EG$2:$EG$9839,'Master Log'!$A$2:$A$9839,"&gt;="&amp;$C$24,'Master Log'!$A$2:$A$9839,"&lt;="&amp;$C$25,'Master Log'!$EF$2:$EF$9839,B85)+SUMIFS('Master Log'!$EL$2:$EL$9839,'Master Log'!$A$2:$A$9839,"&gt;="&amp;$C$24,'Master Log'!$A$2:$A$9839,"&lt;="&amp;$C$25,'Master Log'!$EK$2:$EK$9839,B85)+SUMIFS('Master Log'!$EQ$2:$EQ$9839,'Master Log'!$A$2:$A$9839,"&gt;="&amp;$C$24,'Master Log'!$A$2:$A$9839,"&lt;="&amp;$C$25,'Master Log'!$EP$2:$EP$9839,B85)+SUMIFS('Master Log'!$EV$2:$EV$9839,'Master Log'!$A$2:$A$9839,"&gt;="&amp;$C$24,'Master Log'!$A$2:$A$9839,"&lt;="&amp;$C$25,'Master Log'!$EU$2:$EU$9839,B85)</f>
        <v>0</v>
      </c>
      <c r="D85" s="130" t="str">
        <f>IF(B85&lt;&gt;"",COUNTIFS('Master Log'!A:A,"&gt;="&amp;$C$24,'Master Log'!A:A,"&lt;="&amp;$C$25,'Master Log'!CR:CR,B85)+COUNTIFS('Master Log'!A:A,"&gt;="&amp;$C$24,'Master Log'!A:A,"&lt;="&amp;$C$25,'Master Log'!CW:CW,B85)+COUNTIFS('Master Log'!A:A,"&gt;="&amp;$C$24,'Master Log'!A:A,"&lt;="&amp;$C$25,'Master Log'!DB:DB,B85)+COUNTIFS('Master Log'!A:A,"&gt;="&amp;$C$24,'Master Log'!A:A,"&lt;="&amp;$C$25,'Master Log'!DG:DG,B85)+COUNTIFS('Master Log'!A:A,"&gt;="&amp;$C$24,'Master Log'!A:A,"&lt;="&amp;$C$25,'Master Log'!DL:DL,B85)+COUNTIFS('Master Log'!A:A,"&gt;="&amp;$C$24,'Master Log'!A:A,"&lt;="&amp;$C$25,'Master Log'!DQ:DQ,B85)+COUNTIFS('Master Log'!A:A,"&gt;="&amp;$C$24,'Master Log'!A:A,"&lt;="&amp;$C$25,'Master Log'!DV:DV,B85)+COUNTIFS('Master Log'!A:A,"&gt;="&amp;$C$24,'Master Log'!A:A,"&lt;="&amp;$C$25,'Master Log'!EA:EA,B85)+COUNTIFS('Master Log'!A:A,"&gt;="&amp;$C$24,'Master Log'!A:A,"&lt;="&amp;$C$25,'Master Log'!EF:EF,B85)+COUNTIFS('Master Log'!A:A,"&gt;="&amp;$C$24,'Master Log'!A:A,"&lt;="&amp;$C$25,'Master Log'!EK:EK,B85)+COUNTIFS('Master Log'!A:A,"&gt;="&amp;$C$24,'Master Log'!A:A,"&lt;="&amp;$C$25,'Master Log'!EP:EP,B85)+COUNTIFS('Master Log'!A:A,"&gt;="&amp;$C$24,'Master Log'!A:A,"&lt;="&amp;$C$25,'Master Log'!EU:EU,B85),"")</f>
        <v/>
      </c>
      <c r="E85" s="135" t="str">
        <f t="shared" si="2"/>
        <v/>
      </c>
    </row>
    <row r="86" spans="2:5">
      <c r="B86" s="127" t="str">
        <f>IF('Setup Sheet'!A66&lt;&gt;"",'Setup Sheet'!A66,"")</f>
        <v/>
      </c>
      <c r="C86" s="128">
        <f>SUMIFS('Master Log'!$CS$2:$CS$9839,'Master Log'!$A$2:$A$9839,"&gt;="&amp;$C$24,'Master Log'!$A$2:$A$9839,"&lt;="&amp;$C$25,'Master Log'!$CR$2:$CR$9839,B86)+SUMIFS('Master Log'!$CX$2:$CX$9839,'Master Log'!$A$2:$A$9839,"&gt;="&amp;$C$24,'Master Log'!$A$2:$A$9839,"&lt;="&amp;$C$25,'Master Log'!$CW$2:$CW$9839,B86)+SUMIFS('Master Log'!$DC$2:$DC$9839,'Master Log'!$A$2:$A$9839,"&gt;="&amp;$C$24,'Master Log'!$A$2:$A$9839,"&lt;="&amp;$C$25,'Master Log'!$DB$2:$DB$9839,B86)+SUMIFS('Master Log'!$DH$2:$DH$9839,'Master Log'!$A$2:$A$9839,"&gt;="&amp;$C$24,'Master Log'!$A$2:$A$9839,"&lt;="&amp;$C$25,'Master Log'!$DG$2:$DG$9839,B86)+SUMIFS('Master Log'!$DM$2:$DM$9839,'Master Log'!$A$2:$A$9839,"&gt;="&amp;$C$24,'Master Log'!$A$2:$A$9839,"&lt;="&amp;$C$25,'Master Log'!$DL$2:$DL$9839,B86)+SUMIFS('Master Log'!$DR$2:$DR$9839,'Master Log'!$A$2:$A$9839,"&gt;="&amp;$C$24,'Master Log'!$A$2:$A$9839,"&lt;="&amp;$C$25,'Master Log'!$DQ$2:$DQ$9839,B86)+SUMIFS('Master Log'!$DW$2:$DW$9839,'Master Log'!$A$2:$A$9839,"&gt;="&amp;$C$24,'Master Log'!$A$2:$A$9839,"&lt;="&amp;$C$25,'Master Log'!$DV$2:$DV$9839,B86)+SUMIFS('Master Log'!$EB$2:$EB$9839,'Master Log'!$A$2:$A$9839,"&gt;="&amp;$C$24,'Master Log'!$A$2:$A$9839,"&lt;="&amp;$C$25,'Master Log'!$EA$2:$EA$9839,B86)+SUMIFS('Master Log'!$EG$2:$EG$9839,'Master Log'!$A$2:$A$9839,"&gt;="&amp;$C$24,'Master Log'!$A$2:$A$9839,"&lt;="&amp;$C$25,'Master Log'!$EF$2:$EF$9839,B86)+SUMIFS('Master Log'!$EL$2:$EL$9839,'Master Log'!$A$2:$A$9839,"&gt;="&amp;$C$24,'Master Log'!$A$2:$A$9839,"&lt;="&amp;$C$25,'Master Log'!$EK$2:$EK$9839,B86)+SUMIFS('Master Log'!$EQ$2:$EQ$9839,'Master Log'!$A$2:$A$9839,"&gt;="&amp;$C$24,'Master Log'!$A$2:$A$9839,"&lt;="&amp;$C$25,'Master Log'!$EP$2:$EP$9839,B86)+SUMIFS('Master Log'!$EV$2:$EV$9839,'Master Log'!$A$2:$A$9839,"&gt;="&amp;$C$24,'Master Log'!$A$2:$A$9839,"&lt;="&amp;$C$25,'Master Log'!$EU$2:$EU$9839,B86)</f>
        <v>0</v>
      </c>
      <c r="D86" s="130" t="str">
        <f>IF(B86&lt;&gt;"",COUNTIFS('Master Log'!A:A,"&gt;="&amp;$C$24,'Master Log'!A:A,"&lt;="&amp;$C$25,'Master Log'!CR:CR,B86)+COUNTIFS('Master Log'!A:A,"&gt;="&amp;$C$24,'Master Log'!A:A,"&lt;="&amp;$C$25,'Master Log'!CW:CW,B86)+COUNTIFS('Master Log'!A:A,"&gt;="&amp;$C$24,'Master Log'!A:A,"&lt;="&amp;$C$25,'Master Log'!DB:DB,B86)+COUNTIFS('Master Log'!A:A,"&gt;="&amp;$C$24,'Master Log'!A:A,"&lt;="&amp;$C$25,'Master Log'!DG:DG,B86)+COUNTIFS('Master Log'!A:A,"&gt;="&amp;$C$24,'Master Log'!A:A,"&lt;="&amp;$C$25,'Master Log'!DL:DL,B86)+COUNTIFS('Master Log'!A:A,"&gt;="&amp;$C$24,'Master Log'!A:A,"&lt;="&amp;$C$25,'Master Log'!DQ:DQ,B86)+COUNTIFS('Master Log'!A:A,"&gt;="&amp;$C$24,'Master Log'!A:A,"&lt;="&amp;$C$25,'Master Log'!DV:DV,B86)+COUNTIFS('Master Log'!A:A,"&gt;="&amp;$C$24,'Master Log'!A:A,"&lt;="&amp;$C$25,'Master Log'!EA:EA,B86)+COUNTIFS('Master Log'!A:A,"&gt;="&amp;$C$24,'Master Log'!A:A,"&lt;="&amp;$C$25,'Master Log'!EF:EF,B86)+COUNTIFS('Master Log'!A:A,"&gt;="&amp;$C$24,'Master Log'!A:A,"&lt;="&amp;$C$25,'Master Log'!EK:EK,B86)+COUNTIFS('Master Log'!A:A,"&gt;="&amp;$C$24,'Master Log'!A:A,"&lt;="&amp;$C$25,'Master Log'!EP:EP,B86)+COUNTIFS('Master Log'!A:A,"&gt;="&amp;$C$24,'Master Log'!A:A,"&lt;="&amp;$C$25,'Master Log'!EU:EU,B86),"")</f>
        <v/>
      </c>
      <c r="E86" s="135" t="str">
        <f t="shared" si="2"/>
        <v/>
      </c>
    </row>
    <row r="87" spans="2:5">
      <c r="B87" s="127" t="str">
        <f>IF('Setup Sheet'!A67&lt;&gt;"",'Setup Sheet'!A67,"")</f>
        <v/>
      </c>
      <c r="C87" s="128">
        <f>SUMIFS('Master Log'!$CS$2:$CS$9839,'Master Log'!$A$2:$A$9839,"&gt;="&amp;$C$24,'Master Log'!$A$2:$A$9839,"&lt;="&amp;$C$25,'Master Log'!$CR$2:$CR$9839,B87)+SUMIFS('Master Log'!$CX$2:$CX$9839,'Master Log'!$A$2:$A$9839,"&gt;="&amp;$C$24,'Master Log'!$A$2:$A$9839,"&lt;="&amp;$C$25,'Master Log'!$CW$2:$CW$9839,B87)+SUMIFS('Master Log'!$DC$2:$DC$9839,'Master Log'!$A$2:$A$9839,"&gt;="&amp;$C$24,'Master Log'!$A$2:$A$9839,"&lt;="&amp;$C$25,'Master Log'!$DB$2:$DB$9839,B87)+SUMIFS('Master Log'!$DH$2:$DH$9839,'Master Log'!$A$2:$A$9839,"&gt;="&amp;$C$24,'Master Log'!$A$2:$A$9839,"&lt;="&amp;$C$25,'Master Log'!$DG$2:$DG$9839,B87)+SUMIFS('Master Log'!$DM$2:$DM$9839,'Master Log'!$A$2:$A$9839,"&gt;="&amp;$C$24,'Master Log'!$A$2:$A$9839,"&lt;="&amp;$C$25,'Master Log'!$DL$2:$DL$9839,B87)+SUMIFS('Master Log'!$DR$2:$DR$9839,'Master Log'!$A$2:$A$9839,"&gt;="&amp;$C$24,'Master Log'!$A$2:$A$9839,"&lt;="&amp;$C$25,'Master Log'!$DQ$2:$DQ$9839,B87)+SUMIFS('Master Log'!$DW$2:$DW$9839,'Master Log'!$A$2:$A$9839,"&gt;="&amp;$C$24,'Master Log'!$A$2:$A$9839,"&lt;="&amp;$C$25,'Master Log'!$DV$2:$DV$9839,B87)+SUMIFS('Master Log'!$EB$2:$EB$9839,'Master Log'!$A$2:$A$9839,"&gt;="&amp;$C$24,'Master Log'!$A$2:$A$9839,"&lt;="&amp;$C$25,'Master Log'!$EA$2:$EA$9839,B87)+SUMIFS('Master Log'!$EG$2:$EG$9839,'Master Log'!$A$2:$A$9839,"&gt;="&amp;$C$24,'Master Log'!$A$2:$A$9839,"&lt;="&amp;$C$25,'Master Log'!$EF$2:$EF$9839,B87)+SUMIFS('Master Log'!$EL$2:$EL$9839,'Master Log'!$A$2:$A$9839,"&gt;="&amp;$C$24,'Master Log'!$A$2:$A$9839,"&lt;="&amp;$C$25,'Master Log'!$EK$2:$EK$9839,B87)+SUMIFS('Master Log'!$EQ$2:$EQ$9839,'Master Log'!$A$2:$A$9839,"&gt;="&amp;$C$24,'Master Log'!$A$2:$A$9839,"&lt;="&amp;$C$25,'Master Log'!$EP$2:$EP$9839,B87)+SUMIFS('Master Log'!$EV$2:$EV$9839,'Master Log'!$A$2:$A$9839,"&gt;="&amp;$C$24,'Master Log'!$A$2:$A$9839,"&lt;="&amp;$C$25,'Master Log'!$EU$2:$EU$9839,B87)</f>
        <v>0</v>
      </c>
      <c r="D87" s="130" t="str">
        <f>IF(B87&lt;&gt;"",COUNTIFS('Master Log'!A:A,"&gt;="&amp;$C$24,'Master Log'!A:A,"&lt;="&amp;$C$25,'Master Log'!CR:CR,B87)+COUNTIFS('Master Log'!A:A,"&gt;="&amp;$C$24,'Master Log'!A:A,"&lt;="&amp;$C$25,'Master Log'!CW:CW,B87)+COUNTIFS('Master Log'!A:A,"&gt;="&amp;$C$24,'Master Log'!A:A,"&lt;="&amp;$C$25,'Master Log'!DB:DB,B87)+COUNTIFS('Master Log'!A:A,"&gt;="&amp;$C$24,'Master Log'!A:A,"&lt;="&amp;$C$25,'Master Log'!DG:DG,B87)+COUNTIFS('Master Log'!A:A,"&gt;="&amp;$C$24,'Master Log'!A:A,"&lt;="&amp;$C$25,'Master Log'!DL:DL,B87)+COUNTIFS('Master Log'!A:A,"&gt;="&amp;$C$24,'Master Log'!A:A,"&lt;="&amp;$C$25,'Master Log'!DQ:DQ,B87)+COUNTIFS('Master Log'!A:A,"&gt;="&amp;$C$24,'Master Log'!A:A,"&lt;="&amp;$C$25,'Master Log'!DV:DV,B87)+COUNTIFS('Master Log'!A:A,"&gt;="&amp;$C$24,'Master Log'!A:A,"&lt;="&amp;$C$25,'Master Log'!EA:EA,B87)+COUNTIFS('Master Log'!A:A,"&gt;="&amp;$C$24,'Master Log'!A:A,"&lt;="&amp;$C$25,'Master Log'!EF:EF,B87)+COUNTIFS('Master Log'!A:A,"&gt;="&amp;$C$24,'Master Log'!A:A,"&lt;="&amp;$C$25,'Master Log'!EK:EK,B87)+COUNTIFS('Master Log'!A:A,"&gt;="&amp;$C$24,'Master Log'!A:A,"&lt;="&amp;$C$25,'Master Log'!EP:EP,B87)+COUNTIFS('Master Log'!A:A,"&gt;="&amp;$C$24,'Master Log'!A:A,"&lt;="&amp;$C$25,'Master Log'!EU:EU,B87),"")</f>
        <v/>
      </c>
      <c r="E87" s="135" t="str">
        <f t="shared" si="2"/>
        <v/>
      </c>
    </row>
    <row r="88" spans="2:5">
      <c r="B88" s="127" t="str">
        <f>IF('Setup Sheet'!A68&lt;&gt;"",'Setup Sheet'!A68,"")</f>
        <v/>
      </c>
      <c r="C88" s="128">
        <f>SUMIFS('Master Log'!$CS$2:$CS$9839,'Master Log'!$A$2:$A$9839,"&gt;="&amp;$C$24,'Master Log'!$A$2:$A$9839,"&lt;="&amp;$C$25,'Master Log'!$CR$2:$CR$9839,B88)+SUMIFS('Master Log'!$CX$2:$CX$9839,'Master Log'!$A$2:$A$9839,"&gt;="&amp;$C$24,'Master Log'!$A$2:$A$9839,"&lt;="&amp;$C$25,'Master Log'!$CW$2:$CW$9839,B88)+SUMIFS('Master Log'!$DC$2:$DC$9839,'Master Log'!$A$2:$A$9839,"&gt;="&amp;$C$24,'Master Log'!$A$2:$A$9839,"&lt;="&amp;$C$25,'Master Log'!$DB$2:$DB$9839,B88)+SUMIFS('Master Log'!$DH$2:$DH$9839,'Master Log'!$A$2:$A$9839,"&gt;="&amp;$C$24,'Master Log'!$A$2:$A$9839,"&lt;="&amp;$C$25,'Master Log'!$DG$2:$DG$9839,B88)+SUMIFS('Master Log'!$DM$2:$DM$9839,'Master Log'!$A$2:$A$9839,"&gt;="&amp;$C$24,'Master Log'!$A$2:$A$9839,"&lt;="&amp;$C$25,'Master Log'!$DL$2:$DL$9839,B88)+SUMIFS('Master Log'!$DR$2:$DR$9839,'Master Log'!$A$2:$A$9839,"&gt;="&amp;$C$24,'Master Log'!$A$2:$A$9839,"&lt;="&amp;$C$25,'Master Log'!$DQ$2:$DQ$9839,B88)+SUMIFS('Master Log'!$DW$2:$DW$9839,'Master Log'!$A$2:$A$9839,"&gt;="&amp;$C$24,'Master Log'!$A$2:$A$9839,"&lt;="&amp;$C$25,'Master Log'!$DV$2:$DV$9839,B88)+SUMIFS('Master Log'!$EB$2:$EB$9839,'Master Log'!$A$2:$A$9839,"&gt;="&amp;$C$24,'Master Log'!$A$2:$A$9839,"&lt;="&amp;$C$25,'Master Log'!$EA$2:$EA$9839,B88)+SUMIFS('Master Log'!$EG$2:$EG$9839,'Master Log'!$A$2:$A$9839,"&gt;="&amp;$C$24,'Master Log'!$A$2:$A$9839,"&lt;="&amp;$C$25,'Master Log'!$EF$2:$EF$9839,B88)+SUMIFS('Master Log'!$EL$2:$EL$9839,'Master Log'!$A$2:$A$9839,"&gt;="&amp;$C$24,'Master Log'!$A$2:$A$9839,"&lt;="&amp;$C$25,'Master Log'!$EK$2:$EK$9839,B88)+SUMIFS('Master Log'!$EQ$2:$EQ$9839,'Master Log'!$A$2:$A$9839,"&gt;="&amp;$C$24,'Master Log'!$A$2:$A$9839,"&lt;="&amp;$C$25,'Master Log'!$EP$2:$EP$9839,B88)+SUMIFS('Master Log'!$EV$2:$EV$9839,'Master Log'!$A$2:$A$9839,"&gt;="&amp;$C$24,'Master Log'!$A$2:$A$9839,"&lt;="&amp;$C$25,'Master Log'!$EU$2:$EU$9839,B88)</f>
        <v>0</v>
      </c>
      <c r="D88" s="130" t="str">
        <f>IF(B88&lt;&gt;"",COUNTIFS('Master Log'!A:A,"&gt;="&amp;$C$24,'Master Log'!A:A,"&lt;="&amp;$C$25,'Master Log'!CR:CR,B88)+COUNTIFS('Master Log'!A:A,"&gt;="&amp;$C$24,'Master Log'!A:A,"&lt;="&amp;$C$25,'Master Log'!CW:CW,B88)+COUNTIFS('Master Log'!A:A,"&gt;="&amp;$C$24,'Master Log'!A:A,"&lt;="&amp;$C$25,'Master Log'!DB:DB,B88)+COUNTIFS('Master Log'!A:A,"&gt;="&amp;$C$24,'Master Log'!A:A,"&lt;="&amp;$C$25,'Master Log'!DG:DG,B88)+COUNTIFS('Master Log'!A:A,"&gt;="&amp;$C$24,'Master Log'!A:A,"&lt;="&amp;$C$25,'Master Log'!DL:DL,B88)+COUNTIFS('Master Log'!A:A,"&gt;="&amp;$C$24,'Master Log'!A:A,"&lt;="&amp;$C$25,'Master Log'!DQ:DQ,B88)+COUNTIFS('Master Log'!A:A,"&gt;="&amp;$C$24,'Master Log'!A:A,"&lt;="&amp;$C$25,'Master Log'!DV:DV,B88)+COUNTIFS('Master Log'!A:A,"&gt;="&amp;$C$24,'Master Log'!A:A,"&lt;="&amp;$C$25,'Master Log'!EA:EA,B88)+COUNTIFS('Master Log'!A:A,"&gt;="&amp;$C$24,'Master Log'!A:A,"&lt;="&amp;$C$25,'Master Log'!EF:EF,B88)+COUNTIFS('Master Log'!A:A,"&gt;="&amp;$C$24,'Master Log'!A:A,"&lt;="&amp;$C$25,'Master Log'!EK:EK,B88)+COUNTIFS('Master Log'!A:A,"&gt;="&amp;$C$24,'Master Log'!A:A,"&lt;="&amp;$C$25,'Master Log'!EP:EP,B88)+COUNTIFS('Master Log'!A:A,"&gt;="&amp;$C$24,'Master Log'!A:A,"&lt;="&amp;$C$25,'Master Log'!EU:EU,B88),"")</f>
        <v/>
      </c>
      <c r="E88" s="135" t="str">
        <f t="shared" si="2"/>
        <v/>
      </c>
    </row>
    <row r="89" spans="2:5">
      <c r="B89" s="127" t="str">
        <f>IF('Setup Sheet'!A69&lt;&gt;"",'Setup Sheet'!A69,"")</f>
        <v/>
      </c>
      <c r="C89" s="128">
        <f>SUMIFS('Master Log'!$CS$2:$CS$9839,'Master Log'!$A$2:$A$9839,"&gt;="&amp;$C$24,'Master Log'!$A$2:$A$9839,"&lt;="&amp;$C$25,'Master Log'!$CR$2:$CR$9839,B89)+SUMIFS('Master Log'!$CX$2:$CX$9839,'Master Log'!$A$2:$A$9839,"&gt;="&amp;$C$24,'Master Log'!$A$2:$A$9839,"&lt;="&amp;$C$25,'Master Log'!$CW$2:$CW$9839,B89)+SUMIFS('Master Log'!$DC$2:$DC$9839,'Master Log'!$A$2:$A$9839,"&gt;="&amp;$C$24,'Master Log'!$A$2:$A$9839,"&lt;="&amp;$C$25,'Master Log'!$DB$2:$DB$9839,B89)+SUMIFS('Master Log'!$DH$2:$DH$9839,'Master Log'!$A$2:$A$9839,"&gt;="&amp;$C$24,'Master Log'!$A$2:$A$9839,"&lt;="&amp;$C$25,'Master Log'!$DG$2:$DG$9839,B89)+SUMIFS('Master Log'!$DM$2:$DM$9839,'Master Log'!$A$2:$A$9839,"&gt;="&amp;$C$24,'Master Log'!$A$2:$A$9839,"&lt;="&amp;$C$25,'Master Log'!$DL$2:$DL$9839,B89)+SUMIFS('Master Log'!$DR$2:$DR$9839,'Master Log'!$A$2:$A$9839,"&gt;="&amp;$C$24,'Master Log'!$A$2:$A$9839,"&lt;="&amp;$C$25,'Master Log'!$DQ$2:$DQ$9839,B89)+SUMIFS('Master Log'!$DW$2:$DW$9839,'Master Log'!$A$2:$A$9839,"&gt;="&amp;$C$24,'Master Log'!$A$2:$A$9839,"&lt;="&amp;$C$25,'Master Log'!$DV$2:$DV$9839,B89)+SUMIFS('Master Log'!$EB$2:$EB$9839,'Master Log'!$A$2:$A$9839,"&gt;="&amp;$C$24,'Master Log'!$A$2:$A$9839,"&lt;="&amp;$C$25,'Master Log'!$EA$2:$EA$9839,B89)+SUMIFS('Master Log'!$EG$2:$EG$9839,'Master Log'!$A$2:$A$9839,"&gt;="&amp;$C$24,'Master Log'!$A$2:$A$9839,"&lt;="&amp;$C$25,'Master Log'!$EF$2:$EF$9839,B89)+SUMIFS('Master Log'!$EL$2:$EL$9839,'Master Log'!$A$2:$A$9839,"&gt;="&amp;$C$24,'Master Log'!$A$2:$A$9839,"&lt;="&amp;$C$25,'Master Log'!$EK$2:$EK$9839,B89)+SUMIFS('Master Log'!$EQ$2:$EQ$9839,'Master Log'!$A$2:$A$9839,"&gt;="&amp;$C$24,'Master Log'!$A$2:$A$9839,"&lt;="&amp;$C$25,'Master Log'!$EP$2:$EP$9839,B89)+SUMIFS('Master Log'!$EV$2:$EV$9839,'Master Log'!$A$2:$A$9839,"&gt;="&amp;$C$24,'Master Log'!$A$2:$A$9839,"&lt;="&amp;$C$25,'Master Log'!$EU$2:$EU$9839,B89)</f>
        <v>0</v>
      </c>
      <c r="D89" s="130" t="str">
        <f>IF(B89&lt;&gt;"",COUNTIFS('Master Log'!A:A,"&gt;="&amp;$C$24,'Master Log'!A:A,"&lt;="&amp;$C$25,'Master Log'!CR:CR,B89)+COUNTIFS('Master Log'!A:A,"&gt;="&amp;$C$24,'Master Log'!A:A,"&lt;="&amp;$C$25,'Master Log'!CW:CW,B89)+COUNTIFS('Master Log'!A:A,"&gt;="&amp;$C$24,'Master Log'!A:A,"&lt;="&amp;$C$25,'Master Log'!DB:DB,B89)+COUNTIFS('Master Log'!A:A,"&gt;="&amp;$C$24,'Master Log'!A:A,"&lt;="&amp;$C$25,'Master Log'!DG:DG,B89)+COUNTIFS('Master Log'!A:A,"&gt;="&amp;$C$24,'Master Log'!A:A,"&lt;="&amp;$C$25,'Master Log'!DL:DL,B89)+COUNTIFS('Master Log'!A:A,"&gt;="&amp;$C$24,'Master Log'!A:A,"&lt;="&amp;$C$25,'Master Log'!DQ:DQ,B89)+COUNTIFS('Master Log'!A:A,"&gt;="&amp;$C$24,'Master Log'!A:A,"&lt;="&amp;$C$25,'Master Log'!DV:DV,B89)+COUNTIFS('Master Log'!A:A,"&gt;="&amp;$C$24,'Master Log'!A:A,"&lt;="&amp;$C$25,'Master Log'!EA:EA,B89)+COUNTIFS('Master Log'!A:A,"&gt;="&amp;$C$24,'Master Log'!A:A,"&lt;="&amp;$C$25,'Master Log'!EF:EF,B89)+COUNTIFS('Master Log'!A:A,"&gt;="&amp;$C$24,'Master Log'!A:A,"&lt;="&amp;$C$25,'Master Log'!EK:EK,B89)+COUNTIFS('Master Log'!A:A,"&gt;="&amp;$C$24,'Master Log'!A:A,"&lt;="&amp;$C$25,'Master Log'!EP:EP,B89)+COUNTIFS('Master Log'!A:A,"&gt;="&amp;$C$24,'Master Log'!A:A,"&lt;="&amp;$C$25,'Master Log'!EU:EU,B89),"")</f>
        <v/>
      </c>
      <c r="E89" s="135" t="str">
        <f t="shared" si="2"/>
        <v/>
      </c>
    </row>
    <row r="90" spans="2:5">
      <c r="B90" s="127" t="str">
        <f>IF('Setup Sheet'!A70&lt;&gt;"",'Setup Sheet'!A70,"")</f>
        <v/>
      </c>
      <c r="C90" s="128">
        <f>SUMIFS('Master Log'!$CS$2:$CS$9839,'Master Log'!$A$2:$A$9839,"&gt;="&amp;$C$24,'Master Log'!$A$2:$A$9839,"&lt;="&amp;$C$25,'Master Log'!$CR$2:$CR$9839,B90)+SUMIFS('Master Log'!$CX$2:$CX$9839,'Master Log'!$A$2:$A$9839,"&gt;="&amp;$C$24,'Master Log'!$A$2:$A$9839,"&lt;="&amp;$C$25,'Master Log'!$CW$2:$CW$9839,B90)+SUMIFS('Master Log'!$DC$2:$DC$9839,'Master Log'!$A$2:$A$9839,"&gt;="&amp;$C$24,'Master Log'!$A$2:$A$9839,"&lt;="&amp;$C$25,'Master Log'!$DB$2:$DB$9839,B90)+SUMIFS('Master Log'!$DH$2:$DH$9839,'Master Log'!$A$2:$A$9839,"&gt;="&amp;$C$24,'Master Log'!$A$2:$A$9839,"&lt;="&amp;$C$25,'Master Log'!$DG$2:$DG$9839,B90)+SUMIFS('Master Log'!$DM$2:$DM$9839,'Master Log'!$A$2:$A$9839,"&gt;="&amp;$C$24,'Master Log'!$A$2:$A$9839,"&lt;="&amp;$C$25,'Master Log'!$DL$2:$DL$9839,B90)+SUMIFS('Master Log'!$DR$2:$DR$9839,'Master Log'!$A$2:$A$9839,"&gt;="&amp;$C$24,'Master Log'!$A$2:$A$9839,"&lt;="&amp;$C$25,'Master Log'!$DQ$2:$DQ$9839,B90)+SUMIFS('Master Log'!$DW$2:$DW$9839,'Master Log'!$A$2:$A$9839,"&gt;="&amp;$C$24,'Master Log'!$A$2:$A$9839,"&lt;="&amp;$C$25,'Master Log'!$DV$2:$DV$9839,B90)+SUMIFS('Master Log'!$EB$2:$EB$9839,'Master Log'!$A$2:$A$9839,"&gt;="&amp;$C$24,'Master Log'!$A$2:$A$9839,"&lt;="&amp;$C$25,'Master Log'!$EA$2:$EA$9839,B90)+SUMIFS('Master Log'!$EG$2:$EG$9839,'Master Log'!$A$2:$A$9839,"&gt;="&amp;$C$24,'Master Log'!$A$2:$A$9839,"&lt;="&amp;$C$25,'Master Log'!$EF$2:$EF$9839,B90)+SUMIFS('Master Log'!$EL$2:$EL$9839,'Master Log'!$A$2:$A$9839,"&gt;="&amp;$C$24,'Master Log'!$A$2:$A$9839,"&lt;="&amp;$C$25,'Master Log'!$EK$2:$EK$9839,B90)+SUMIFS('Master Log'!$EQ$2:$EQ$9839,'Master Log'!$A$2:$A$9839,"&gt;="&amp;$C$24,'Master Log'!$A$2:$A$9839,"&lt;="&amp;$C$25,'Master Log'!$EP$2:$EP$9839,B90)+SUMIFS('Master Log'!$EV$2:$EV$9839,'Master Log'!$A$2:$A$9839,"&gt;="&amp;$C$24,'Master Log'!$A$2:$A$9839,"&lt;="&amp;$C$25,'Master Log'!$EU$2:$EU$9839,B90)</f>
        <v>0</v>
      </c>
      <c r="D90" s="130" t="str">
        <f>IF(B90&lt;&gt;"",COUNTIFS('Master Log'!A:A,"&gt;="&amp;$C$24,'Master Log'!A:A,"&lt;="&amp;$C$25,'Master Log'!CR:CR,B90)+COUNTIFS('Master Log'!A:A,"&gt;="&amp;$C$24,'Master Log'!A:A,"&lt;="&amp;$C$25,'Master Log'!CW:CW,B90)+COUNTIFS('Master Log'!A:A,"&gt;="&amp;$C$24,'Master Log'!A:A,"&lt;="&amp;$C$25,'Master Log'!DB:DB,B90)+COUNTIFS('Master Log'!A:A,"&gt;="&amp;$C$24,'Master Log'!A:A,"&lt;="&amp;$C$25,'Master Log'!DG:DG,B90)+COUNTIFS('Master Log'!A:A,"&gt;="&amp;$C$24,'Master Log'!A:A,"&lt;="&amp;$C$25,'Master Log'!DL:DL,B90)+COUNTIFS('Master Log'!A:A,"&gt;="&amp;$C$24,'Master Log'!A:A,"&lt;="&amp;$C$25,'Master Log'!DQ:DQ,B90)+COUNTIFS('Master Log'!A:A,"&gt;="&amp;$C$24,'Master Log'!A:A,"&lt;="&amp;$C$25,'Master Log'!DV:DV,B90)+COUNTIFS('Master Log'!A:A,"&gt;="&amp;$C$24,'Master Log'!A:A,"&lt;="&amp;$C$25,'Master Log'!EA:EA,B90)+COUNTIFS('Master Log'!A:A,"&gt;="&amp;$C$24,'Master Log'!A:A,"&lt;="&amp;$C$25,'Master Log'!EF:EF,B90)+COUNTIFS('Master Log'!A:A,"&gt;="&amp;$C$24,'Master Log'!A:A,"&lt;="&amp;$C$25,'Master Log'!EK:EK,B90)+COUNTIFS('Master Log'!A:A,"&gt;="&amp;$C$24,'Master Log'!A:A,"&lt;="&amp;$C$25,'Master Log'!EP:EP,B90)+COUNTIFS('Master Log'!A:A,"&gt;="&amp;$C$24,'Master Log'!A:A,"&lt;="&amp;$C$25,'Master Log'!EU:EU,B90),"")</f>
        <v/>
      </c>
      <c r="E90" s="135" t="str">
        <f t="shared" si="2"/>
        <v/>
      </c>
    </row>
    <row r="91" spans="2:5">
      <c r="B91" s="127" t="str">
        <f>IF('Setup Sheet'!A71&lt;&gt;"",'Setup Sheet'!A71,"")</f>
        <v/>
      </c>
      <c r="C91" s="128">
        <f>SUMIFS('Master Log'!$CS$2:$CS$9839,'Master Log'!$A$2:$A$9839,"&gt;="&amp;$C$24,'Master Log'!$A$2:$A$9839,"&lt;="&amp;$C$25,'Master Log'!$CR$2:$CR$9839,B91)+SUMIFS('Master Log'!$CX$2:$CX$9839,'Master Log'!$A$2:$A$9839,"&gt;="&amp;$C$24,'Master Log'!$A$2:$A$9839,"&lt;="&amp;$C$25,'Master Log'!$CW$2:$CW$9839,B91)+SUMIFS('Master Log'!$DC$2:$DC$9839,'Master Log'!$A$2:$A$9839,"&gt;="&amp;$C$24,'Master Log'!$A$2:$A$9839,"&lt;="&amp;$C$25,'Master Log'!$DB$2:$DB$9839,B91)+SUMIFS('Master Log'!$DH$2:$DH$9839,'Master Log'!$A$2:$A$9839,"&gt;="&amp;$C$24,'Master Log'!$A$2:$A$9839,"&lt;="&amp;$C$25,'Master Log'!$DG$2:$DG$9839,B91)+SUMIFS('Master Log'!$DM$2:$DM$9839,'Master Log'!$A$2:$A$9839,"&gt;="&amp;$C$24,'Master Log'!$A$2:$A$9839,"&lt;="&amp;$C$25,'Master Log'!$DL$2:$DL$9839,B91)+SUMIFS('Master Log'!$DR$2:$DR$9839,'Master Log'!$A$2:$A$9839,"&gt;="&amp;$C$24,'Master Log'!$A$2:$A$9839,"&lt;="&amp;$C$25,'Master Log'!$DQ$2:$DQ$9839,B91)+SUMIFS('Master Log'!$DW$2:$DW$9839,'Master Log'!$A$2:$A$9839,"&gt;="&amp;$C$24,'Master Log'!$A$2:$A$9839,"&lt;="&amp;$C$25,'Master Log'!$DV$2:$DV$9839,B91)+SUMIFS('Master Log'!$EB$2:$EB$9839,'Master Log'!$A$2:$A$9839,"&gt;="&amp;$C$24,'Master Log'!$A$2:$A$9839,"&lt;="&amp;$C$25,'Master Log'!$EA$2:$EA$9839,B91)+SUMIFS('Master Log'!$EG$2:$EG$9839,'Master Log'!$A$2:$A$9839,"&gt;="&amp;$C$24,'Master Log'!$A$2:$A$9839,"&lt;="&amp;$C$25,'Master Log'!$EF$2:$EF$9839,B91)+SUMIFS('Master Log'!$EL$2:$EL$9839,'Master Log'!$A$2:$A$9839,"&gt;="&amp;$C$24,'Master Log'!$A$2:$A$9839,"&lt;="&amp;$C$25,'Master Log'!$EK$2:$EK$9839,B91)+SUMIFS('Master Log'!$EQ$2:$EQ$9839,'Master Log'!$A$2:$A$9839,"&gt;="&amp;$C$24,'Master Log'!$A$2:$A$9839,"&lt;="&amp;$C$25,'Master Log'!$EP$2:$EP$9839,B91)+SUMIFS('Master Log'!$EV$2:$EV$9839,'Master Log'!$A$2:$A$9839,"&gt;="&amp;$C$24,'Master Log'!$A$2:$A$9839,"&lt;="&amp;$C$25,'Master Log'!$EU$2:$EU$9839,B91)</f>
        <v>0</v>
      </c>
      <c r="D91" s="130" t="str">
        <f>IF(B91&lt;&gt;"",COUNTIFS('Master Log'!A:A,"&gt;="&amp;$C$24,'Master Log'!A:A,"&lt;="&amp;$C$25,'Master Log'!CR:CR,B91)+COUNTIFS('Master Log'!A:A,"&gt;="&amp;$C$24,'Master Log'!A:A,"&lt;="&amp;$C$25,'Master Log'!CW:CW,B91)+COUNTIFS('Master Log'!A:A,"&gt;="&amp;$C$24,'Master Log'!A:A,"&lt;="&amp;$C$25,'Master Log'!DB:DB,B91)+COUNTIFS('Master Log'!A:A,"&gt;="&amp;$C$24,'Master Log'!A:A,"&lt;="&amp;$C$25,'Master Log'!DG:DG,B91)+COUNTIFS('Master Log'!A:A,"&gt;="&amp;$C$24,'Master Log'!A:A,"&lt;="&amp;$C$25,'Master Log'!DL:DL,B91)+COUNTIFS('Master Log'!A:A,"&gt;="&amp;$C$24,'Master Log'!A:A,"&lt;="&amp;$C$25,'Master Log'!DQ:DQ,B91)+COUNTIFS('Master Log'!A:A,"&gt;="&amp;$C$24,'Master Log'!A:A,"&lt;="&amp;$C$25,'Master Log'!DV:DV,B91)+COUNTIFS('Master Log'!A:A,"&gt;="&amp;$C$24,'Master Log'!A:A,"&lt;="&amp;$C$25,'Master Log'!EA:EA,B91)+COUNTIFS('Master Log'!A:A,"&gt;="&amp;$C$24,'Master Log'!A:A,"&lt;="&amp;$C$25,'Master Log'!EF:EF,B91)+COUNTIFS('Master Log'!A:A,"&gt;="&amp;$C$24,'Master Log'!A:A,"&lt;="&amp;$C$25,'Master Log'!EK:EK,B91)+COUNTIFS('Master Log'!A:A,"&gt;="&amp;$C$24,'Master Log'!A:A,"&lt;="&amp;$C$25,'Master Log'!EP:EP,B91)+COUNTIFS('Master Log'!A:A,"&gt;="&amp;$C$24,'Master Log'!A:A,"&lt;="&amp;$C$25,'Master Log'!EU:EU,B91),"")</f>
        <v/>
      </c>
      <c r="E91" s="135" t="str">
        <f t="shared" si="2"/>
        <v/>
      </c>
    </row>
    <row r="92" spans="2:5">
      <c r="B92" s="127" t="str">
        <f>IF('Setup Sheet'!A72&lt;&gt;"",'Setup Sheet'!A72,"")</f>
        <v/>
      </c>
      <c r="C92" s="128">
        <f>SUMIFS('Master Log'!$CS$2:$CS$9839,'Master Log'!$A$2:$A$9839,"&gt;="&amp;$C$24,'Master Log'!$A$2:$A$9839,"&lt;="&amp;$C$25,'Master Log'!$CR$2:$CR$9839,B92)+SUMIFS('Master Log'!$CX$2:$CX$9839,'Master Log'!$A$2:$A$9839,"&gt;="&amp;$C$24,'Master Log'!$A$2:$A$9839,"&lt;="&amp;$C$25,'Master Log'!$CW$2:$CW$9839,B92)+SUMIFS('Master Log'!$DC$2:$DC$9839,'Master Log'!$A$2:$A$9839,"&gt;="&amp;$C$24,'Master Log'!$A$2:$A$9839,"&lt;="&amp;$C$25,'Master Log'!$DB$2:$DB$9839,B92)+SUMIFS('Master Log'!$DH$2:$DH$9839,'Master Log'!$A$2:$A$9839,"&gt;="&amp;$C$24,'Master Log'!$A$2:$A$9839,"&lt;="&amp;$C$25,'Master Log'!$DG$2:$DG$9839,B92)+SUMIFS('Master Log'!$DM$2:$DM$9839,'Master Log'!$A$2:$A$9839,"&gt;="&amp;$C$24,'Master Log'!$A$2:$A$9839,"&lt;="&amp;$C$25,'Master Log'!$DL$2:$DL$9839,B92)+SUMIFS('Master Log'!$DR$2:$DR$9839,'Master Log'!$A$2:$A$9839,"&gt;="&amp;$C$24,'Master Log'!$A$2:$A$9839,"&lt;="&amp;$C$25,'Master Log'!$DQ$2:$DQ$9839,B92)+SUMIFS('Master Log'!$DW$2:$DW$9839,'Master Log'!$A$2:$A$9839,"&gt;="&amp;$C$24,'Master Log'!$A$2:$A$9839,"&lt;="&amp;$C$25,'Master Log'!$DV$2:$DV$9839,B92)+SUMIFS('Master Log'!$EB$2:$EB$9839,'Master Log'!$A$2:$A$9839,"&gt;="&amp;$C$24,'Master Log'!$A$2:$A$9839,"&lt;="&amp;$C$25,'Master Log'!$EA$2:$EA$9839,B92)+SUMIFS('Master Log'!$EG$2:$EG$9839,'Master Log'!$A$2:$A$9839,"&gt;="&amp;$C$24,'Master Log'!$A$2:$A$9839,"&lt;="&amp;$C$25,'Master Log'!$EF$2:$EF$9839,B92)+SUMIFS('Master Log'!$EL$2:$EL$9839,'Master Log'!$A$2:$A$9839,"&gt;="&amp;$C$24,'Master Log'!$A$2:$A$9839,"&lt;="&amp;$C$25,'Master Log'!$EK$2:$EK$9839,B92)+SUMIFS('Master Log'!$EQ$2:$EQ$9839,'Master Log'!$A$2:$A$9839,"&gt;="&amp;$C$24,'Master Log'!$A$2:$A$9839,"&lt;="&amp;$C$25,'Master Log'!$EP$2:$EP$9839,B92)+SUMIFS('Master Log'!$EV$2:$EV$9839,'Master Log'!$A$2:$A$9839,"&gt;="&amp;$C$24,'Master Log'!$A$2:$A$9839,"&lt;="&amp;$C$25,'Master Log'!$EU$2:$EU$9839,B92)</f>
        <v>0</v>
      </c>
      <c r="D92" s="130" t="str">
        <f>IF(B92&lt;&gt;"",COUNTIFS('Master Log'!A:A,"&gt;="&amp;$C$24,'Master Log'!A:A,"&lt;="&amp;$C$25,'Master Log'!CR:CR,B92)+COUNTIFS('Master Log'!A:A,"&gt;="&amp;$C$24,'Master Log'!A:A,"&lt;="&amp;$C$25,'Master Log'!CW:CW,B92)+COUNTIFS('Master Log'!A:A,"&gt;="&amp;$C$24,'Master Log'!A:A,"&lt;="&amp;$C$25,'Master Log'!DB:DB,B92)+COUNTIFS('Master Log'!A:A,"&gt;="&amp;$C$24,'Master Log'!A:A,"&lt;="&amp;$C$25,'Master Log'!DG:DG,B92)+COUNTIFS('Master Log'!A:A,"&gt;="&amp;$C$24,'Master Log'!A:A,"&lt;="&amp;$C$25,'Master Log'!DL:DL,B92)+COUNTIFS('Master Log'!A:A,"&gt;="&amp;$C$24,'Master Log'!A:A,"&lt;="&amp;$C$25,'Master Log'!DQ:DQ,B92)+COUNTIFS('Master Log'!A:A,"&gt;="&amp;$C$24,'Master Log'!A:A,"&lt;="&amp;$C$25,'Master Log'!DV:DV,B92)+COUNTIFS('Master Log'!A:A,"&gt;="&amp;$C$24,'Master Log'!A:A,"&lt;="&amp;$C$25,'Master Log'!EA:EA,B92)+COUNTIFS('Master Log'!A:A,"&gt;="&amp;$C$24,'Master Log'!A:A,"&lt;="&amp;$C$25,'Master Log'!EF:EF,B92)+COUNTIFS('Master Log'!A:A,"&gt;="&amp;$C$24,'Master Log'!A:A,"&lt;="&amp;$C$25,'Master Log'!EK:EK,B92)+COUNTIFS('Master Log'!A:A,"&gt;="&amp;$C$24,'Master Log'!A:A,"&lt;="&amp;$C$25,'Master Log'!EP:EP,B92)+COUNTIFS('Master Log'!A:A,"&gt;="&amp;$C$24,'Master Log'!A:A,"&lt;="&amp;$C$25,'Master Log'!EU:EU,B92),"")</f>
        <v/>
      </c>
      <c r="E92" s="135" t="str">
        <f t="shared" si="2"/>
        <v/>
      </c>
    </row>
    <row r="93" spans="2:5">
      <c r="B93" s="127" t="str">
        <f>IF('Setup Sheet'!A73&lt;&gt;"",'Setup Sheet'!A73,"")</f>
        <v/>
      </c>
      <c r="C93" s="128">
        <f>SUMIFS('Master Log'!$CS$2:$CS$9839,'Master Log'!$A$2:$A$9839,"&gt;="&amp;$C$24,'Master Log'!$A$2:$A$9839,"&lt;="&amp;$C$25,'Master Log'!$CR$2:$CR$9839,B93)+SUMIFS('Master Log'!$CX$2:$CX$9839,'Master Log'!$A$2:$A$9839,"&gt;="&amp;$C$24,'Master Log'!$A$2:$A$9839,"&lt;="&amp;$C$25,'Master Log'!$CW$2:$CW$9839,B93)+SUMIFS('Master Log'!$DC$2:$DC$9839,'Master Log'!$A$2:$A$9839,"&gt;="&amp;$C$24,'Master Log'!$A$2:$A$9839,"&lt;="&amp;$C$25,'Master Log'!$DB$2:$DB$9839,B93)+SUMIFS('Master Log'!$DH$2:$DH$9839,'Master Log'!$A$2:$A$9839,"&gt;="&amp;$C$24,'Master Log'!$A$2:$A$9839,"&lt;="&amp;$C$25,'Master Log'!$DG$2:$DG$9839,B93)+SUMIFS('Master Log'!$DM$2:$DM$9839,'Master Log'!$A$2:$A$9839,"&gt;="&amp;$C$24,'Master Log'!$A$2:$A$9839,"&lt;="&amp;$C$25,'Master Log'!$DL$2:$DL$9839,B93)+SUMIFS('Master Log'!$DR$2:$DR$9839,'Master Log'!$A$2:$A$9839,"&gt;="&amp;$C$24,'Master Log'!$A$2:$A$9839,"&lt;="&amp;$C$25,'Master Log'!$DQ$2:$DQ$9839,B93)+SUMIFS('Master Log'!$DW$2:$DW$9839,'Master Log'!$A$2:$A$9839,"&gt;="&amp;$C$24,'Master Log'!$A$2:$A$9839,"&lt;="&amp;$C$25,'Master Log'!$DV$2:$DV$9839,B93)+SUMIFS('Master Log'!$EB$2:$EB$9839,'Master Log'!$A$2:$A$9839,"&gt;="&amp;$C$24,'Master Log'!$A$2:$A$9839,"&lt;="&amp;$C$25,'Master Log'!$EA$2:$EA$9839,B93)+SUMIFS('Master Log'!$EG$2:$EG$9839,'Master Log'!$A$2:$A$9839,"&gt;="&amp;$C$24,'Master Log'!$A$2:$A$9839,"&lt;="&amp;$C$25,'Master Log'!$EF$2:$EF$9839,B93)+SUMIFS('Master Log'!$EL$2:$EL$9839,'Master Log'!$A$2:$A$9839,"&gt;="&amp;$C$24,'Master Log'!$A$2:$A$9839,"&lt;="&amp;$C$25,'Master Log'!$EK$2:$EK$9839,B93)+SUMIFS('Master Log'!$EQ$2:$EQ$9839,'Master Log'!$A$2:$A$9839,"&gt;="&amp;$C$24,'Master Log'!$A$2:$A$9839,"&lt;="&amp;$C$25,'Master Log'!$EP$2:$EP$9839,B93)+SUMIFS('Master Log'!$EV$2:$EV$9839,'Master Log'!$A$2:$A$9839,"&gt;="&amp;$C$24,'Master Log'!$A$2:$A$9839,"&lt;="&amp;$C$25,'Master Log'!$EU$2:$EU$9839,B93)</f>
        <v>0</v>
      </c>
      <c r="D93" s="130" t="str">
        <f>IF(B93&lt;&gt;"",COUNTIFS('Master Log'!A:A,"&gt;="&amp;$C$24,'Master Log'!A:A,"&lt;="&amp;$C$25,'Master Log'!CR:CR,B93)+COUNTIFS('Master Log'!A:A,"&gt;="&amp;$C$24,'Master Log'!A:A,"&lt;="&amp;$C$25,'Master Log'!CW:CW,B93)+COUNTIFS('Master Log'!A:A,"&gt;="&amp;$C$24,'Master Log'!A:A,"&lt;="&amp;$C$25,'Master Log'!DB:DB,B93)+COUNTIFS('Master Log'!A:A,"&gt;="&amp;$C$24,'Master Log'!A:A,"&lt;="&amp;$C$25,'Master Log'!DG:DG,B93)+COUNTIFS('Master Log'!A:A,"&gt;="&amp;$C$24,'Master Log'!A:A,"&lt;="&amp;$C$25,'Master Log'!DL:DL,B93)+COUNTIFS('Master Log'!A:A,"&gt;="&amp;$C$24,'Master Log'!A:A,"&lt;="&amp;$C$25,'Master Log'!DQ:DQ,B93)+COUNTIFS('Master Log'!A:A,"&gt;="&amp;$C$24,'Master Log'!A:A,"&lt;="&amp;$C$25,'Master Log'!DV:DV,B93)+COUNTIFS('Master Log'!A:A,"&gt;="&amp;$C$24,'Master Log'!A:A,"&lt;="&amp;$C$25,'Master Log'!EA:EA,B93)+COUNTIFS('Master Log'!A:A,"&gt;="&amp;$C$24,'Master Log'!A:A,"&lt;="&amp;$C$25,'Master Log'!EF:EF,B93)+COUNTIFS('Master Log'!A:A,"&gt;="&amp;$C$24,'Master Log'!A:A,"&lt;="&amp;$C$25,'Master Log'!EK:EK,B93)+COUNTIFS('Master Log'!A:A,"&gt;="&amp;$C$24,'Master Log'!A:A,"&lt;="&amp;$C$25,'Master Log'!EP:EP,B93)+COUNTIFS('Master Log'!A:A,"&gt;="&amp;$C$24,'Master Log'!A:A,"&lt;="&amp;$C$25,'Master Log'!EU:EU,B93),"")</f>
        <v/>
      </c>
      <c r="E93" s="135" t="str">
        <f t="shared" ref="E93:E100" si="4">IF(B93&lt;&gt;"",IF(C93&gt;0,C93/D93,0),"")</f>
        <v/>
      </c>
    </row>
    <row r="94" spans="2:5">
      <c r="B94" s="127" t="str">
        <f>IF('Setup Sheet'!A74&lt;&gt;"",'Setup Sheet'!A74,"")</f>
        <v/>
      </c>
      <c r="C94" s="128">
        <f>SUMIFS('Master Log'!$CS$2:$CS$9839,'Master Log'!$A$2:$A$9839,"&gt;="&amp;$C$24,'Master Log'!$A$2:$A$9839,"&lt;="&amp;$C$25,'Master Log'!$CR$2:$CR$9839,B94)+SUMIFS('Master Log'!$CX$2:$CX$9839,'Master Log'!$A$2:$A$9839,"&gt;="&amp;$C$24,'Master Log'!$A$2:$A$9839,"&lt;="&amp;$C$25,'Master Log'!$CW$2:$CW$9839,B94)+SUMIFS('Master Log'!$DC$2:$DC$9839,'Master Log'!$A$2:$A$9839,"&gt;="&amp;$C$24,'Master Log'!$A$2:$A$9839,"&lt;="&amp;$C$25,'Master Log'!$DB$2:$DB$9839,B94)+SUMIFS('Master Log'!$DH$2:$DH$9839,'Master Log'!$A$2:$A$9839,"&gt;="&amp;$C$24,'Master Log'!$A$2:$A$9839,"&lt;="&amp;$C$25,'Master Log'!$DG$2:$DG$9839,B94)+SUMIFS('Master Log'!$DM$2:$DM$9839,'Master Log'!$A$2:$A$9839,"&gt;="&amp;$C$24,'Master Log'!$A$2:$A$9839,"&lt;="&amp;$C$25,'Master Log'!$DL$2:$DL$9839,B94)+SUMIFS('Master Log'!$DR$2:$DR$9839,'Master Log'!$A$2:$A$9839,"&gt;="&amp;$C$24,'Master Log'!$A$2:$A$9839,"&lt;="&amp;$C$25,'Master Log'!$DQ$2:$DQ$9839,B94)+SUMIFS('Master Log'!$DW$2:$DW$9839,'Master Log'!$A$2:$A$9839,"&gt;="&amp;$C$24,'Master Log'!$A$2:$A$9839,"&lt;="&amp;$C$25,'Master Log'!$DV$2:$DV$9839,B94)+SUMIFS('Master Log'!$EB$2:$EB$9839,'Master Log'!$A$2:$A$9839,"&gt;="&amp;$C$24,'Master Log'!$A$2:$A$9839,"&lt;="&amp;$C$25,'Master Log'!$EA$2:$EA$9839,B94)+SUMIFS('Master Log'!$EG$2:$EG$9839,'Master Log'!$A$2:$A$9839,"&gt;="&amp;$C$24,'Master Log'!$A$2:$A$9839,"&lt;="&amp;$C$25,'Master Log'!$EF$2:$EF$9839,B94)+SUMIFS('Master Log'!$EL$2:$EL$9839,'Master Log'!$A$2:$A$9839,"&gt;="&amp;$C$24,'Master Log'!$A$2:$A$9839,"&lt;="&amp;$C$25,'Master Log'!$EK$2:$EK$9839,B94)+SUMIFS('Master Log'!$EQ$2:$EQ$9839,'Master Log'!$A$2:$A$9839,"&gt;="&amp;$C$24,'Master Log'!$A$2:$A$9839,"&lt;="&amp;$C$25,'Master Log'!$EP$2:$EP$9839,B94)+SUMIFS('Master Log'!$EV$2:$EV$9839,'Master Log'!$A$2:$A$9839,"&gt;="&amp;$C$24,'Master Log'!$A$2:$A$9839,"&lt;="&amp;$C$25,'Master Log'!$EU$2:$EU$9839,B94)</f>
        <v>0</v>
      </c>
      <c r="D94" s="130" t="str">
        <f>IF(B94&lt;&gt;"",COUNTIFS('Master Log'!A:A,"&gt;="&amp;$C$24,'Master Log'!A:A,"&lt;="&amp;$C$25,'Master Log'!CR:CR,B94)+COUNTIFS('Master Log'!A:A,"&gt;="&amp;$C$24,'Master Log'!A:A,"&lt;="&amp;$C$25,'Master Log'!CW:CW,B94)+COUNTIFS('Master Log'!A:A,"&gt;="&amp;$C$24,'Master Log'!A:A,"&lt;="&amp;$C$25,'Master Log'!DB:DB,B94)+COUNTIFS('Master Log'!A:A,"&gt;="&amp;$C$24,'Master Log'!A:A,"&lt;="&amp;$C$25,'Master Log'!DG:DG,B94)+COUNTIFS('Master Log'!A:A,"&gt;="&amp;$C$24,'Master Log'!A:A,"&lt;="&amp;$C$25,'Master Log'!DL:DL,B94)+COUNTIFS('Master Log'!A:A,"&gt;="&amp;$C$24,'Master Log'!A:A,"&lt;="&amp;$C$25,'Master Log'!DQ:DQ,B94)+COUNTIFS('Master Log'!A:A,"&gt;="&amp;$C$24,'Master Log'!A:A,"&lt;="&amp;$C$25,'Master Log'!DV:DV,B94)+COUNTIFS('Master Log'!A:A,"&gt;="&amp;$C$24,'Master Log'!A:A,"&lt;="&amp;$C$25,'Master Log'!EA:EA,B94)+COUNTIFS('Master Log'!A:A,"&gt;="&amp;$C$24,'Master Log'!A:A,"&lt;="&amp;$C$25,'Master Log'!EF:EF,B94)+COUNTIFS('Master Log'!A:A,"&gt;="&amp;$C$24,'Master Log'!A:A,"&lt;="&amp;$C$25,'Master Log'!EK:EK,B94)+COUNTIFS('Master Log'!A:A,"&gt;="&amp;$C$24,'Master Log'!A:A,"&lt;="&amp;$C$25,'Master Log'!EP:EP,B94)+COUNTIFS('Master Log'!A:A,"&gt;="&amp;$C$24,'Master Log'!A:A,"&lt;="&amp;$C$25,'Master Log'!EU:EU,B94),"")</f>
        <v/>
      </c>
      <c r="E94" s="135" t="str">
        <f t="shared" si="4"/>
        <v/>
      </c>
    </row>
    <row r="95" spans="2:5">
      <c r="B95" s="127" t="str">
        <f>IF('Setup Sheet'!A75&lt;&gt;"",'Setup Sheet'!A75,"")</f>
        <v/>
      </c>
      <c r="C95" s="128">
        <f>SUMIFS('Master Log'!$CS$2:$CS$9839,'Master Log'!$A$2:$A$9839,"&gt;="&amp;$C$24,'Master Log'!$A$2:$A$9839,"&lt;="&amp;$C$25,'Master Log'!$CR$2:$CR$9839,B95)+SUMIFS('Master Log'!$CX$2:$CX$9839,'Master Log'!$A$2:$A$9839,"&gt;="&amp;$C$24,'Master Log'!$A$2:$A$9839,"&lt;="&amp;$C$25,'Master Log'!$CW$2:$CW$9839,B95)+SUMIFS('Master Log'!$DC$2:$DC$9839,'Master Log'!$A$2:$A$9839,"&gt;="&amp;$C$24,'Master Log'!$A$2:$A$9839,"&lt;="&amp;$C$25,'Master Log'!$DB$2:$DB$9839,B95)+SUMIFS('Master Log'!$DH$2:$DH$9839,'Master Log'!$A$2:$A$9839,"&gt;="&amp;$C$24,'Master Log'!$A$2:$A$9839,"&lt;="&amp;$C$25,'Master Log'!$DG$2:$DG$9839,B95)+SUMIFS('Master Log'!$DM$2:$DM$9839,'Master Log'!$A$2:$A$9839,"&gt;="&amp;$C$24,'Master Log'!$A$2:$A$9839,"&lt;="&amp;$C$25,'Master Log'!$DL$2:$DL$9839,B95)+SUMIFS('Master Log'!$DR$2:$DR$9839,'Master Log'!$A$2:$A$9839,"&gt;="&amp;$C$24,'Master Log'!$A$2:$A$9839,"&lt;="&amp;$C$25,'Master Log'!$DQ$2:$DQ$9839,B95)+SUMIFS('Master Log'!$DW$2:$DW$9839,'Master Log'!$A$2:$A$9839,"&gt;="&amp;$C$24,'Master Log'!$A$2:$A$9839,"&lt;="&amp;$C$25,'Master Log'!$DV$2:$DV$9839,B95)+SUMIFS('Master Log'!$EB$2:$EB$9839,'Master Log'!$A$2:$A$9839,"&gt;="&amp;$C$24,'Master Log'!$A$2:$A$9839,"&lt;="&amp;$C$25,'Master Log'!$EA$2:$EA$9839,B95)+SUMIFS('Master Log'!$EG$2:$EG$9839,'Master Log'!$A$2:$A$9839,"&gt;="&amp;$C$24,'Master Log'!$A$2:$A$9839,"&lt;="&amp;$C$25,'Master Log'!$EF$2:$EF$9839,B95)+SUMIFS('Master Log'!$EL$2:$EL$9839,'Master Log'!$A$2:$A$9839,"&gt;="&amp;$C$24,'Master Log'!$A$2:$A$9839,"&lt;="&amp;$C$25,'Master Log'!$EK$2:$EK$9839,B95)+SUMIFS('Master Log'!$EQ$2:$EQ$9839,'Master Log'!$A$2:$A$9839,"&gt;="&amp;$C$24,'Master Log'!$A$2:$A$9839,"&lt;="&amp;$C$25,'Master Log'!$EP$2:$EP$9839,B95)+SUMIFS('Master Log'!$EV$2:$EV$9839,'Master Log'!$A$2:$A$9839,"&gt;="&amp;$C$24,'Master Log'!$A$2:$A$9839,"&lt;="&amp;$C$25,'Master Log'!$EU$2:$EU$9839,B95)</f>
        <v>0</v>
      </c>
      <c r="D95" s="130" t="str">
        <f>IF(B95&lt;&gt;"",COUNTIFS('Master Log'!A:A,"&gt;="&amp;$C$24,'Master Log'!A:A,"&lt;="&amp;$C$25,'Master Log'!CR:CR,B95)+COUNTIFS('Master Log'!A:A,"&gt;="&amp;$C$24,'Master Log'!A:A,"&lt;="&amp;$C$25,'Master Log'!CW:CW,B95)+COUNTIFS('Master Log'!A:A,"&gt;="&amp;$C$24,'Master Log'!A:A,"&lt;="&amp;$C$25,'Master Log'!DB:DB,B95)+COUNTIFS('Master Log'!A:A,"&gt;="&amp;$C$24,'Master Log'!A:A,"&lt;="&amp;$C$25,'Master Log'!DG:DG,B95)+COUNTIFS('Master Log'!A:A,"&gt;="&amp;$C$24,'Master Log'!A:A,"&lt;="&amp;$C$25,'Master Log'!DL:DL,B95)+COUNTIFS('Master Log'!A:A,"&gt;="&amp;$C$24,'Master Log'!A:A,"&lt;="&amp;$C$25,'Master Log'!DQ:DQ,B95)+COUNTIFS('Master Log'!A:A,"&gt;="&amp;$C$24,'Master Log'!A:A,"&lt;="&amp;$C$25,'Master Log'!DV:DV,B95)+COUNTIFS('Master Log'!A:A,"&gt;="&amp;$C$24,'Master Log'!A:A,"&lt;="&amp;$C$25,'Master Log'!EA:EA,B95)+COUNTIFS('Master Log'!A:A,"&gt;="&amp;$C$24,'Master Log'!A:A,"&lt;="&amp;$C$25,'Master Log'!EF:EF,B95)+COUNTIFS('Master Log'!A:A,"&gt;="&amp;$C$24,'Master Log'!A:A,"&lt;="&amp;$C$25,'Master Log'!EK:EK,B95)+COUNTIFS('Master Log'!A:A,"&gt;="&amp;$C$24,'Master Log'!A:A,"&lt;="&amp;$C$25,'Master Log'!EP:EP,B95)+COUNTIFS('Master Log'!A:A,"&gt;="&amp;$C$24,'Master Log'!A:A,"&lt;="&amp;$C$25,'Master Log'!EU:EU,B95),"")</f>
        <v/>
      </c>
      <c r="E95" s="135" t="str">
        <f t="shared" si="4"/>
        <v/>
      </c>
    </row>
    <row r="96" spans="2:5">
      <c r="B96" s="127" t="str">
        <f>IF('Setup Sheet'!A76&lt;&gt;"",'Setup Sheet'!A76,"")</f>
        <v/>
      </c>
      <c r="C96" s="128">
        <f>SUMIFS('Master Log'!$CS$2:$CS$9839,'Master Log'!$A$2:$A$9839,"&gt;="&amp;$C$24,'Master Log'!$A$2:$A$9839,"&lt;="&amp;$C$25,'Master Log'!$CR$2:$CR$9839,B96)+SUMIFS('Master Log'!$CX$2:$CX$9839,'Master Log'!$A$2:$A$9839,"&gt;="&amp;$C$24,'Master Log'!$A$2:$A$9839,"&lt;="&amp;$C$25,'Master Log'!$CW$2:$CW$9839,B96)+SUMIFS('Master Log'!$DC$2:$DC$9839,'Master Log'!$A$2:$A$9839,"&gt;="&amp;$C$24,'Master Log'!$A$2:$A$9839,"&lt;="&amp;$C$25,'Master Log'!$DB$2:$DB$9839,B96)+SUMIFS('Master Log'!$DH$2:$DH$9839,'Master Log'!$A$2:$A$9839,"&gt;="&amp;$C$24,'Master Log'!$A$2:$A$9839,"&lt;="&amp;$C$25,'Master Log'!$DG$2:$DG$9839,B96)+SUMIFS('Master Log'!$DM$2:$DM$9839,'Master Log'!$A$2:$A$9839,"&gt;="&amp;$C$24,'Master Log'!$A$2:$A$9839,"&lt;="&amp;$C$25,'Master Log'!$DL$2:$DL$9839,B96)+SUMIFS('Master Log'!$DR$2:$DR$9839,'Master Log'!$A$2:$A$9839,"&gt;="&amp;$C$24,'Master Log'!$A$2:$A$9839,"&lt;="&amp;$C$25,'Master Log'!$DQ$2:$DQ$9839,B96)+SUMIFS('Master Log'!$DW$2:$DW$9839,'Master Log'!$A$2:$A$9839,"&gt;="&amp;$C$24,'Master Log'!$A$2:$A$9839,"&lt;="&amp;$C$25,'Master Log'!$DV$2:$DV$9839,B96)+SUMIFS('Master Log'!$EB$2:$EB$9839,'Master Log'!$A$2:$A$9839,"&gt;="&amp;$C$24,'Master Log'!$A$2:$A$9839,"&lt;="&amp;$C$25,'Master Log'!$EA$2:$EA$9839,B96)+SUMIFS('Master Log'!$EG$2:$EG$9839,'Master Log'!$A$2:$A$9839,"&gt;="&amp;$C$24,'Master Log'!$A$2:$A$9839,"&lt;="&amp;$C$25,'Master Log'!$EF$2:$EF$9839,B96)+SUMIFS('Master Log'!$EL$2:$EL$9839,'Master Log'!$A$2:$A$9839,"&gt;="&amp;$C$24,'Master Log'!$A$2:$A$9839,"&lt;="&amp;$C$25,'Master Log'!$EK$2:$EK$9839,B96)+SUMIFS('Master Log'!$EQ$2:$EQ$9839,'Master Log'!$A$2:$A$9839,"&gt;="&amp;$C$24,'Master Log'!$A$2:$A$9839,"&lt;="&amp;$C$25,'Master Log'!$EP$2:$EP$9839,B96)+SUMIFS('Master Log'!$EV$2:$EV$9839,'Master Log'!$A$2:$A$9839,"&gt;="&amp;$C$24,'Master Log'!$A$2:$A$9839,"&lt;="&amp;$C$25,'Master Log'!$EU$2:$EU$9839,B96)</f>
        <v>0</v>
      </c>
      <c r="D96" s="130" t="str">
        <f>IF(B96&lt;&gt;"",COUNTIFS('Master Log'!A:A,"&gt;="&amp;$C$24,'Master Log'!A:A,"&lt;="&amp;$C$25,'Master Log'!CR:CR,B96)+COUNTIFS('Master Log'!A:A,"&gt;="&amp;$C$24,'Master Log'!A:A,"&lt;="&amp;$C$25,'Master Log'!CW:CW,B96)+COUNTIFS('Master Log'!A:A,"&gt;="&amp;$C$24,'Master Log'!A:A,"&lt;="&amp;$C$25,'Master Log'!DB:DB,B96)+COUNTIFS('Master Log'!A:A,"&gt;="&amp;$C$24,'Master Log'!A:A,"&lt;="&amp;$C$25,'Master Log'!DG:DG,B96)+COUNTIFS('Master Log'!A:A,"&gt;="&amp;$C$24,'Master Log'!A:A,"&lt;="&amp;$C$25,'Master Log'!DL:DL,B96)+COUNTIFS('Master Log'!A:A,"&gt;="&amp;$C$24,'Master Log'!A:A,"&lt;="&amp;$C$25,'Master Log'!DQ:DQ,B96)+COUNTIFS('Master Log'!A:A,"&gt;="&amp;$C$24,'Master Log'!A:A,"&lt;="&amp;$C$25,'Master Log'!DV:DV,B96)+COUNTIFS('Master Log'!A:A,"&gt;="&amp;$C$24,'Master Log'!A:A,"&lt;="&amp;$C$25,'Master Log'!EA:EA,B96)+COUNTIFS('Master Log'!A:A,"&gt;="&amp;$C$24,'Master Log'!A:A,"&lt;="&amp;$C$25,'Master Log'!EF:EF,B96)+COUNTIFS('Master Log'!A:A,"&gt;="&amp;$C$24,'Master Log'!A:A,"&lt;="&amp;$C$25,'Master Log'!EK:EK,B96)+COUNTIFS('Master Log'!A:A,"&gt;="&amp;$C$24,'Master Log'!A:A,"&lt;="&amp;$C$25,'Master Log'!EP:EP,B96)+COUNTIFS('Master Log'!A:A,"&gt;="&amp;$C$24,'Master Log'!A:A,"&lt;="&amp;$C$25,'Master Log'!EU:EU,B96),"")</f>
        <v/>
      </c>
      <c r="E96" s="135" t="str">
        <f t="shared" si="4"/>
        <v/>
      </c>
    </row>
    <row r="97" spans="2:5">
      <c r="B97" s="127" t="str">
        <f>IF('Setup Sheet'!A77&lt;&gt;"",'Setup Sheet'!A77,"")</f>
        <v/>
      </c>
      <c r="C97" s="128">
        <f>SUMIFS('Master Log'!$CS$2:$CS$9839,'Master Log'!$A$2:$A$9839,"&gt;="&amp;$C$24,'Master Log'!$A$2:$A$9839,"&lt;="&amp;$C$25,'Master Log'!$CR$2:$CR$9839,B97)+SUMIFS('Master Log'!$CX$2:$CX$9839,'Master Log'!$A$2:$A$9839,"&gt;="&amp;$C$24,'Master Log'!$A$2:$A$9839,"&lt;="&amp;$C$25,'Master Log'!$CW$2:$CW$9839,B97)+SUMIFS('Master Log'!$DC$2:$DC$9839,'Master Log'!$A$2:$A$9839,"&gt;="&amp;$C$24,'Master Log'!$A$2:$A$9839,"&lt;="&amp;$C$25,'Master Log'!$DB$2:$DB$9839,B97)+SUMIFS('Master Log'!$DH$2:$DH$9839,'Master Log'!$A$2:$A$9839,"&gt;="&amp;$C$24,'Master Log'!$A$2:$A$9839,"&lt;="&amp;$C$25,'Master Log'!$DG$2:$DG$9839,B97)+SUMIFS('Master Log'!$DM$2:$DM$9839,'Master Log'!$A$2:$A$9839,"&gt;="&amp;$C$24,'Master Log'!$A$2:$A$9839,"&lt;="&amp;$C$25,'Master Log'!$DL$2:$DL$9839,B97)+SUMIFS('Master Log'!$DR$2:$DR$9839,'Master Log'!$A$2:$A$9839,"&gt;="&amp;$C$24,'Master Log'!$A$2:$A$9839,"&lt;="&amp;$C$25,'Master Log'!$DQ$2:$DQ$9839,B97)+SUMIFS('Master Log'!$DW$2:$DW$9839,'Master Log'!$A$2:$A$9839,"&gt;="&amp;$C$24,'Master Log'!$A$2:$A$9839,"&lt;="&amp;$C$25,'Master Log'!$DV$2:$DV$9839,B97)+SUMIFS('Master Log'!$EB$2:$EB$9839,'Master Log'!$A$2:$A$9839,"&gt;="&amp;$C$24,'Master Log'!$A$2:$A$9839,"&lt;="&amp;$C$25,'Master Log'!$EA$2:$EA$9839,B97)+SUMIFS('Master Log'!$EG$2:$EG$9839,'Master Log'!$A$2:$A$9839,"&gt;="&amp;$C$24,'Master Log'!$A$2:$A$9839,"&lt;="&amp;$C$25,'Master Log'!$EF$2:$EF$9839,B97)+SUMIFS('Master Log'!$EL$2:$EL$9839,'Master Log'!$A$2:$A$9839,"&gt;="&amp;$C$24,'Master Log'!$A$2:$A$9839,"&lt;="&amp;$C$25,'Master Log'!$EK$2:$EK$9839,B97)+SUMIFS('Master Log'!$EQ$2:$EQ$9839,'Master Log'!$A$2:$A$9839,"&gt;="&amp;$C$24,'Master Log'!$A$2:$A$9839,"&lt;="&amp;$C$25,'Master Log'!$EP$2:$EP$9839,B97)+SUMIFS('Master Log'!$EV$2:$EV$9839,'Master Log'!$A$2:$A$9839,"&gt;="&amp;$C$24,'Master Log'!$A$2:$A$9839,"&lt;="&amp;$C$25,'Master Log'!$EU$2:$EU$9839,B97)</f>
        <v>0</v>
      </c>
      <c r="D97" s="130" t="str">
        <f>IF(B97&lt;&gt;"",COUNTIFS('Master Log'!A:A,"&gt;="&amp;$C$24,'Master Log'!A:A,"&lt;="&amp;$C$25,'Master Log'!CR:CR,B97)+COUNTIFS('Master Log'!A:A,"&gt;="&amp;$C$24,'Master Log'!A:A,"&lt;="&amp;$C$25,'Master Log'!CW:CW,B97)+COUNTIFS('Master Log'!A:A,"&gt;="&amp;$C$24,'Master Log'!A:A,"&lt;="&amp;$C$25,'Master Log'!DB:DB,B97)+COUNTIFS('Master Log'!A:A,"&gt;="&amp;$C$24,'Master Log'!A:A,"&lt;="&amp;$C$25,'Master Log'!DG:DG,B97)+COUNTIFS('Master Log'!A:A,"&gt;="&amp;$C$24,'Master Log'!A:A,"&lt;="&amp;$C$25,'Master Log'!DL:DL,B97)+COUNTIFS('Master Log'!A:A,"&gt;="&amp;$C$24,'Master Log'!A:A,"&lt;="&amp;$C$25,'Master Log'!DQ:DQ,B97)+COUNTIFS('Master Log'!A:A,"&gt;="&amp;$C$24,'Master Log'!A:A,"&lt;="&amp;$C$25,'Master Log'!DV:DV,B97)+COUNTIFS('Master Log'!A:A,"&gt;="&amp;$C$24,'Master Log'!A:A,"&lt;="&amp;$C$25,'Master Log'!EA:EA,B97)+COUNTIFS('Master Log'!A:A,"&gt;="&amp;$C$24,'Master Log'!A:A,"&lt;="&amp;$C$25,'Master Log'!EF:EF,B97)+COUNTIFS('Master Log'!A:A,"&gt;="&amp;$C$24,'Master Log'!A:A,"&lt;="&amp;$C$25,'Master Log'!EK:EK,B97)+COUNTIFS('Master Log'!A:A,"&gt;="&amp;$C$24,'Master Log'!A:A,"&lt;="&amp;$C$25,'Master Log'!EP:EP,B97)+COUNTIFS('Master Log'!A:A,"&gt;="&amp;$C$24,'Master Log'!A:A,"&lt;="&amp;$C$25,'Master Log'!EU:EU,B97),"")</f>
        <v/>
      </c>
      <c r="E97" s="135" t="str">
        <f t="shared" si="4"/>
        <v/>
      </c>
    </row>
    <row r="98" spans="2:5">
      <c r="B98" s="127" t="str">
        <f>IF('Setup Sheet'!A78&lt;&gt;"",'Setup Sheet'!A78,"")</f>
        <v/>
      </c>
      <c r="C98" s="128">
        <f>SUMIFS('Master Log'!$CS$2:$CS$9839,'Master Log'!$A$2:$A$9839,"&gt;="&amp;$C$24,'Master Log'!$A$2:$A$9839,"&lt;="&amp;$C$25,'Master Log'!$CR$2:$CR$9839,B98)+SUMIFS('Master Log'!$CX$2:$CX$9839,'Master Log'!$A$2:$A$9839,"&gt;="&amp;$C$24,'Master Log'!$A$2:$A$9839,"&lt;="&amp;$C$25,'Master Log'!$CW$2:$CW$9839,B98)+SUMIFS('Master Log'!$DC$2:$DC$9839,'Master Log'!$A$2:$A$9839,"&gt;="&amp;$C$24,'Master Log'!$A$2:$A$9839,"&lt;="&amp;$C$25,'Master Log'!$DB$2:$DB$9839,B98)+SUMIFS('Master Log'!$DH$2:$DH$9839,'Master Log'!$A$2:$A$9839,"&gt;="&amp;$C$24,'Master Log'!$A$2:$A$9839,"&lt;="&amp;$C$25,'Master Log'!$DG$2:$DG$9839,B98)+SUMIFS('Master Log'!$DM$2:$DM$9839,'Master Log'!$A$2:$A$9839,"&gt;="&amp;$C$24,'Master Log'!$A$2:$A$9839,"&lt;="&amp;$C$25,'Master Log'!$DL$2:$DL$9839,B98)+SUMIFS('Master Log'!$DR$2:$DR$9839,'Master Log'!$A$2:$A$9839,"&gt;="&amp;$C$24,'Master Log'!$A$2:$A$9839,"&lt;="&amp;$C$25,'Master Log'!$DQ$2:$DQ$9839,B98)+SUMIFS('Master Log'!$DW$2:$DW$9839,'Master Log'!$A$2:$A$9839,"&gt;="&amp;$C$24,'Master Log'!$A$2:$A$9839,"&lt;="&amp;$C$25,'Master Log'!$DV$2:$DV$9839,B98)+SUMIFS('Master Log'!$EB$2:$EB$9839,'Master Log'!$A$2:$A$9839,"&gt;="&amp;$C$24,'Master Log'!$A$2:$A$9839,"&lt;="&amp;$C$25,'Master Log'!$EA$2:$EA$9839,B98)+SUMIFS('Master Log'!$EG$2:$EG$9839,'Master Log'!$A$2:$A$9839,"&gt;="&amp;$C$24,'Master Log'!$A$2:$A$9839,"&lt;="&amp;$C$25,'Master Log'!$EF$2:$EF$9839,B98)+SUMIFS('Master Log'!$EL$2:$EL$9839,'Master Log'!$A$2:$A$9839,"&gt;="&amp;$C$24,'Master Log'!$A$2:$A$9839,"&lt;="&amp;$C$25,'Master Log'!$EK$2:$EK$9839,B98)+SUMIFS('Master Log'!$EQ$2:$EQ$9839,'Master Log'!$A$2:$A$9839,"&gt;="&amp;$C$24,'Master Log'!$A$2:$A$9839,"&lt;="&amp;$C$25,'Master Log'!$EP$2:$EP$9839,B98)+SUMIFS('Master Log'!$EV$2:$EV$9839,'Master Log'!$A$2:$A$9839,"&gt;="&amp;$C$24,'Master Log'!$A$2:$A$9839,"&lt;="&amp;$C$25,'Master Log'!$EU$2:$EU$9839,B98)</f>
        <v>0</v>
      </c>
      <c r="D98" s="130" t="str">
        <f>IF(B98&lt;&gt;"",COUNTIFS('Master Log'!A:A,"&gt;="&amp;$C$24,'Master Log'!A:A,"&lt;="&amp;$C$25,'Master Log'!CR:CR,B98)+COUNTIFS('Master Log'!A:A,"&gt;="&amp;$C$24,'Master Log'!A:A,"&lt;="&amp;$C$25,'Master Log'!CW:CW,B98)+COUNTIFS('Master Log'!A:A,"&gt;="&amp;$C$24,'Master Log'!A:A,"&lt;="&amp;$C$25,'Master Log'!DB:DB,B98)+COUNTIFS('Master Log'!A:A,"&gt;="&amp;$C$24,'Master Log'!A:A,"&lt;="&amp;$C$25,'Master Log'!DG:DG,B98)+COUNTIFS('Master Log'!A:A,"&gt;="&amp;$C$24,'Master Log'!A:A,"&lt;="&amp;$C$25,'Master Log'!DL:DL,B98)+COUNTIFS('Master Log'!A:A,"&gt;="&amp;$C$24,'Master Log'!A:A,"&lt;="&amp;$C$25,'Master Log'!DQ:DQ,B98)+COUNTIFS('Master Log'!A:A,"&gt;="&amp;$C$24,'Master Log'!A:A,"&lt;="&amp;$C$25,'Master Log'!DV:DV,B98)+COUNTIFS('Master Log'!A:A,"&gt;="&amp;$C$24,'Master Log'!A:A,"&lt;="&amp;$C$25,'Master Log'!EA:EA,B98)+COUNTIFS('Master Log'!A:A,"&gt;="&amp;$C$24,'Master Log'!A:A,"&lt;="&amp;$C$25,'Master Log'!EF:EF,B98)+COUNTIFS('Master Log'!A:A,"&gt;="&amp;$C$24,'Master Log'!A:A,"&lt;="&amp;$C$25,'Master Log'!EK:EK,B98)+COUNTIFS('Master Log'!A:A,"&gt;="&amp;$C$24,'Master Log'!A:A,"&lt;="&amp;$C$25,'Master Log'!EP:EP,B98)+COUNTIFS('Master Log'!A:A,"&gt;="&amp;$C$24,'Master Log'!A:A,"&lt;="&amp;$C$25,'Master Log'!EU:EU,B98),"")</f>
        <v/>
      </c>
      <c r="E98" s="135" t="str">
        <f t="shared" si="4"/>
        <v/>
      </c>
    </row>
    <row r="99" spans="2:5">
      <c r="B99" s="127" t="str">
        <f>IF('Setup Sheet'!A79&lt;&gt;"",'Setup Sheet'!A79,"")</f>
        <v/>
      </c>
      <c r="C99" s="128">
        <f>SUMIFS('Master Log'!$CS$2:$CS$9839,'Master Log'!$A$2:$A$9839,"&gt;="&amp;$C$24,'Master Log'!$A$2:$A$9839,"&lt;="&amp;$C$25,'Master Log'!$CR$2:$CR$9839,B99)+SUMIFS('Master Log'!$CX$2:$CX$9839,'Master Log'!$A$2:$A$9839,"&gt;="&amp;$C$24,'Master Log'!$A$2:$A$9839,"&lt;="&amp;$C$25,'Master Log'!$CW$2:$CW$9839,B99)+SUMIFS('Master Log'!$DC$2:$DC$9839,'Master Log'!$A$2:$A$9839,"&gt;="&amp;$C$24,'Master Log'!$A$2:$A$9839,"&lt;="&amp;$C$25,'Master Log'!$DB$2:$DB$9839,B99)+SUMIFS('Master Log'!$DH$2:$DH$9839,'Master Log'!$A$2:$A$9839,"&gt;="&amp;$C$24,'Master Log'!$A$2:$A$9839,"&lt;="&amp;$C$25,'Master Log'!$DG$2:$DG$9839,B99)+SUMIFS('Master Log'!$DM$2:$DM$9839,'Master Log'!$A$2:$A$9839,"&gt;="&amp;$C$24,'Master Log'!$A$2:$A$9839,"&lt;="&amp;$C$25,'Master Log'!$DL$2:$DL$9839,B99)+SUMIFS('Master Log'!$DR$2:$DR$9839,'Master Log'!$A$2:$A$9839,"&gt;="&amp;$C$24,'Master Log'!$A$2:$A$9839,"&lt;="&amp;$C$25,'Master Log'!$DQ$2:$DQ$9839,B99)+SUMIFS('Master Log'!$DW$2:$DW$9839,'Master Log'!$A$2:$A$9839,"&gt;="&amp;$C$24,'Master Log'!$A$2:$A$9839,"&lt;="&amp;$C$25,'Master Log'!$DV$2:$DV$9839,B99)+SUMIFS('Master Log'!$EB$2:$EB$9839,'Master Log'!$A$2:$A$9839,"&gt;="&amp;$C$24,'Master Log'!$A$2:$A$9839,"&lt;="&amp;$C$25,'Master Log'!$EA$2:$EA$9839,B99)+SUMIFS('Master Log'!$EG$2:$EG$9839,'Master Log'!$A$2:$A$9839,"&gt;="&amp;$C$24,'Master Log'!$A$2:$A$9839,"&lt;="&amp;$C$25,'Master Log'!$EF$2:$EF$9839,B99)+SUMIFS('Master Log'!$EL$2:$EL$9839,'Master Log'!$A$2:$A$9839,"&gt;="&amp;$C$24,'Master Log'!$A$2:$A$9839,"&lt;="&amp;$C$25,'Master Log'!$EK$2:$EK$9839,B99)+SUMIFS('Master Log'!$EQ$2:$EQ$9839,'Master Log'!$A$2:$A$9839,"&gt;="&amp;$C$24,'Master Log'!$A$2:$A$9839,"&lt;="&amp;$C$25,'Master Log'!$EP$2:$EP$9839,B99)+SUMIFS('Master Log'!$EV$2:$EV$9839,'Master Log'!$A$2:$A$9839,"&gt;="&amp;$C$24,'Master Log'!$A$2:$A$9839,"&lt;="&amp;$C$25,'Master Log'!$EU$2:$EU$9839,B99)</f>
        <v>0</v>
      </c>
      <c r="D99" s="130" t="str">
        <f>IF(B99&lt;&gt;"",COUNTIFS('Master Log'!A:A,"&gt;="&amp;$C$24,'Master Log'!A:A,"&lt;="&amp;$C$25,'Master Log'!CR:CR,B99)+COUNTIFS('Master Log'!A:A,"&gt;="&amp;$C$24,'Master Log'!A:A,"&lt;="&amp;$C$25,'Master Log'!CW:CW,B99)+COUNTIFS('Master Log'!A:A,"&gt;="&amp;$C$24,'Master Log'!A:A,"&lt;="&amp;$C$25,'Master Log'!DB:DB,B99)+COUNTIFS('Master Log'!A:A,"&gt;="&amp;$C$24,'Master Log'!A:A,"&lt;="&amp;$C$25,'Master Log'!DG:DG,B99)+COUNTIFS('Master Log'!A:A,"&gt;="&amp;$C$24,'Master Log'!A:A,"&lt;="&amp;$C$25,'Master Log'!DL:DL,B99)+COUNTIFS('Master Log'!A:A,"&gt;="&amp;$C$24,'Master Log'!A:A,"&lt;="&amp;$C$25,'Master Log'!DQ:DQ,B99)+COUNTIFS('Master Log'!A:A,"&gt;="&amp;$C$24,'Master Log'!A:A,"&lt;="&amp;$C$25,'Master Log'!DV:DV,B99)+COUNTIFS('Master Log'!A:A,"&gt;="&amp;$C$24,'Master Log'!A:A,"&lt;="&amp;$C$25,'Master Log'!EA:EA,B99)+COUNTIFS('Master Log'!A:A,"&gt;="&amp;$C$24,'Master Log'!A:A,"&lt;="&amp;$C$25,'Master Log'!EF:EF,B99)+COUNTIFS('Master Log'!A:A,"&gt;="&amp;$C$24,'Master Log'!A:A,"&lt;="&amp;$C$25,'Master Log'!EK:EK,B99)+COUNTIFS('Master Log'!A:A,"&gt;="&amp;$C$24,'Master Log'!A:A,"&lt;="&amp;$C$25,'Master Log'!EP:EP,B99)+COUNTIFS('Master Log'!A:A,"&gt;="&amp;$C$24,'Master Log'!A:A,"&lt;="&amp;$C$25,'Master Log'!EU:EU,B99),"")</f>
        <v/>
      </c>
      <c r="E99" s="135" t="str">
        <f t="shared" si="4"/>
        <v/>
      </c>
    </row>
    <row r="100" spans="2:5">
      <c r="B100" s="127" t="str">
        <f>IF('Setup Sheet'!A80&lt;&gt;"",'Setup Sheet'!A80,"")</f>
        <v/>
      </c>
      <c r="C100" s="128">
        <f>SUMIFS('Master Log'!$CS$2:$CS$9839,'Master Log'!$A$2:$A$9839,"&gt;="&amp;$C$24,'Master Log'!$A$2:$A$9839,"&lt;="&amp;$C$25,'Master Log'!$CR$2:$CR$9839,B100)+SUMIFS('Master Log'!$CX$2:$CX$9839,'Master Log'!$A$2:$A$9839,"&gt;="&amp;$C$24,'Master Log'!$A$2:$A$9839,"&lt;="&amp;$C$25,'Master Log'!$CW$2:$CW$9839,B100)+SUMIFS('Master Log'!$DC$2:$DC$9839,'Master Log'!$A$2:$A$9839,"&gt;="&amp;$C$24,'Master Log'!$A$2:$A$9839,"&lt;="&amp;$C$25,'Master Log'!$DB$2:$DB$9839,B100)+SUMIFS('Master Log'!$DH$2:$DH$9839,'Master Log'!$A$2:$A$9839,"&gt;="&amp;$C$24,'Master Log'!$A$2:$A$9839,"&lt;="&amp;$C$25,'Master Log'!$DG$2:$DG$9839,B100)+SUMIFS('Master Log'!$DM$2:$DM$9839,'Master Log'!$A$2:$A$9839,"&gt;="&amp;$C$24,'Master Log'!$A$2:$A$9839,"&lt;="&amp;$C$25,'Master Log'!$DL$2:$DL$9839,B100)+SUMIFS('Master Log'!$DR$2:$DR$9839,'Master Log'!$A$2:$A$9839,"&gt;="&amp;$C$24,'Master Log'!$A$2:$A$9839,"&lt;="&amp;$C$25,'Master Log'!$DQ$2:$DQ$9839,B100)+SUMIFS('Master Log'!$DW$2:$DW$9839,'Master Log'!$A$2:$A$9839,"&gt;="&amp;$C$24,'Master Log'!$A$2:$A$9839,"&lt;="&amp;$C$25,'Master Log'!$DV$2:$DV$9839,B100)+SUMIFS('Master Log'!$EB$2:$EB$9839,'Master Log'!$A$2:$A$9839,"&gt;="&amp;$C$24,'Master Log'!$A$2:$A$9839,"&lt;="&amp;$C$25,'Master Log'!$EA$2:$EA$9839,B100)+SUMIFS('Master Log'!$EG$2:$EG$9839,'Master Log'!$A$2:$A$9839,"&gt;="&amp;$C$24,'Master Log'!$A$2:$A$9839,"&lt;="&amp;$C$25,'Master Log'!$EF$2:$EF$9839,B100)+SUMIFS('Master Log'!$EL$2:$EL$9839,'Master Log'!$A$2:$A$9839,"&gt;="&amp;$C$24,'Master Log'!$A$2:$A$9839,"&lt;="&amp;$C$25,'Master Log'!$EK$2:$EK$9839,B100)+SUMIFS('Master Log'!$EQ$2:$EQ$9839,'Master Log'!$A$2:$A$9839,"&gt;="&amp;$C$24,'Master Log'!$A$2:$A$9839,"&lt;="&amp;$C$25,'Master Log'!$EP$2:$EP$9839,B100)+SUMIFS('Master Log'!$EV$2:$EV$9839,'Master Log'!$A$2:$A$9839,"&gt;="&amp;$C$24,'Master Log'!$A$2:$A$9839,"&lt;="&amp;$C$25,'Master Log'!$EU$2:$EU$9839,B100)</f>
        <v>0</v>
      </c>
      <c r="D100" s="130" t="str">
        <f>IF(B100&lt;&gt;"",COUNTIFS('Master Log'!A:A,"&gt;="&amp;$C$24,'Master Log'!A:A,"&lt;="&amp;$C$25,'Master Log'!CR:CR,B100)+COUNTIFS('Master Log'!A:A,"&gt;="&amp;$C$24,'Master Log'!A:A,"&lt;="&amp;$C$25,'Master Log'!CW:CW,B100)+COUNTIFS('Master Log'!A:A,"&gt;="&amp;$C$24,'Master Log'!A:A,"&lt;="&amp;$C$25,'Master Log'!DB:DB,B100)+COUNTIFS('Master Log'!A:A,"&gt;="&amp;$C$24,'Master Log'!A:A,"&lt;="&amp;$C$25,'Master Log'!DG:DG,B100)+COUNTIFS('Master Log'!A:A,"&gt;="&amp;$C$24,'Master Log'!A:A,"&lt;="&amp;$C$25,'Master Log'!DL:DL,B100)+COUNTIFS('Master Log'!A:A,"&gt;="&amp;$C$24,'Master Log'!A:A,"&lt;="&amp;$C$25,'Master Log'!DQ:DQ,B100)+COUNTIFS('Master Log'!A:A,"&gt;="&amp;$C$24,'Master Log'!A:A,"&lt;="&amp;$C$25,'Master Log'!DV:DV,B100)+COUNTIFS('Master Log'!A:A,"&gt;="&amp;$C$24,'Master Log'!A:A,"&lt;="&amp;$C$25,'Master Log'!EA:EA,B100)+COUNTIFS('Master Log'!A:A,"&gt;="&amp;$C$24,'Master Log'!A:A,"&lt;="&amp;$C$25,'Master Log'!EF:EF,B100)+COUNTIFS('Master Log'!A:A,"&gt;="&amp;$C$24,'Master Log'!A:A,"&lt;="&amp;$C$25,'Master Log'!EK:EK,B100)+COUNTIFS('Master Log'!A:A,"&gt;="&amp;$C$24,'Master Log'!A:A,"&lt;="&amp;$C$25,'Master Log'!EP:EP,B100)+COUNTIFS('Master Log'!A:A,"&gt;="&amp;$C$24,'Master Log'!A:A,"&lt;="&amp;$C$25,'Master Log'!EU:EU,B100),"")</f>
        <v/>
      </c>
      <c r="E100" s="135" t="str">
        <f t="shared" si="4"/>
        <v/>
      </c>
    </row>
  </sheetData>
  <sheetProtection algorithmName="SHA-512" hashValue="QFYruLHshiQdZvWSWaWElNHV8eTAnrhBotsB6RhBDVx0EqOmzcQn29imqiQeGgpFABibVGNDAGvdDEyoYu5HNA==" saltValue="eMr333gMZBWqqU0k8t2dmQ==" spinCount="100000" sheet="1" objects="1" scenarios="1" sort="0"/>
  <sortState xmlns:xlrd2="http://schemas.microsoft.com/office/spreadsheetml/2017/richdata2" ref="B27:D100">
    <sortCondition descending="1" ref="C27:C100"/>
  </sortState>
  <pageMargins left="0.7" right="0.7" top="0.75" bottom="0.75" header="0.3" footer="0.3"/>
  <pageSetup orientation="portrait" r:id="rId1"/>
  <headerFooter>
    <oddFooter>&amp;R&amp;1#&amp;"Arial"&amp;10&amp;K000000---Internal Use---&amp;C&amp;"Calibri"&amp;11&amp;K000000DOW RESTRICTED_x000D_&amp;1#&amp;"Arial"&amp;10&amp;K000000---Internal Use---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onthlySort">
                <anchor moveWithCells="1" sizeWithCells="1">
                  <from>
                    <xdr:col>1</xdr:col>
                    <xdr:colOff>654050</xdr:colOff>
                    <xdr:row>25</xdr:row>
                    <xdr:rowOff>101600</xdr:rowOff>
                  </from>
                  <to>
                    <xdr:col>1</xdr:col>
                    <xdr:colOff>1187450</xdr:colOff>
                    <xdr:row>25</xdr:row>
                    <xdr:rowOff>330200</xdr:rowOff>
                  </to>
                </anchor>
              </controlPr>
            </control>
          </mc:Choice>
        </mc:AlternateContent>
        <mc:AlternateContent xmlns:mc="http://schemas.openxmlformats.org/markup-compatibility/2006">
          <mc:Choice Requires="x14">
            <control shapeId="41986" r:id="rId5" name="Button 2">
              <controlPr defaultSize="0" print="0" autoFill="0" autoPict="0" macro="[0]!MonthlySort">
                <anchor moveWithCells="1" sizeWithCells="1">
                  <from>
                    <xdr:col>1</xdr:col>
                    <xdr:colOff>654050</xdr:colOff>
                    <xdr:row>25</xdr:row>
                    <xdr:rowOff>101600</xdr:rowOff>
                  </from>
                  <to>
                    <xdr:col>1</xdr:col>
                    <xdr:colOff>1187450</xdr:colOff>
                    <xdr:row>25</xdr:row>
                    <xdr:rowOff>330200</xdr:rowOff>
                  </to>
                </anchor>
              </controlPr>
            </control>
          </mc:Choice>
        </mc:AlternateContent>
        <mc:AlternateContent xmlns:mc="http://schemas.openxmlformats.org/markup-compatibility/2006">
          <mc:Choice Requires="x14">
            <control shapeId="41987" r:id="rId6" name="Button 3">
              <controlPr defaultSize="0" print="0" autoFill="0" autoPict="0" macro="[0]!MonthlySort">
                <anchor moveWithCells="1" sizeWithCells="1">
                  <from>
                    <xdr:col>1</xdr:col>
                    <xdr:colOff>654050</xdr:colOff>
                    <xdr:row>25</xdr:row>
                    <xdr:rowOff>101600</xdr:rowOff>
                  </from>
                  <to>
                    <xdr:col>1</xdr:col>
                    <xdr:colOff>1187450</xdr:colOff>
                    <xdr:row>25</xdr:row>
                    <xdr:rowOff>330200</xdr:rowOff>
                  </to>
                </anchor>
              </controlPr>
            </control>
          </mc:Choice>
        </mc:AlternateContent>
        <mc:AlternateContent xmlns:mc="http://schemas.openxmlformats.org/markup-compatibility/2006">
          <mc:Choice Requires="x14">
            <control shapeId="41995" r:id="rId7" name="Drop Down 11">
              <controlPr defaultSize="0" autoLine="0" autoPict="0">
                <anchor moveWithCells="1">
                  <from>
                    <xdr:col>12</xdr:col>
                    <xdr:colOff>977900</xdr:colOff>
                    <xdr:row>3</xdr:row>
                    <xdr:rowOff>114300</xdr:rowOff>
                  </from>
                  <to>
                    <xdr:col>14</xdr:col>
                    <xdr:colOff>698500</xdr:colOff>
                    <xdr:row>4</xdr:row>
                    <xdr:rowOff>158750</xdr:rowOff>
                  </to>
                </anchor>
              </controlPr>
            </control>
          </mc:Choice>
        </mc:AlternateContent>
        <mc:AlternateContent xmlns:mc="http://schemas.openxmlformats.org/markup-compatibility/2006">
          <mc:Choice Requires="x14">
            <control shapeId="41996" r:id="rId8" name="Drop Down 12">
              <controlPr defaultSize="0" autoLine="0" autoPict="0">
                <anchor moveWithCells="1">
                  <from>
                    <xdr:col>1</xdr:col>
                    <xdr:colOff>1219200</xdr:colOff>
                    <xdr:row>3</xdr:row>
                    <xdr:rowOff>177800</xdr:rowOff>
                  </from>
                  <to>
                    <xdr:col>3</xdr:col>
                    <xdr:colOff>177800</xdr:colOff>
                    <xdr:row>5</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B61B5-E6FA-40F7-AA8C-A363AD981F7F}">
  <sheetPr codeName="Form1">
    <tabColor rgb="FFFFC000"/>
    <pageSetUpPr fitToPage="1"/>
  </sheetPr>
  <dimension ref="A1:S85"/>
  <sheetViews>
    <sheetView showGridLines="0" zoomScale="90" zoomScaleNormal="90" zoomScaleSheetLayoutView="70" zoomScalePageLayoutView="60" workbookViewId="0">
      <pane ySplit="3" topLeftCell="A4" activePane="bottomLeft" state="frozenSplit"/>
      <selection activeCell="B1" sqref="B1"/>
      <selection pane="bottomLeft" sqref="A1:XFD1048576"/>
    </sheetView>
  </sheetViews>
  <sheetFormatPr baseColWidth="10" defaultColWidth="9.08984375" defaultRowHeight="15.5"/>
  <cols>
    <col min="1" max="1" width="1.90625" style="34" customWidth="1"/>
    <col min="2" max="2" width="39.54296875" style="34" customWidth="1"/>
    <col min="3" max="4" width="13.36328125" style="34" customWidth="1"/>
    <col min="5" max="5" width="13.36328125" style="56" customWidth="1"/>
    <col min="6" max="7" width="13.36328125" style="34" customWidth="1"/>
    <col min="8" max="12" width="13.36328125" style="56" customWidth="1"/>
    <col min="13" max="15" width="13.36328125" style="34" customWidth="1"/>
    <col min="16" max="16" width="16.08984375" style="33" hidden="1" customWidth="1"/>
    <col min="17" max="17" width="14.54296875" style="34" hidden="1" customWidth="1"/>
    <col min="18" max="18" width="9.54296875" style="35" customWidth="1"/>
    <col min="19" max="19" width="45.90625" style="34" customWidth="1"/>
    <col min="20" max="20" width="15.6328125" style="34" customWidth="1"/>
    <col min="21" max="21" width="42.54296875" style="34" customWidth="1"/>
    <col min="22" max="22" width="10.36328125" style="34" customWidth="1"/>
    <col min="23" max="23" width="40.453125" style="34" customWidth="1"/>
    <col min="24" max="28" width="0" style="34" hidden="1" customWidth="1"/>
    <col min="29" max="273" width="9.08984375" style="34"/>
    <col min="274" max="274" width="58.90625" style="34" bestFit="1" customWidth="1"/>
    <col min="275" max="275" width="24.08984375" style="34" bestFit="1" customWidth="1"/>
    <col min="276" max="276" width="15.6328125" style="34" customWidth="1"/>
    <col min="277" max="277" width="42.54296875" style="34" customWidth="1"/>
    <col min="278" max="278" width="10.36328125" style="34" customWidth="1"/>
    <col min="279" max="279" width="40.453125" style="34" customWidth="1"/>
    <col min="280" max="284" width="0" style="34" hidden="1" customWidth="1"/>
    <col min="285" max="529" width="9.08984375" style="34"/>
    <col min="530" max="530" width="58.90625" style="34" bestFit="1" customWidth="1"/>
    <col min="531" max="531" width="24.08984375" style="34" bestFit="1" customWidth="1"/>
    <col min="532" max="532" width="15.6328125" style="34" customWidth="1"/>
    <col min="533" max="533" width="42.54296875" style="34" customWidth="1"/>
    <col min="534" max="534" width="10.36328125" style="34" customWidth="1"/>
    <col min="535" max="535" width="40.453125" style="34" customWidth="1"/>
    <col min="536" max="540" width="0" style="34" hidden="1" customWidth="1"/>
    <col min="541" max="785" width="9.08984375" style="34"/>
    <col min="786" max="786" width="58.90625" style="34" bestFit="1" customWidth="1"/>
    <col min="787" max="787" width="24.08984375" style="34" bestFit="1" customWidth="1"/>
    <col min="788" max="788" width="15.6328125" style="34" customWidth="1"/>
    <col min="789" max="789" width="42.54296875" style="34" customWidth="1"/>
    <col min="790" max="790" width="10.36328125" style="34" customWidth="1"/>
    <col min="791" max="791" width="40.453125" style="34" customWidth="1"/>
    <col min="792" max="796" width="0" style="34" hidden="1" customWidth="1"/>
    <col min="797" max="1041" width="9.08984375" style="34"/>
    <col min="1042" max="1042" width="58.90625" style="34" bestFit="1" customWidth="1"/>
    <col min="1043" max="1043" width="24.08984375" style="34" bestFit="1" customWidth="1"/>
    <col min="1044" max="1044" width="15.6328125" style="34" customWidth="1"/>
    <col min="1045" max="1045" width="42.54296875" style="34" customWidth="1"/>
    <col min="1046" max="1046" width="10.36328125" style="34" customWidth="1"/>
    <col min="1047" max="1047" width="40.453125" style="34" customWidth="1"/>
    <col min="1048" max="1052" width="0" style="34" hidden="1" customWidth="1"/>
    <col min="1053" max="1297" width="9.08984375" style="34"/>
    <col min="1298" max="1298" width="58.90625" style="34" bestFit="1" customWidth="1"/>
    <col min="1299" max="1299" width="24.08984375" style="34" bestFit="1" customWidth="1"/>
    <col min="1300" max="1300" width="15.6328125" style="34" customWidth="1"/>
    <col min="1301" max="1301" width="42.54296875" style="34" customWidth="1"/>
    <col min="1302" max="1302" width="10.36328125" style="34" customWidth="1"/>
    <col min="1303" max="1303" width="40.453125" style="34" customWidth="1"/>
    <col min="1304" max="1308" width="0" style="34" hidden="1" customWidth="1"/>
    <col min="1309" max="1553" width="9.08984375" style="34"/>
    <col min="1554" max="1554" width="58.90625" style="34" bestFit="1" customWidth="1"/>
    <col min="1555" max="1555" width="24.08984375" style="34" bestFit="1" customWidth="1"/>
    <col min="1556" max="1556" width="15.6328125" style="34" customWidth="1"/>
    <col min="1557" max="1557" width="42.54296875" style="34" customWidth="1"/>
    <col min="1558" max="1558" width="10.36328125" style="34" customWidth="1"/>
    <col min="1559" max="1559" width="40.453125" style="34" customWidth="1"/>
    <col min="1560" max="1564" width="0" style="34" hidden="1" customWidth="1"/>
    <col min="1565" max="1809" width="9.08984375" style="34"/>
    <col min="1810" max="1810" width="58.90625" style="34" bestFit="1" customWidth="1"/>
    <col min="1811" max="1811" width="24.08984375" style="34" bestFit="1" customWidth="1"/>
    <col min="1812" max="1812" width="15.6328125" style="34" customWidth="1"/>
    <col min="1813" max="1813" width="42.54296875" style="34" customWidth="1"/>
    <col min="1814" max="1814" width="10.36328125" style="34" customWidth="1"/>
    <col min="1815" max="1815" width="40.453125" style="34" customWidth="1"/>
    <col min="1816" max="1820" width="0" style="34" hidden="1" customWidth="1"/>
    <col min="1821" max="2065" width="9.08984375" style="34"/>
    <col min="2066" max="2066" width="58.90625" style="34" bestFit="1" customWidth="1"/>
    <col min="2067" max="2067" width="24.08984375" style="34" bestFit="1" customWidth="1"/>
    <col min="2068" max="2068" width="15.6328125" style="34" customWidth="1"/>
    <col min="2069" max="2069" width="42.54296875" style="34" customWidth="1"/>
    <col min="2070" max="2070" width="10.36328125" style="34" customWidth="1"/>
    <col min="2071" max="2071" width="40.453125" style="34" customWidth="1"/>
    <col min="2072" max="2076" width="0" style="34" hidden="1" customWidth="1"/>
    <col min="2077" max="2321" width="9.08984375" style="34"/>
    <col min="2322" max="2322" width="58.90625" style="34" bestFit="1" customWidth="1"/>
    <col min="2323" max="2323" width="24.08984375" style="34" bestFit="1" customWidth="1"/>
    <col min="2324" max="2324" width="15.6328125" style="34" customWidth="1"/>
    <col min="2325" max="2325" width="42.54296875" style="34" customWidth="1"/>
    <col min="2326" max="2326" width="10.36328125" style="34" customWidth="1"/>
    <col min="2327" max="2327" width="40.453125" style="34" customWidth="1"/>
    <col min="2328" max="2332" width="0" style="34" hidden="1" customWidth="1"/>
    <col min="2333" max="2577" width="9.08984375" style="34"/>
    <col min="2578" max="2578" width="58.90625" style="34" bestFit="1" customWidth="1"/>
    <col min="2579" max="2579" width="24.08984375" style="34" bestFit="1" customWidth="1"/>
    <col min="2580" max="2580" width="15.6328125" style="34" customWidth="1"/>
    <col min="2581" max="2581" width="42.54296875" style="34" customWidth="1"/>
    <col min="2582" max="2582" width="10.36328125" style="34" customWidth="1"/>
    <col min="2583" max="2583" width="40.453125" style="34" customWidth="1"/>
    <col min="2584" max="2588" width="0" style="34" hidden="1" customWidth="1"/>
    <col min="2589" max="2833" width="9.08984375" style="34"/>
    <col min="2834" max="2834" width="58.90625" style="34" bestFit="1" customWidth="1"/>
    <col min="2835" max="2835" width="24.08984375" style="34" bestFit="1" customWidth="1"/>
    <col min="2836" max="2836" width="15.6328125" style="34" customWidth="1"/>
    <col min="2837" max="2837" width="42.54296875" style="34" customWidth="1"/>
    <col min="2838" max="2838" width="10.36328125" style="34" customWidth="1"/>
    <col min="2839" max="2839" width="40.453125" style="34" customWidth="1"/>
    <col min="2840" max="2844" width="0" style="34" hidden="1" customWidth="1"/>
    <col min="2845" max="3089" width="9.08984375" style="34"/>
    <col min="3090" max="3090" width="58.90625" style="34" bestFit="1" customWidth="1"/>
    <col min="3091" max="3091" width="24.08984375" style="34" bestFit="1" customWidth="1"/>
    <col min="3092" max="3092" width="15.6328125" style="34" customWidth="1"/>
    <col min="3093" max="3093" width="42.54296875" style="34" customWidth="1"/>
    <col min="3094" max="3094" width="10.36328125" style="34" customWidth="1"/>
    <col min="3095" max="3095" width="40.453125" style="34" customWidth="1"/>
    <col min="3096" max="3100" width="0" style="34" hidden="1" customWidth="1"/>
    <col min="3101" max="3345" width="9.08984375" style="34"/>
    <col min="3346" max="3346" width="58.90625" style="34" bestFit="1" customWidth="1"/>
    <col min="3347" max="3347" width="24.08984375" style="34" bestFit="1" customWidth="1"/>
    <col min="3348" max="3348" width="15.6328125" style="34" customWidth="1"/>
    <col min="3349" max="3349" width="42.54296875" style="34" customWidth="1"/>
    <col min="3350" max="3350" width="10.36328125" style="34" customWidth="1"/>
    <col min="3351" max="3351" width="40.453125" style="34" customWidth="1"/>
    <col min="3352" max="3356" width="0" style="34" hidden="1" customWidth="1"/>
    <col min="3357" max="3601" width="9.08984375" style="34"/>
    <col min="3602" max="3602" width="58.90625" style="34" bestFit="1" customWidth="1"/>
    <col min="3603" max="3603" width="24.08984375" style="34" bestFit="1" customWidth="1"/>
    <col min="3604" max="3604" width="15.6328125" style="34" customWidth="1"/>
    <col min="3605" max="3605" width="42.54296875" style="34" customWidth="1"/>
    <col min="3606" max="3606" width="10.36328125" style="34" customWidth="1"/>
    <col min="3607" max="3607" width="40.453125" style="34" customWidth="1"/>
    <col min="3608" max="3612" width="0" style="34" hidden="1" customWidth="1"/>
    <col min="3613" max="3857" width="9.08984375" style="34"/>
    <col min="3858" max="3858" width="58.90625" style="34" bestFit="1" customWidth="1"/>
    <col min="3859" max="3859" width="24.08984375" style="34" bestFit="1" customWidth="1"/>
    <col min="3860" max="3860" width="15.6328125" style="34" customWidth="1"/>
    <col min="3861" max="3861" width="42.54296875" style="34" customWidth="1"/>
    <col min="3862" max="3862" width="10.36328125" style="34" customWidth="1"/>
    <col min="3863" max="3863" width="40.453125" style="34" customWidth="1"/>
    <col min="3864" max="3868" width="0" style="34" hidden="1" customWidth="1"/>
    <col min="3869" max="4113" width="9.08984375" style="34"/>
    <col min="4114" max="4114" width="58.90625" style="34" bestFit="1" customWidth="1"/>
    <col min="4115" max="4115" width="24.08984375" style="34" bestFit="1" customWidth="1"/>
    <col min="4116" max="4116" width="15.6328125" style="34" customWidth="1"/>
    <col min="4117" max="4117" width="42.54296875" style="34" customWidth="1"/>
    <col min="4118" max="4118" width="10.36328125" style="34" customWidth="1"/>
    <col min="4119" max="4119" width="40.453125" style="34" customWidth="1"/>
    <col min="4120" max="4124" width="0" style="34" hidden="1" customWidth="1"/>
    <col min="4125" max="4369" width="9.08984375" style="34"/>
    <col min="4370" max="4370" width="58.90625" style="34" bestFit="1" customWidth="1"/>
    <col min="4371" max="4371" width="24.08984375" style="34" bestFit="1" customWidth="1"/>
    <col min="4372" max="4372" width="15.6328125" style="34" customWidth="1"/>
    <col min="4373" max="4373" width="42.54296875" style="34" customWidth="1"/>
    <col min="4374" max="4374" width="10.36328125" style="34" customWidth="1"/>
    <col min="4375" max="4375" width="40.453125" style="34" customWidth="1"/>
    <col min="4376" max="4380" width="0" style="34" hidden="1" customWidth="1"/>
    <col min="4381" max="4625" width="9.08984375" style="34"/>
    <col min="4626" max="4626" width="58.90625" style="34" bestFit="1" customWidth="1"/>
    <col min="4627" max="4627" width="24.08984375" style="34" bestFit="1" customWidth="1"/>
    <col min="4628" max="4628" width="15.6328125" style="34" customWidth="1"/>
    <col min="4629" max="4629" width="42.54296875" style="34" customWidth="1"/>
    <col min="4630" max="4630" width="10.36328125" style="34" customWidth="1"/>
    <col min="4631" max="4631" width="40.453125" style="34" customWidth="1"/>
    <col min="4632" max="4636" width="0" style="34" hidden="1" customWidth="1"/>
    <col min="4637" max="4881" width="9.08984375" style="34"/>
    <col min="4882" max="4882" width="58.90625" style="34" bestFit="1" customWidth="1"/>
    <col min="4883" max="4883" width="24.08984375" style="34" bestFit="1" customWidth="1"/>
    <col min="4884" max="4884" width="15.6328125" style="34" customWidth="1"/>
    <col min="4885" max="4885" width="42.54296875" style="34" customWidth="1"/>
    <col min="4886" max="4886" width="10.36328125" style="34" customWidth="1"/>
    <col min="4887" max="4887" width="40.453125" style="34" customWidth="1"/>
    <col min="4888" max="4892" width="0" style="34" hidden="1" customWidth="1"/>
    <col min="4893" max="5137" width="9.08984375" style="34"/>
    <col min="5138" max="5138" width="58.90625" style="34" bestFit="1" customWidth="1"/>
    <col min="5139" max="5139" width="24.08984375" style="34" bestFit="1" customWidth="1"/>
    <col min="5140" max="5140" width="15.6328125" style="34" customWidth="1"/>
    <col min="5141" max="5141" width="42.54296875" style="34" customWidth="1"/>
    <col min="5142" max="5142" width="10.36328125" style="34" customWidth="1"/>
    <col min="5143" max="5143" width="40.453125" style="34" customWidth="1"/>
    <col min="5144" max="5148" width="0" style="34" hidden="1" customWidth="1"/>
    <col min="5149" max="5393" width="9.08984375" style="34"/>
    <col min="5394" max="5394" width="58.90625" style="34" bestFit="1" customWidth="1"/>
    <col min="5395" max="5395" width="24.08984375" style="34" bestFit="1" customWidth="1"/>
    <col min="5396" max="5396" width="15.6328125" style="34" customWidth="1"/>
    <col min="5397" max="5397" width="42.54296875" style="34" customWidth="1"/>
    <col min="5398" max="5398" width="10.36328125" style="34" customWidth="1"/>
    <col min="5399" max="5399" width="40.453125" style="34" customWidth="1"/>
    <col min="5400" max="5404" width="0" style="34" hidden="1" customWidth="1"/>
    <col min="5405" max="5649" width="9.08984375" style="34"/>
    <col min="5650" max="5650" width="58.90625" style="34" bestFit="1" customWidth="1"/>
    <col min="5651" max="5651" width="24.08984375" style="34" bestFit="1" customWidth="1"/>
    <col min="5652" max="5652" width="15.6328125" style="34" customWidth="1"/>
    <col min="5653" max="5653" width="42.54296875" style="34" customWidth="1"/>
    <col min="5654" max="5654" width="10.36328125" style="34" customWidth="1"/>
    <col min="5655" max="5655" width="40.453125" style="34" customWidth="1"/>
    <col min="5656" max="5660" width="0" style="34" hidden="1" customWidth="1"/>
    <col min="5661" max="5905" width="9.08984375" style="34"/>
    <col min="5906" max="5906" width="58.90625" style="34" bestFit="1" customWidth="1"/>
    <col min="5907" max="5907" width="24.08984375" style="34" bestFit="1" customWidth="1"/>
    <col min="5908" max="5908" width="15.6328125" style="34" customWidth="1"/>
    <col min="5909" max="5909" width="42.54296875" style="34" customWidth="1"/>
    <col min="5910" max="5910" width="10.36328125" style="34" customWidth="1"/>
    <col min="5911" max="5911" width="40.453125" style="34" customWidth="1"/>
    <col min="5912" max="5916" width="0" style="34" hidden="1" customWidth="1"/>
    <col min="5917" max="6161" width="9.08984375" style="34"/>
    <col min="6162" max="6162" width="58.90625" style="34" bestFit="1" customWidth="1"/>
    <col min="6163" max="6163" width="24.08984375" style="34" bestFit="1" customWidth="1"/>
    <col min="6164" max="6164" width="15.6328125" style="34" customWidth="1"/>
    <col min="6165" max="6165" width="42.54296875" style="34" customWidth="1"/>
    <col min="6166" max="6166" width="10.36328125" style="34" customWidth="1"/>
    <col min="6167" max="6167" width="40.453125" style="34" customWidth="1"/>
    <col min="6168" max="6172" width="0" style="34" hidden="1" customWidth="1"/>
    <col min="6173" max="6417" width="9.08984375" style="34"/>
    <col min="6418" max="6418" width="58.90625" style="34" bestFit="1" customWidth="1"/>
    <col min="6419" max="6419" width="24.08984375" style="34" bestFit="1" customWidth="1"/>
    <col min="6420" max="6420" width="15.6328125" style="34" customWidth="1"/>
    <col min="6421" max="6421" width="42.54296875" style="34" customWidth="1"/>
    <col min="6422" max="6422" width="10.36328125" style="34" customWidth="1"/>
    <col min="6423" max="6423" width="40.453125" style="34" customWidth="1"/>
    <col min="6424" max="6428" width="0" style="34" hidden="1" customWidth="1"/>
    <col min="6429" max="6673" width="9.08984375" style="34"/>
    <col min="6674" max="6674" width="58.90625" style="34" bestFit="1" customWidth="1"/>
    <col min="6675" max="6675" width="24.08984375" style="34" bestFit="1" customWidth="1"/>
    <col min="6676" max="6676" width="15.6328125" style="34" customWidth="1"/>
    <col min="6677" max="6677" width="42.54296875" style="34" customWidth="1"/>
    <col min="6678" max="6678" width="10.36328125" style="34" customWidth="1"/>
    <col min="6679" max="6679" width="40.453125" style="34" customWidth="1"/>
    <col min="6680" max="6684" width="0" style="34" hidden="1" customWidth="1"/>
    <col min="6685" max="6929" width="9.08984375" style="34"/>
    <col min="6930" max="6930" width="58.90625" style="34" bestFit="1" customWidth="1"/>
    <col min="6931" max="6931" width="24.08984375" style="34" bestFit="1" customWidth="1"/>
    <col min="6932" max="6932" width="15.6328125" style="34" customWidth="1"/>
    <col min="6933" max="6933" width="42.54296875" style="34" customWidth="1"/>
    <col min="6934" max="6934" width="10.36328125" style="34" customWidth="1"/>
    <col min="6935" max="6935" width="40.453125" style="34" customWidth="1"/>
    <col min="6936" max="6940" width="0" style="34" hidden="1" customWidth="1"/>
    <col min="6941" max="7185" width="9.08984375" style="34"/>
    <col min="7186" max="7186" width="58.90625" style="34" bestFit="1" customWidth="1"/>
    <col min="7187" max="7187" width="24.08984375" style="34" bestFit="1" customWidth="1"/>
    <col min="7188" max="7188" width="15.6328125" style="34" customWidth="1"/>
    <col min="7189" max="7189" width="42.54296875" style="34" customWidth="1"/>
    <col min="7190" max="7190" width="10.36328125" style="34" customWidth="1"/>
    <col min="7191" max="7191" width="40.453125" style="34" customWidth="1"/>
    <col min="7192" max="7196" width="0" style="34" hidden="1" customWidth="1"/>
    <col min="7197" max="7441" width="9.08984375" style="34"/>
    <col min="7442" max="7442" width="58.90625" style="34" bestFit="1" customWidth="1"/>
    <col min="7443" max="7443" width="24.08984375" style="34" bestFit="1" customWidth="1"/>
    <col min="7444" max="7444" width="15.6328125" style="34" customWidth="1"/>
    <col min="7445" max="7445" width="42.54296875" style="34" customWidth="1"/>
    <col min="7446" max="7446" width="10.36328125" style="34" customWidth="1"/>
    <col min="7447" max="7447" width="40.453125" style="34" customWidth="1"/>
    <col min="7448" max="7452" width="0" style="34" hidden="1" customWidth="1"/>
    <col min="7453" max="7697" width="9.08984375" style="34"/>
    <col min="7698" max="7698" width="58.90625" style="34" bestFit="1" customWidth="1"/>
    <col min="7699" max="7699" width="24.08984375" style="34" bestFit="1" customWidth="1"/>
    <col min="7700" max="7700" width="15.6328125" style="34" customWidth="1"/>
    <col min="7701" max="7701" width="42.54296875" style="34" customWidth="1"/>
    <col min="7702" max="7702" width="10.36328125" style="34" customWidth="1"/>
    <col min="7703" max="7703" width="40.453125" style="34" customWidth="1"/>
    <col min="7704" max="7708" width="0" style="34" hidden="1" customWidth="1"/>
    <col min="7709" max="7953" width="9.08984375" style="34"/>
    <col min="7954" max="7954" width="58.90625" style="34" bestFit="1" customWidth="1"/>
    <col min="7955" max="7955" width="24.08984375" style="34" bestFit="1" customWidth="1"/>
    <col min="7956" max="7956" width="15.6328125" style="34" customWidth="1"/>
    <col min="7957" max="7957" width="42.54296875" style="34" customWidth="1"/>
    <col min="7958" max="7958" width="10.36328125" style="34" customWidth="1"/>
    <col min="7959" max="7959" width="40.453125" style="34" customWidth="1"/>
    <col min="7960" max="7964" width="0" style="34" hidden="1" customWidth="1"/>
    <col min="7965" max="8209" width="9.08984375" style="34"/>
    <col min="8210" max="8210" width="58.90625" style="34" bestFit="1" customWidth="1"/>
    <col min="8211" max="8211" width="24.08984375" style="34" bestFit="1" customWidth="1"/>
    <col min="8212" max="8212" width="15.6328125" style="34" customWidth="1"/>
    <col min="8213" max="8213" width="42.54296875" style="34" customWidth="1"/>
    <col min="8214" max="8214" width="10.36328125" style="34" customWidth="1"/>
    <col min="8215" max="8215" width="40.453125" style="34" customWidth="1"/>
    <col min="8216" max="8220" width="0" style="34" hidden="1" customWidth="1"/>
    <col min="8221" max="8465" width="9.08984375" style="34"/>
    <col min="8466" max="8466" width="58.90625" style="34" bestFit="1" customWidth="1"/>
    <col min="8467" max="8467" width="24.08984375" style="34" bestFit="1" customWidth="1"/>
    <col min="8468" max="8468" width="15.6328125" style="34" customWidth="1"/>
    <col min="8469" max="8469" width="42.54296875" style="34" customWidth="1"/>
    <col min="8470" max="8470" width="10.36328125" style="34" customWidth="1"/>
    <col min="8471" max="8471" width="40.453125" style="34" customWidth="1"/>
    <col min="8472" max="8476" width="0" style="34" hidden="1" customWidth="1"/>
    <col min="8477" max="8721" width="9.08984375" style="34"/>
    <col min="8722" max="8722" width="58.90625" style="34" bestFit="1" customWidth="1"/>
    <col min="8723" max="8723" width="24.08984375" style="34" bestFit="1" customWidth="1"/>
    <col min="8724" max="8724" width="15.6328125" style="34" customWidth="1"/>
    <col min="8725" max="8725" width="42.54296875" style="34" customWidth="1"/>
    <col min="8726" max="8726" width="10.36328125" style="34" customWidth="1"/>
    <col min="8727" max="8727" width="40.453125" style="34" customWidth="1"/>
    <col min="8728" max="8732" width="0" style="34" hidden="1" customWidth="1"/>
    <col min="8733" max="8977" width="9.08984375" style="34"/>
    <col min="8978" max="8978" width="58.90625" style="34" bestFit="1" customWidth="1"/>
    <col min="8979" max="8979" width="24.08984375" style="34" bestFit="1" customWidth="1"/>
    <col min="8980" max="8980" width="15.6328125" style="34" customWidth="1"/>
    <col min="8981" max="8981" width="42.54296875" style="34" customWidth="1"/>
    <col min="8982" max="8982" width="10.36328125" style="34" customWidth="1"/>
    <col min="8983" max="8983" width="40.453125" style="34" customWidth="1"/>
    <col min="8984" max="8988" width="0" style="34" hidden="1" customWidth="1"/>
    <col min="8989" max="9233" width="9.08984375" style="34"/>
    <col min="9234" max="9234" width="58.90625" style="34" bestFit="1" customWidth="1"/>
    <col min="9235" max="9235" width="24.08984375" style="34" bestFit="1" customWidth="1"/>
    <col min="9236" max="9236" width="15.6328125" style="34" customWidth="1"/>
    <col min="9237" max="9237" width="42.54296875" style="34" customWidth="1"/>
    <col min="9238" max="9238" width="10.36328125" style="34" customWidth="1"/>
    <col min="9239" max="9239" width="40.453125" style="34" customWidth="1"/>
    <col min="9240" max="9244" width="0" style="34" hidden="1" customWidth="1"/>
    <col min="9245" max="9489" width="9.08984375" style="34"/>
    <col min="9490" max="9490" width="58.90625" style="34" bestFit="1" customWidth="1"/>
    <col min="9491" max="9491" width="24.08984375" style="34" bestFit="1" customWidth="1"/>
    <col min="9492" max="9492" width="15.6328125" style="34" customWidth="1"/>
    <col min="9493" max="9493" width="42.54296875" style="34" customWidth="1"/>
    <col min="9494" max="9494" width="10.36328125" style="34" customWidth="1"/>
    <col min="9495" max="9495" width="40.453125" style="34" customWidth="1"/>
    <col min="9496" max="9500" width="0" style="34" hidden="1" customWidth="1"/>
    <col min="9501" max="9745" width="9.08984375" style="34"/>
    <col min="9746" max="9746" width="58.90625" style="34" bestFit="1" customWidth="1"/>
    <col min="9747" max="9747" width="24.08984375" style="34" bestFit="1" customWidth="1"/>
    <col min="9748" max="9748" width="15.6328125" style="34" customWidth="1"/>
    <col min="9749" max="9749" width="42.54296875" style="34" customWidth="1"/>
    <col min="9750" max="9750" width="10.36328125" style="34" customWidth="1"/>
    <col min="9751" max="9751" width="40.453125" style="34" customWidth="1"/>
    <col min="9752" max="9756" width="0" style="34" hidden="1" customWidth="1"/>
    <col min="9757" max="10001" width="9.08984375" style="34"/>
    <col min="10002" max="10002" width="58.90625" style="34" bestFit="1" customWidth="1"/>
    <col min="10003" max="10003" width="24.08984375" style="34" bestFit="1" customWidth="1"/>
    <col min="10004" max="10004" width="15.6328125" style="34" customWidth="1"/>
    <col min="10005" max="10005" width="42.54296875" style="34" customWidth="1"/>
    <col min="10006" max="10006" width="10.36328125" style="34" customWidth="1"/>
    <col min="10007" max="10007" width="40.453125" style="34" customWidth="1"/>
    <col min="10008" max="10012" width="0" style="34" hidden="1" customWidth="1"/>
    <col min="10013" max="10257" width="9.08984375" style="34"/>
    <col min="10258" max="10258" width="58.90625" style="34" bestFit="1" customWidth="1"/>
    <col min="10259" max="10259" width="24.08984375" style="34" bestFit="1" customWidth="1"/>
    <col min="10260" max="10260" width="15.6328125" style="34" customWidth="1"/>
    <col min="10261" max="10261" width="42.54296875" style="34" customWidth="1"/>
    <col min="10262" max="10262" width="10.36328125" style="34" customWidth="1"/>
    <col min="10263" max="10263" width="40.453125" style="34" customWidth="1"/>
    <col min="10264" max="10268" width="0" style="34" hidden="1" customWidth="1"/>
    <col min="10269" max="10513" width="9.08984375" style="34"/>
    <col min="10514" max="10514" width="58.90625" style="34" bestFit="1" customWidth="1"/>
    <col min="10515" max="10515" width="24.08984375" style="34" bestFit="1" customWidth="1"/>
    <col min="10516" max="10516" width="15.6328125" style="34" customWidth="1"/>
    <col min="10517" max="10517" width="42.54296875" style="34" customWidth="1"/>
    <col min="10518" max="10518" width="10.36328125" style="34" customWidth="1"/>
    <col min="10519" max="10519" width="40.453125" style="34" customWidth="1"/>
    <col min="10520" max="10524" width="0" style="34" hidden="1" customWidth="1"/>
    <col min="10525" max="10769" width="9.08984375" style="34"/>
    <col min="10770" max="10770" width="58.90625" style="34" bestFit="1" customWidth="1"/>
    <col min="10771" max="10771" width="24.08984375" style="34" bestFit="1" customWidth="1"/>
    <col min="10772" max="10772" width="15.6328125" style="34" customWidth="1"/>
    <col min="10773" max="10773" width="42.54296875" style="34" customWidth="1"/>
    <col min="10774" max="10774" width="10.36328125" style="34" customWidth="1"/>
    <col min="10775" max="10775" width="40.453125" style="34" customWidth="1"/>
    <col min="10776" max="10780" width="0" style="34" hidden="1" customWidth="1"/>
    <col min="10781" max="11025" width="9.08984375" style="34"/>
    <col min="11026" max="11026" width="58.90625" style="34" bestFit="1" customWidth="1"/>
    <col min="11027" max="11027" width="24.08984375" style="34" bestFit="1" customWidth="1"/>
    <col min="11028" max="11028" width="15.6328125" style="34" customWidth="1"/>
    <col min="11029" max="11029" width="42.54296875" style="34" customWidth="1"/>
    <col min="11030" max="11030" width="10.36328125" style="34" customWidth="1"/>
    <col min="11031" max="11031" width="40.453125" style="34" customWidth="1"/>
    <col min="11032" max="11036" width="0" style="34" hidden="1" customWidth="1"/>
    <col min="11037" max="11281" width="9.08984375" style="34"/>
    <col min="11282" max="11282" width="58.90625" style="34" bestFit="1" customWidth="1"/>
    <col min="11283" max="11283" width="24.08984375" style="34" bestFit="1" customWidth="1"/>
    <col min="11284" max="11284" width="15.6328125" style="34" customWidth="1"/>
    <col min="11285" max="11285" width="42.54296875" style="34" customWidth="1"/>
    <col min="11286" max="11286" width="10.36328125" style="34" customWidth="1"/>
    <col min="11287" max="11287" width="40.453125" style="34" customWidth="1"/>
    <col min="11288" max="11292" width="0" style="34" hidden="1" customWidth="1"/>
    <col min="11293" max="11537" width="9.08984375" style="34"/>
    <col min="11538" max="11538" width="58.90625" style="34" bestFit="1" customWidth="1"/>
    <col min="11539" max="11539" width="24.08984375" style="34" bestFit="1" customWidth="1"/>
    <col min="11540" max="11540" width="15.6328125" style="34" customWidth="1"/>
    <col min="11541" max="11541" width="42.54296875" style="34" customWidth="1"/>
    <col min="11542" max="11542" width="10.36328125" style="34" customWidth="1"/>
    <col min="11543" max="11543" width="40.453125" style="34" customWidth="1"/>
    <col min="11544" max="11548" width="0" style="34" hidden="1" customWidth="1"/>
    <col min="11549" max="11793" width="9.08984375" style="34"/>
    <col min="11794" max="11794" width="58.90625" style="34" bestFit="1" customWidth="1"/>
    <col min="11795" max="11795" width="24.08984375" style="34" bestFit="1" customWidth="1"/>
    <col min="11796" max="11796" width="15.6328125" style="34" customWidth="1"/>
    <col min="11797" max="11797" width="42.54296875" style="34" customWidth="1"/>
    <col min="11798" max="11798" width="10.36328125" style="34" customWidth="1"/>
    <col min="11799" max="11799" width="40.453125" style="34" customWidth="1"/>
    <col min="11800" max="11804" width="0" style="34" hidden="1" customWidth="1"/>
    <col min="11805" max="12049" width="9.08984375" style="34"/>
    <col min="12050" max="12050" width="58.90625" style="34" bestFit="1" customWidth="1"/>
    <col min="12051" max="12051" width="24.08984375" style="34" bestFit="1" customWidth="1"/>
    <col min="12052" max="12052" width="15.6328125" style="34" customWidth="1"/>
    <col min="12053" max="12053" width="42.54296875" style="34" customWidth="1"/>
    <col min="12054" max="12054" width="10.36328125" style="34" customWidth="1"/>
    <col min="12055" max="12055" width="40.453125" style="34" customWidth="1"/>
    <col min="12056" max="12060" width="0" style="34" hidden="1" customWidth="1"/>
    <col min="12061" max="12305" width="9.08984375" style="34"/>
    <col min="12306" max="12306" width="58.90625" style="34" bestFit="1" customWidth="1"/>
    <col min="12307" max="12307" width="24.08984375" style="34" bestFit="1" customWidth="1"/>
    <col min="12308" max="12308" width="15.6328125" style="34" customWidth="1"/>
    <col min="12309" max="12309" width="42.54296875" style="34" customWidth="1"/>
    <col min="12310" max="12310" width="10.36328125" style="34" customWidth="1"/>
    <col min="12311" max="12311" width="40.453125" style="34" customWidth="1"/>
    <col min="12312" max="12316" width="0" style="34" hidden="1" customWidth="1"/>
    <col min="12317" max="12561" width="9.08984375" style="34"/>
    <col min="12562" max="12562" width="58.90625" style="34" bestFit="1" customWidth="1"/>
    <col min="12563" max="12563" width="24.08984375" style="34" bestFit="1" customWidth="1"/>
    <col min="12564" max="12564" width="15.6328125" style="34" customWidth="1"/>
    <col min="12565" max="12565" width="42.54296875" style="34" customWidth="1"/>
    <col min="12566" max="12566" width="10.36328125" style="34" customWidth="1"/>
    <col min="12567" max="12567" width="40.453125" style="34" customWidth="1"/>
    <col min="12568" max="12572" width="0" style="34" hidden="1" customWidth="1"/>
    <col min="12573" max="12817" width="9.08984375" style="34"/>
    <col min="12818" max="12818" width="58.90625" style="34" bestFit="1" customWidth="1"/>
    <col min="12819" max="12819" width="24.08984375" style="34" bestFit="1" customWidth="1"/>
    <col min="12820" max="12820" width="15.6328125" style="34" customWidth="1"/>
    <col min="12821" max="12821" width="42.54296875" style="34" customWidth="1"/>
    <col min="12822" max="12822" width="10.36328125" style="34" customWidth="1"/>
    <col min="12823" max="12823" width="40.453125" style="34" customWidth="1"/>
    <col min="12824" max="12828" width="0" style="34" hidden="1" customWidth="1"/>
    <col min="12829" max="13073" width="9.08984375" style="34"/>
    <col min="13074" max="13074" width="58.90625" style="34" bestFit="1" customWidth="1"/>
    <col min="13075" max="13075" width="24.08984375" style="34" bestFit="1" customWidth="1"/>
    <col min="13076" max="13076" width="15.6328125" style="34" customWidth="1"/>
    <col min="13077" max="13077" width="42.54296875" style="34" customWidth="1"/>
    <col min="13078" max="13078" width="10.36328125" style="34" customWidth="1"/>
    <col min="13079" max="13079" width="40.453125" style="34" customWidth="1"/>
    <col min="13080" max="13084" width="0" style="34" hidden="1" customWidth="1"/>
    <col min="13085" max="13329" width="9.08984375" style="34"/>
    <col min="13330" max="13330" width="58.90625" style="34" bestFit="1" customWidth="1"/>
    <col min="13331" max="13331" width="24.08984375" style="34" bestFit="1" customWidth="1"/>
    <col min="13332" max="13332" width="15.6328125" style="34" customWidth="1"/>
    <col min="13333" max="13333" width="42.54296875" style="34" customWidth="1"/>
    <col min="13334" max="13334" width="10.36328125" style="34" customWidth="1"/>
    <col min="13335" max="13335" width="40.453125" style="34" customWidth="1"/>
    <col min="13336" max="13340" width="0" style="34" hidden="1" customWidth="1"/>
    <col min="13341" max="13585" width="9.08984375" style="34"/>
    <col min="13586" max="13586" width="58.90625" style="34" bestFit="1" customWidth="1"/>
    <col min="13587" max="13587" width="24.08984375" style="34" bestFit="1" customWidth="1"/>
    <col min="13588" max="13588" width="15.6328125" style="34" customWidth="1"/>
    <col min="13589" max="13589" width="42.54296875" style="34" customWidth="1"/>
    <col min="13590" max="13590" width="10.36328125" style="34" customWidth="1"/>
    <col min="13591" max="13591" width="40.453125" style="34" customWidth="1"/>
    <col min="13592" max="13596" width="0" style="34" hidden="1" customWidth="1"/>
    <col min="13597" max="13841" width="9.08984375" style="34"/>
    <col min="13842" max="13842" width="58.90625" style="34" bestFit="1" customWidth="1"/>
    <col min="13843" max="13843" width="24.08984375" style="34" bestFit="1" customWidth="1"/>
    <col min="13844" max="13844" width="15.6328125" style="34" customWidth="1"/>
    <col min="13845" max="13845" width="42.54296875" style="34" customWidth="1"/>
    <col min="13846" max="13846" width="10.36328125" style="34" customWidth="1"/>
    <col min="13847" max="13847" width="40.453125" style="34" customWidth="1"/>
    <col min="13848" max="13852" width="0" style="34" hidden="1" customWidth="1"/>
    <col min="13853" max="14097" width="9.08984375" style="34"/>
    <col min="14098" max="14098" width="58.90625" style="34" bestFit="1" customWidth="1"/>
    <col min="14099" max="14099" width="24.08984375" style="34" bestFit="1" customWidth="1"/>
    <col min="14100" max="14100" width="15.6328125" style="34" customWidth="1"/>
    <col min="14101" max="14101" width="42.54296875" style="34" customWidth="1"/>
    <col min="14102" max="14102" width="10.36328125" style="34" customWidth="1"/>
    <col min="14103" max="14103" width="40.453125" style="34" customWidth="1"/>
    <col min="14104" max="14108" width="0" style="34" hidden="1" customWidth="1"/>
    <col min="14109" max="14353" width="9.08984375" style="34"/>
    <col min="14354" max="14354" width="58.90625" style="34" bestFit="1" customWidth="1"/>
    <col min="14355" max="14355" width="24.08984375" style="34" bestFit="1" customWidth="1"/>
    <col min="14356" max="14356" width="15.6328125" style="34" customWidth="1"/>
    <col min="14357" max="14357" width="42.54296875" style="34" customWidth="1"/>
    <col min="14358" max="14358" width="10.36328125" style="34" customWidth="1"/>
    <col min="14359" max="14359" width="40.453125" style="34" customWidth="1"/>
    <col min="14360" max="14364" width="0" style="34" hidden="1" customWidth="1"/>
    <col min="14365" max="14609" width="9.08984375" style="34"/>
    <col min="14610" max="14610" width="58.90625" style="34" bestFit="1" customWidth="1"/>
    <col min="14611" max="14611" width="24.08984375" style="34" bestFit="1" customWidth="1"/>
    <col min="14612" max="14612" width="15.6328125" style="34" customWidth="1"/>
    <col min="14613" max="14613" width="42.54296875" style="34" customWidth="1"/>
    <col min="14614" max="14614" width="10.36328125" style="34" customWidth="1"/>
    <col min="14615" max="14615" width="40.453125" style="34" customWidth="1"/>
    <col min="14616" max="14620" width="0" style="34" hidden="1" customWidth="1"/>
    <col min="14621" max="14865" width="9.08984375" style="34"/>
    <col min="14866" max="14866" width="58.90625" style="34" bestFit="1" customWidth="1"/>
    <col min="14867" max="14867" width="24.08984375" style="34" bestFit="1" customWidth="1"/>
    <col min="14868" max="14868" width="15.6328125" style="34" customWidth="1"/>
    <col min="14869" max="14869" width="42.54296875" style="34" customWidth="1"/>
    <col min="14870" max="14870" width="10.36328125" style="34" customWidth="1"/>
    <col min="14871" max="14871" width="40.453125" style="34" customWidth="1"/>
    <col min="14872" max="14876" width="0" style="34" hidden="1" customWidth="1"/>
    <col min="14877" max="15121" width="9.08984375" style="34"/>
    <col min="15122" max="15122" width="58.90625" style="34" bestFit="1" customWidth="1"/>
    <col min="15123" max="15123" width="24.08984375" style="34" bestFit="1" customWidth="1"/>
    <col min="15124" max="15124" width="15.6328125" style="34" customWidth="1"/>
    <col min="15125" max="15125" width="42.54296875" style="34" customWidth="1"/>
    <col min="15126" max="15126" width="10.36328125" style="34" customWidth="1"/>
    <col min="15127" max="15127" width="40.453125" style="34" customWidth="1"/>
    <col min="15128" max="15132" width="0" style="34" hidden="1" customWidth="1"/>
    <col min="15133" max="15377" width="9.08984375" style="34"/>
    <col min="15378" max="15378" width="58.90625" style="34" bestFit="1" customWidth="1"/>
    <col min="15379" max="15379" width="24.08984375" style="34" bestFit="1" customWidth="1"/>
    <col min="15380" max="15380" width="15.6328125" style="34" customWidth="1"/>
    <col min="15381" max="15381" width="42.54296875" style="34" customWidth="1"/>
    <col min="15382" max="15382" width="10.36328125" style="34" customWidth="1"/>
    <col min="15383" max="15383" width="40.453125" style="34" customWidth="1"/>
    <col min="15384" max="15388" width="0" style="34" hidden="1" customWidth="1"/>
    <col min="15389" max="15633" width="9.08984375" style="34"/>
    <col min="15634" max="15634" width="58.90625" style="34" bestFit="1" customWidth="1"/>
    <col min="15635" max="15635" width="24.08984375" style="34" bestFit="1" customWidth="1"/>
    <col min="15636" max="15636" width="15.6328125" style="34" customWidth="1"/>
    <col min="15637" max="15637" width="42.54296875" style="34" customWidth="1"/>
    <col min="15638" max="15638" width="10.36328125" style="34" customWidth="1"/>
    <col min="15639" max="15639" width="40.453125" style="34" customWidth="1"/>
    <col min="15640" max="15644" width="0" style="34" hidden="1" customWidth="1"/>
    <col min="15645" max="15889" width="9.08984375" style="34"/>
    <col min="15890" max="15890" width="58.90625" style="34" bestFit="1" customWidth="1"/>
    <col min="15891" max="15891" width="24.08984375" style="34" bestFit="1" customWidth="1"/>
    <col min="15892" max="15892" width="15.6328125" style="34" customWidth="1"/>
    <col min="15893" max="15893" width="42.54296875" style="34" customWidth="1"/>
    <col min="15894" max="15894" width="10.36328125" style="34" customWidth="1"/>
    <col min="15895" max="15895" width="40.453125" style="34" customWidth="1"/>
    <col min="15896" max="15900" width="0" style="34" hidden="1" customWidth="1"/>
    <col min="15901" max="16384" width="9.08984375" style="34"/>
  </cols>
  <sheetData>
    <row r="1" spans="2:18" s="30" customFormat="1" ht="12" customHeight="1">
      <c r="B1" s="407"/>
      <c r="C1" s="406" t="str">
        <f>IF(N2="Spanish",IF(OR(D9&lt;&gt;"",H18&lt;&gt;"",B18&lt;&gt;"",D30&lt;&gt;"",B48&lt;&gt;"",I48&lt;&gt;"",D44&lt;&gt;"",D56&lt;&gt;"",G68&lt;&gt;""),"LOS ERRORES DEBEN SER CORREGIDOS ANTES DE REGISTRO DE DATOS",""),IF(N2="Portugese",IF(OR(D9&lt;&gt;"",H18&lt;&gt;"",B18&lt;&gt;"",D30&lt;&gt;"",B48&lt;&gt;"",I48&lt;&gt;"",D44&lt;&gt;"",D56&lt;&gt;"",G68&lt;&gt;""),"O ERRO DEVE SER CORRIGIDO ANTES DO REGISTRO DE DADOS",""),IF(N2="French",IF(OR(D9&lt;&gt;"",H18&lt;&gt;"",B18&lt;&gt;"",D30&lt;&gt;"",B48&lt;&gt;"",I48&lt;&gt;"",D44&lt;&gt;"",D56&lt;&gt;"",G68&lt;&gt;""),"LES ERREURS DOIVENT ETRE CORRIGEES AVANT DE CHARGER DES DONNEES",""),IF(OR(D9&lt;&gt;"",H18&lt;&gt;"",B18&lt;&gt;"",D30&lt;&gt;"",B48&lt;&gt;"",I48&lt;&gt;"",D44&lt;&gt;"",D56&lt;&gt;"",G68&lt;&gt;""),"ERRORS MUST BE CORRECTED BEFORE LOGGING DATA",""))))</f>
        <v/>
      </c>
      <c r="D1" s="406"/>
      <c r="E1" s="413" t="str">
        <f>IF(N2="Spanish","Formulario de Recuperacion de Datos",IF(N2="Portugese","Formulário de recuperacao de dados OLE",IF(N2="French","Formulaire de rappel des données d' OLE","OLE Data Recall Form")))</f>
        <v>OLE Data Recall Form</v>
      </c>
      <c r="F1" s="413"/>
      <c r="G1" s="413"/>
      <c r="H1" s="413"/>
      <c r="I1" s="142"/>
      <c r="J1" s="142"/>
      <c r="K1" s="29"/>
      <c r="L1" s="29"/>
      <c r="P1" s="31"/>
      <c r="R1" s="32"/>
    </row>
    <row r="2" spans="2:18" s="30" customFormat="1" ht="18" customHeight="1">
      <c r="B2" s="407"/>
      <c r="C2" s="406"/>
      <c r="D2" s="406"/>
      <c r="E2" s="413"/>
      <c r="F2" s="413"/>
      <c r="G2" s="413"/>
      <c r="H2" s="413"/>
      <c r="I2" s="142"/>
      <c r="J2" s="142"/>
      <c r="K2" s="326" t="s">
        <v>171</v>
      </c>
      <c r="L2" s="326"/>
      <c r="M2" s="157"/>
      <c r="N2" s="463" t="s">
        <v>172</v>
      </c>
      <c r="O2" s="464"/>
      <c r="P2" s="31"/>
      <c r="R2" s="32"/>
    </row>
    <row r="3" spans="2:18" s="30" customFormat="1" ht="12" customHeight="1" thickBot="1">
      <c r="B3" s="407"/>
      <c r="C3" s="406"/>
      <c r="D3" s="406"/>
      <c r="E3" s="142"/>
      <c r="F3" s="142"/>
      <c r="G3" s="142"/>
      <c r="H3" s="142"/>
      <c r="I3" s="142"/>
      <c r="J3" s="142"/>
      <c r="K3" s="29"/>
      <c r="L3" s="29"/>
      <c r="P3" s="31"/>
      <c r="R3" s="32"/>
    </row>
    <row r="4" spans="2:18" ht="16" thickTop="1">
      <c r="B4" s="197"/>
      <c r="C4" s="198"/>
      <c r="D4" s="341"/>
      <c r="E4" s="341"/>
      <c r="F4" s="341"/>
      <c r="G4" s="341"/>
      <c r="H4" s="199"/>
      <c r="I4" s="199"/>
      <c r="J4" s="199"/>
      <c r="K4" s="199"/>
      <c r="L4" s="199"/>
      <c r="M4" s="199"/>
      <c r="N4" s="199"/>
      <c r="O4" s="200"/>
    </row>
    <row r="5" spans="2:18" s="121" customFormat="1" ht="18">
      <c r="B5" s="201" t="str">
        <f>IF(N2="Spanish","Fecha:",IF(N2="Portugese","Data:",IF(N2="French","Date:",IF(N2="English","Date:"))))</f>
        <v>Date:</v>
      </c>
      <c r="C5" s="465">
        <f>'Transfer Sheet'!A3</f>
        <v>44296</v>
      </c>
      <c r="D5" s="465"/>
      <c r="E5" s="345" t="str">
        <f>IF(N2="Spanish","Hora Inicio Producción:",IF(N2="Portugese","Hora produção começou:",IF(N2="French","Heure de début de production:","Production Start Time:")))</f>
        <v>Production Start Time:</v>
      </c>
      <c r="F5" s="346"/>
      <c r="G5" s="347"/>
      <c r="H5" s="279">
        <f>'Transfer Sheet'!G3</f>
        <v>0.33333333333333331</v>
      </c>
      <c r="I5" s="85"/>
      <c r="J5" s="346" t="str">
        <f>IF(N2="Spanish","Turno:",IF(N2="Portugese","Turno:",IF(N2="French","Equipe:","Shift:")))</f>
        <v>Shift:</v>
      </c>
      <c r="K5" s="346"/>
      <c r="L5" s="466" t="str">
        <f>'Transfer Sheet'!B3</f>
        <v>1st</v>
      </c>
      <c r="M5" s="466"/>
      <c r="N5" s="119"/>
      <c r="O5" s="202"/>
      <c r="P5" s="120"/>
      <c r="R5" s="122"/>
    </row>
    <row r="6" spans="2:18" s="121" customFormat="1" ht="18">
      <c r="B6" s="201" t="str">
        <f>IF(N2="Spanish","Supervisor de Línea:",IF(N2="Portugese","Operador Responsável:",IF(N2="French","Chef d'équipe:","Crew Leader:")))</f>
        <v>Crew Leader:</v>
      </c>
      <c r="C6" s="466" t="str">
        <f>'Transfer Sheet'!I3</f>
        <v>Junaidi, Albert</v>
      </c>
      <c r="D6" s="466"/>
      <c r="E6" s="345" t="str">
        <f>IF(N2="Spanish","Hora Fin Producción:",IF(N2="Portugese","Hora produção terminou:",IF(N2="French","Heure de fin de production:","Production Stop Time:")))</f>
        <v>Production Stop Time:</v>
      </c>
      <c r="F6" s="346"/>
      <c r="G6" s="347"/>
      <c r="H6" s="279">
        <f>'Transfer Sheet'!H3</f>
        <v>0.66666666666666663</v>
      </c>
      <c r="I6" s="345" t="str">
        <f>IF(N2="Spanish","Tiempo Total Turno:",IF(N2="Portugese","Total de horas no turno:",IF(N2="French","Durée totale de l'équipe:","Total Shift Time:")))</f>
        <v>Total Shift Time:</v>
      </c>
      <c r="J6" s="346"/>
      <c r="K6" s="347"/>
      <c r="L6" s="414">
        <f>'Transfer Sheet'!J3</f>
        <v>480</v>
      </c>
      <c r="M6" s="414"/>
      <c r="N6" s="123"/>
      <c r="O6" s="202"/>
      <c r="P6" s="120"/>
      <c r="R6" s="122"/>
    </row>
    <row r="7" spans="2:18" ht="16" thickBot="1">
      <c r="B7" s="203"/>
      <c r="C7" s="39"/>
      <c r="D7" s="344"/>
      <c r="E7" s="344"/>
      <c r="F7" s="344"/>
      <c r="G7" s="344"/>
      <c r="H7" s="40"/>
      <c r="I7" s="40"/>
      <c r="J7" s="40"/>
      <c r="K7" s="40"/>
      <c r="L7" s="40"/>
      <c r="M7" s="40"/>
      <c r="N7" s="40"/>
      <c r="O7" s="204"/>
    </row>
    <row r="8" spans="2:18" ht="15.75" customHeight="1">
      <c r="B8" s="205"/>
      <c r="C8" s="153"/>
      <c r="D8" s="153"/>
      <c r="E8" s="153"/>
      <c r="F8" s="146" t="str">
        <f>IF(N2="Spanish","Cambio",IF(N2="Portugese","Troca de produto",IF(N2="French","Ordre de Fabrication/Changement de format","Products Run / Changeovers")))</f>
        <v>Products Run / Changeovers</v>
      </c>
      <c r="G8" s="146"/>
      <c r="H8" s="146"/>
      <c r="I8" s="146"/>
      <c r="J8" s="146"/>
      <c r="K8" s="146"/>
      <c r="L8" s="146"/>
      <c r="M8" s="146"/>
      <c r="N8" s="146"/>
      <c r="O8" s="206"/>
    </row>
    <row r="9" spans="2:18" ht="15.75" customHeight="1">
      <c r="B9" s="323"/>
      <c r="C9" s="322"/>
      <c r="D9" s="417" t="str">
        <f>IF(N2="Spanish",IF(OR(AND(B12&lt;&gt;"",AND(D11="",D12="")),AND(B13&lt;&gt;"",AND(D11="",D12="",D13="")),AND(B16&lt;&gt;"",AND(D11="",D12="",D13="",D16=""))),"CAMBIO DE HORA DEBE ANOTARSE SI MAS DE UN PRODUCTO ESTA RUN.",""),IF(N2="Portugese",IF(OR(AND(B12&lt;&gt;"",AND(D11="",D12="")),AND(B13&lt;&gt;"",AND(D11="",D12="",D13="")),AND(B16&lt;&gt;"",AND(D11="",D12="",D13="",D16=""))),"TEMPO DE TROCA DEVE SER INSERIDO SE HOUVE MAIS DE UM PRODUTO.",""),IF(N2="French",IF(OR(AND(B12&lt;&gt;"",AND(D11="",D12="")),AND(B13&lt;&gt;"",AND(D11="",D12="",D13="")),AND(B16&lt;&gt;"",AND(D11="",D12="",D13="",D16=""))),"LE TEMPS DE CHANGEMENT DE FORMAT DOIT ETRE SAISI SI ON PRODUIT PLUS D’UNE REFERENCE.",""),IF(OR(AND(B12&lt;&gt;"",AND(D11="",D12="")),AND(B13&lt;&gt;"",AND(D11="",D12="",D13="")),AND(B16&lt;&gt;"",AND(D11="",D12="",D13="",D16=""))),"CHANGEOVER TIME MUST BE ENTERED IF MORE THAN ONE PRODUCT WAS RUN.",""))))</f>
        <v/>
      </c>
      <c r="E9" s="417"/>
      <c r="F9" s="417"/>
      <c r="G9" s="417"/>
      <c r="H9" s="417"/>
      <c r="I9" s="417"/>
      <c r="J9" s="417"/>
      <c r="K9" s="148"/>
      <c r="L9" s="148"/>
      <c r="M9" s="148"/>
      <c r="N9" s="148"/>
      <c r="O9" s="208"/>
    </row>
    <row r="10" spans="2:18" ht="26">
      <c r="B10" s="209" t="str">
        <f>IF(N2="Spanish","Productos",IF(N2="Portugese","Produto",IF(N2="French","référence produit en cours","Products Run")))</f>
        <v>Products Run</v>
      </c>
      <c r="C10" s="324" t="str">
        <f>IF(N2="Spanish","Presentación",IF(N2="Portugese","Tamanho de embalagem",IF(N2="French","taille emballage","Size")))</f>
        <v>Size</v>
      </c>
      <c r="D10" s="324" t="str">
        <f>IF(N2="Spanish","Tiempo de Cambio",IF(N2="Portugese","Tempo de transição",IF(N2="French","Durée du changement de format ","Changeover Time")))</f>
        <v>Changeover Time</v>
      </c>
      <c r="E10" s="351" t="str">
        <f>IF(N2="Spanish","Comentarios",IF(N2="Portugese","Comentários",IF(N2="French","Commentaires","Comments")))</f>
        <v>Comments</v>
      </c>
      <c r="F10" s="351"/>
      <c r="G10" s="351"/>
      <c r="H10" s="351"/>
      <c r="I10" s="351"/>
      <c r="J10" s="351"/>
      <c r="K10" s="351"/>
      <c r="L10" s="351"/>
      <c r="M10" s="351"/>
      <c r="N10" s="351"/>
      <c r="O10" s="352"/>
    </row>
    <row r="11" spans="2:18" s="37" customFormat="1" ht="15.75" customHeight="1">
      <c r="B11" s="280" t="str">
        <f>'Transfer Sheet'!BT3</f>
        <v>EXALT BTLPET24X0.25L THA</v>
      </c>
      <c r="C11" s="90" t="str">
        <f>'Transfer Sheet'!BU3</f>
        <v>0.25L</v>
      </c>
      <c r="D11" s="281">
        <f>'Transfer Sheet'!BV3</f>
        <v>0</v>
      </c>
      <c r="E11" s="457">
        <f>'Transfer Sheet'!BW3</f>
        <v>0</v>
      </c>
      <c r="F11" s="458"/>
      <c r="G11" s="458"/>
      <c r="H11" s="458"/>
      <c r="I11" s="458"/>
      <c r="J11" s="458"/>
      <c r="K11" s="458"/>
      <c r="L11" s="458"/>
      <c r="M11" s="458"/>
      <c r="N11" s="458"/>
      <c r="O11" s="459"/>
      <c r="P11" s="36"/>
      <c r="R11" s="38"/>
    </row>
    <row r="12" spans="2:18" s="37" customFormat="1">
      <c r="B12" s="282">
        <f>'Transfer Sheet'!BX3</f>
        <v>0</v>
      </c>
      <c r="C12" s="92" t="str">
        <f>'Transfer Sheet'!BY3</f>
        <v/>
      </c>
      <c r="D12" s="283">
        <f>'Transfer Sheet'!BZ3</f>
        <v>0</v>
      </c>
      <c r="E12" s="457">
        <f>'Transfer Sheet'!CA3</f>
        <v>0</v>
      </c>
      <c r="F12" s="458"/>
      <c r="G12" s="458"/>
      <c r="H12" s="458"/>
      <c r="I12" s="458"/>
      <c r="J12" s="458"/>
      <c r="K12" s="458"/>
      <c r="L12" s="458"/>
      <c r="M12" s="458"/>
      <c r="N12" s="458"/>
      <c r="O12" s="459"/>
      <c r="P12" s="36"/>
      <c r="R12" s="38"/>
    </row>
    <row r="13" spans="2:18" s="37" customFormat="1" ht="15" customHeight="1">
      <c r="B13" s="282">
        <f>'Transfer Sheet'!CB3</f>
        <v>0</v>
      </c>
      <c r="C13" s="92" t="str">
        <f>'Transfer Sheet'!CC3</f>
        <v/>
      </c>
      <c r="D13" s="283">
        <f>'Transfer Sheet'!CD3</f>
        <v>0</v>
      </c>
      <c r="E13" s="457">
        <f>'Transfer Sheet'!CE3</f>
        <v>0</v>
      </c>
      <c r="F13" s="458"/>
      <c r="G13" s="458"/>
      <c r="H13" s="458"/>
      <c r="I13" s="458"/>
      <c r="J13" s="458"/>
      <c r="K13" s="458"/>
      <c r="L13" s="458"/>
      <c r="M13" s="458"/>
      <c r="N13" s="458"/>
      <c r="O13" s="459"/>
      <c r="P13" s="36"/>
      <c r="R13" s="38"/>
    </row>
    <row r="14" spans="2:18" s="37" customFormat="1" ht="15" customHeight="1">
      <c r="B14" s="284">
        <f>'Transfer Sheet'!CF3</f>
        <v>0</v>
      </c>
      <c r="C14" s="92" t="str">
        <f>'Transfer Sheet'!CG3</f>
        <v/>
      </c>
      <c r="D14" s="285">
        <f>'Transfer Sheet'!CH3</f>
        <v>0</v>
      </c>
      <c r="E14" s="457">
        <f>'Transfer Sheet'!CI3</f>
        <v>0</v>
      </c>
      <c r="F14" s="458"/>
      <c r="G14" s="458"/>
      <c r="H14" s="458"/>
      <c r="I14" s="458"/>
      <c r="J14" s="458"/>
      <c r="K14" s="458"/>
      <c r="L14" s="458"/>
      <c r="M14" s="458"/>
      <c r="N14" s="458"/>
      <c r="O14" s="459"/>
      <c r="P14" s="36"/>
      <c r="R14" s="38"/>
    </row>
    <row r="15" spans="2:18" s="37" customFormat="1" ht="15" customHeight="1">
      <c r="B15" s="284">
        <f>'Transfer Sheet'!CJ3</f>
        <v>0</v>
      </c>
      <c r="C15" s="92" t="str">
        <f>'Transfer Sheet'!CK3</f>
        <v/>
      </c>
      <c r="D15" s="285">
        <f>'Transfer Sheet'!CL3</f>
        <v>0</v>
      </c>
      <c r="E15" s="457">
        <f>'Transfer Sheet'!CM3</f>
        <v>0</v>
      </c>
      <c r="F15" s="458"/>
      <c r="G15" s="458"/>
      <c r="H15" s="458"/>
      <c r="I15" s="458"/>
      <c r="J15" s="458"/>
      <c r="K15" s="458"/>
      <c r="L15" s="458"/>
      <c r="M15" s="458"/>
      <c r="N15" s="458"/>
      <c r="O15" s="459"/>
      <c r="P15" s="36"/>
      <c r="R15" s="38"/>
    </row>
    <row r="16" spans="2:18" s="37" customFormat="1" ht="16" thickBot="1">
      <c r="B16" s="286">
        <f>'Transfer Sheet'!CN3</f>
        <v>0</v>
      </c>
      <c r="C16" s="144" t="str">
        <f>'Transfer Sheet'!CO3</f>
        <v/>
      </c>
      <c r="D16" s="287">
        <f>'Transfer Sheet'!CP3</f>
        <v>0</v>
      </c>
      <c r="E16" s="460">
        <f>'Transfer Sheet'!CQ3</f>
        <v>0</v>
      </c>
      <c r="F16" s="461"/>
      <c r="G16" s="461"/>
      <c r="H16" s="461"/>
      <c r="I16" s="461"/>
      <c r="J16" s="461"/>
      <c r="K16" s="461"/>
      <c r="L16" s="461"/>
      <c r="M16" s="461"/>
      <c r="N16" s="461"/>
      <c r="O16" s="462"/>
      <c r="P16" s="36"/>
      <c r="R16" s="38"/>
    </row>
    <row r="17" spans="2:18" s="37" customFormat="1" ht="15.75" customHeight="1">
      <c r="B17" s="205"/>
      <c r="C17" s="153"/>
      <c r="D17" s="327" t="str">
        <f>IF(N2="Spanish","Tiempo Muerto Planeado",IF(N2="Portugese","Tempo sem produção PLANEJADO",IF(N2="French","Arrets planifiés (mn)","Planned Downtime")))</f>
        <v>Planned Downtime</v>
      </c>
      <c r="E17" s="327"/>
      <c r="F17" s="327"/>
      <c r="G17" s="327"/>
      <c r="H17" s="327"/>
      <c r="I17" s="327"/>
      <c r="J17" s="143"/>
      <c r="K17" s="143"/>
      <c r="L17" s="143"/>
      <c r="M17" s="143"/>
      <c r="N17" s="143"/>
      <c r="O17" s="214"/>
      <c r="P17" s="36"/>
      <c r="R17" s="38"/>
    </row>
    <row r="18" spans="2:18" s="37" customFormat="1" ht="15.75" customHeight="1">
      <c r="B18" s="355" t="str">
        <f>IF(N2="Spanish",IF(OR(AND(B20&lt;&gt;"",D20=""),AND(B21&lt;&gt;"",D21=""),AND(B22&lt;&gt;"",D22=""),AND(B23&lt;&gt;"",D23=""),AND(B24&lt;&gt;"",D24=""),AND(B25&lt;&gt;"",D25=""),AND(B26&lt;&gt;"",D26=""),AND(B27&lt;&gt;"",D27=""),AND(B28&lt;&gt;"",D28="")),"DURACIÓN OBLIGATORIA LA INSCRIPCIÓN PARA CADA CASO DE PLANIFICACIÓN DE TIEMPO MUERTO",""),IF(N2="Portugese",IF(OR(AND(B20&lt;&gt;"",D20=""),AND(B21&lt;&gt;"",D21=""),AND(B22&lt;&gt;"",D22=""),AND(B23&lt;&gt;"",D23=""),AND(B24&lt;&gt;"",D24=""),AND(B25&lt;&gt;"",D25=""),AND(B26&lt;&gt;"",D26=""),AND(B27&lt;&gt;"",D27=""),AND(B28&lt;&gt;"",D28="")),"O TEMPO DEVE SER INSERIDO PARA CADA PARADA PLANEJADA.",""),IF(N2="French",IF(OR(AND(B20&lt;&gt;"",D20=""),AND(B21&lt;&gt;"",D21=""),AND(B22&lt;&gt;"",D22=""),AND(B23&lt;&gt;"",D23=""),AND(B24&lt;&gt;"",D24=""),AND(B25&lt;&gt;"",D25=""),AND(B26&lt;&gt;"",D26=""),AND(B27&lt;&gt;"",D27=""),AND(B28&lt;&gt;"",D28="")),"LA DUREE DOIT ETRE SAISI POUR CHAQUE ARRET PLANIFIE .",""),IF(OR(AND(B20&lt;&gt;"",D20=""),AND(B21&lt;&gt;"",D21=""),AND(B22&lt;&gt;"",D22=""),AND(B23&lt;&gt;"",D23=""),AND(B24&lt;&gt;"",D24=""),AND(B25&lt;&gt;"",D25=""),AND(B26&lt;&gt;"",D26=""),AND(B27&lt;&gt;"",D27=""),AND(B28&lt;&gt;"",D28="")),"DURATION MUST BE ENTERED FOR EACH PLANNED DOWNTIME EVENT.",""))))</f>
        <v/>
      </c>
      <c r="C18" s="353"/>
      <c r="D18" s="353"/>
      <c r="E18" s="353"/>
      <c r="F18" s="156"/>
      <c r="G18" s="156"/>
      <c r="H18" s="353" t="str">
        <f>IF(N2="Spanish",IF(OR(AND(B20&lt;&gt;"",F20=""),AND(B21&lt;&gt;"",F21=""),AND(B22&lt;&gt;"",F22=""),AND(B23&lt;&gt;"",F23=""),AND(B24&lt;&gt;"",F24=""),AND(B25&lt;&gt;"",F25=""),AND(B26&lt;&gt;"",F26=""),AND(B27&lt;&gt;"",F27=""),AND(B28&lt;&gt;"",F28="")),"PRODUCTO DEBE SER SELECCIONADO PARA CADA CASO DE PLANIFICACIÓN DE TIEMPO MUERTO",""),IF(N2="Portugese",IF(OR(AND(B20&lt;&gt;"",F20=""),AND(B21&lt;&gt;"",F21=""),AND(B22&lt;&gt;"",F22=""),AND(B23&lt;&gt;"",F23=""),AND(B24&lt;&gt;"",F24=""),AND(B25&lt;&gt;"",F25=""),AND(B26&lt;&gt;"",F26=""),AND(B27&lt;&gt;"",F27=""),AND(B28&lt;&gt;"",F28="")),"O PRODUTO DEVE SER SELECIONADO PARA CADA PARADA PLANEJADA.",""),IF(N2="French",IF(OR(AND(B20&lt;&gt;"",F20=""),AND(B21&lt;&gt;"",F21=""),AND(B22&lt;&gt;"",F22=""),AND(B23&lt;&gt;"",F23=""),AND(B24&lt;&gt;"",F24=""),AND(B25&lt;&gt;"",F25=""),AND(B26&lt;&gt;"",F26=""),AND(B27&lt;&gt;"",F27=""),AND(B28&lt;&gt;"",F28="")),"LA REFERENCE PRODUIT DOIT ETRE SELECTIONNEE POUR CHAQUE ARRET PLANIFIE.",""),IF(OR(AND(B20&lt;&gt;"",F20=""),AND(B21&lt;&gt;"",F21=""),AND(B22&lt;&gt;"",F22=""),AND(B23&lt;&gt;"",F23=""),AND(B24&lt;&gt;"",F24=""),AND(B25&lt;&gt;"",F25=""),AND(B26&lt;&gt;"",F26=""),AND(B27&lt;&gt;"",F27=""),AND(B28&lt;&gt;"",F28="")),"PRODUCT MUST BE SELECTED FOR EACH PLANNED DOWNTIME EVENT.",""))))</f>
        <v/>
      </c>
      <c r="I18" s="353"/>
      <c r="J18" s="353"/>
      <c r="K18" s="353"/>
      <c r="L18" s="353"/>
      <c r="M18" s="353"/>
      <c r="N18" s="353"/>
      <c r="O18" s="354"/>
      <c r="P18" s="36"/>
      <c r="R18" s="38"/>
    </row>
    <row r="19" spans="2:18" s="37" customFormat="1">
      <c r="B19" s="215" t="str">
        <f>IF(N2="Spanish","Razón",IF(N2="Portugese","Razão",IF(N2="French","Cause ","Reason")))</f>
        <v>Reason</v>
      </c>
      <c r="C19" s="317" t="str">
        <f>IF(N2="Spanish","Tiempo Programado",IF(N2="Portugese","Horas planejadas",IF(N2="French","Temps planifié","Planned Time")))</f>
        <v>Planned Time</v>
      </c>
      <c r="D19" s="318" t="str">
        <f>IF(N2="Spanish","Duración (min)",IF(N2="Portugese","Duração (min)",IF(N2="French","Durée (min)","Duration (min)")))</f>
        <v>Duration (min)</v>
      </c>
      <c r="E19" s="319" t="str">
        <f>IF(N2="Spanish","Excedido",IF(N2="Portugese","Excedente",IF(N2="French","Dépassement","Over-Run")))</f>
        <v>Over-Run</v>
      </c>
      <c r="F19" s="361" t="str">
        <f>IF(N2="Spanish","Producto",IF(N2="Portugese","Produto",IF(N2="French","Référence produit","Product")))</f>
        <v>Product</v>
      </c>
      <c r="G19" s="361"/>
      <c r="H19" s="415" t="str">
        <f>IF(N2="Spanish","Comentarios",IF(N2="Portugese","Comentários",IF(N2="French","Commentaires","Comments")))</f>
        <v>Comments</v>
      </c>
      <c r="I19" s="415"/>
      <c r="J19" s="415"/>
      <c r="K19" s="415"/>
      <c r="L19" s="415"/>
      <c r="M19" s="415"/>
      <c r="N19" s="415"/>
      <c r="O19" s="416"/>
      <c r="P19" s="36"/>
      <c r="R19" s="38"/>
    </row>
    <row r="20" spans="2:18" s="37" customFormat="1">
      <c r="B20" s="282" t="str">
        <f>'Transfer Sheet'!R3</f>
        <v>Breaks</v>
      </c>
      <c r="C20" s="288">
        <f>'Transfer Sheet'!S3</f>
        <v>30</v>
      </c>
      <c r="D20" s="289">
        <f>'Transfer Sheet'!T3</f>
        <v>30</v>
      </c>
      <c r="E20" s="105">
        <f>'Transfer Sheet'!U3</f>
        <v>0</v>
      </c>
      <c r="F20" s="452" t="str">
        <f>'Transfer Sheet'!V3</f>
        <v>EXALT BTLPET24X0.25L THA</v>
      </c>
      <c r="G20" s="453"/>
      <c r="H20" s="454" t="str">
        <f>'Transfer Sheet'!W3</f>
        <v/>
      </c>
      <c r="I20" s="455"/>
      <c r="J20" s="455"/>
      <c r="K20" s="455"/>
      <c r="L20" s="455"/>
      <c r="M20" s="455"/>
      <c r="N20" s="455"/>
      <c r="O20" s="456"/>
      <c r="P20" s="36"/>
      <c r="R20" s="38"/>
    </row>
    <row r="21" spans="2:18" s="37" customFormat="1">
      <c r="B21" s="282">
        <f>'Transfer Sheet'!X3</f>
        <v>0</v>
      </c>
      <c r="C21" s="288">
        <f>'Transfer Sheet'!Y3</f>
        <v>0</v>
      </c>
      <c r="D21" s="289">
        <f>'Transfer Sheet'!Z3</f>
        <v>0</v>
      </c>
      <c r="E21" s="89">
        <f>'Transfer Sheet'!AA3</f>
        <v>0</v>
      </c>
      <c r="F21" s="449">
        <f>'Transfer Sheet'!AB3</f>
        <v>0</v>
      </c>
      <c r="G21" s="450"/>
      <c r="H21" s="441" t="str">
        <f>'Transfer Sheet'!AC3</f>
        <v/>
      </c>
      <c r="I21" s="442"/>
      <c r="J21" s="442"/>
      <c r="K21" s="442"/>
      <c r="L21" s="442"/>
      <c r="M21" s="442"/>
      <c r="N21" s="442"/>
      <c r="O21" s="443"/>
      <c r="P21" s="36"/>
      <c r="R21" s="38"/>
    </row>
    <row r="22" spans="2:18" s="37" customFormat="1">
      <c r="B22" s="282">
        <f>'Transfer Sheet'!AD3</f>
        <v>0</v>
      </c>
      <c r="C22" s="288">
        <f>'Transfer Sheet'!AE3</f>
        <v>0</v>
      </c>
      <c r="D22" s="289">
        <f>'Transfer Sheet'!AF3</f>
        <v>0</v>
      </c>
      <c r="E22" s="89">
        <f>'Transfer Sheet'!AG3</f>
        <v>0</v>
      </c>
      <c r="F22" s="449">
        <f>'Transfer Sheet'!AH3</f>
        <v>0</v>
      </c>
      <c r="G22" s="450"/>
      <c r="H22" s="441" t="str">
        <f>'Transfer Sheet'!AI3</f>
        <v/>
      </c>
      <c r="I22" s="442"/>
      <c r="J22" s="442"/>
      <c r="K22" s="442"/>
      <c r="L22" s="442"/>
      <c r="M22" s="442"/>
      <c r="N22" s="442"/>
      <c r="O22" s="443"/>
      <c r="P22" s="36"/>
      <c r="R22" s="38"/>
    </row>
    <row r="23" spans="2:18" s="37" customFormat="1">
      <c r="B23" s="282">
        <f>'Transfer Sheet'!AJ3</f>
        <v>0</v>
      </c>
      <c r="C23" s="288">
        <f>'Transfer Sheet'!AK3</f>
        <v>0</v>
      </c>
      <c r="D23" s="288">
        <f>'Transfer Sheet'!AL3</f>
        <v>0</v>
      </c>
      <c r="E23" s="89">
        <f>'Transfer Sheet'!AM3</f>
        <v>0</v>
      </c>
      <c r="F23" s="449">
        <f>'Transfer Sheet'!AN3</f>
        <v>0</v>
      </c>
      <c r="G23" s="450"/>
      <c r="H23" s="441" t="str">
        <f>'Transfer Sheet'!AO3</f>
        <v/>
      </c>
      <c r="I23" s="442"/>
      <c r="J23" s="442"/>
      <c r="K23" s="442"/>
      <c r="L23" s="442"/>
      <c r="M23" s="442"/>
      <c r="N23" s="442"/>
      <c r="O23" s="443"/>
      <c r="P23" s="36"/>
      <c r="R23" s="38"/>
    </row>
    <row r="24" spans="2:18" s="37" customFormat="1">
      <c r="B24" s="282">
        <f>'Transfer Sheet'!AP3</f>
        <v>0</v>
      </c>
      <c r="C24" s="288">
        <f>'Transfer Sheet'!AQ3</f>
        <v>0</v>
      </c>
      <c r="D24" s="288">
        <f>'Transfer Sheet'!AR3</f>
        <v>0</v>
      </c>
      <c r="E24" s="89">
        <f>'Transfer Sheet'!AS3</f>
        <v>0</v>
      </c>
      <c r="F24" s="449">
        <f>'Transfer Sheet'!AT3</f>
        <v>0</v>
      </c>
      <c r="G24" s="450"/>
      <c r="H24" s="441" t="str">
        <f>'Transfer Sheet'!AU3</f>
        <v/>
      </c>
      <c r="I24" s="442"/>
      <c r="J24" s="442"/>
      <c r="K24" s="442"/>
      <c r="L24" s="442"/>
      <c r="M24" s="442"/>
      <c r="N24" s="442"/>
      <c r="O24" s="443"/>
      <c r="P24" s="36"/>
      <c r="R24" s="38"/>
    </row>
    <row r="25" spans="2:18" s="37" customFormat="1">
      <c r="B25" s="282">
        <f>'Transfer Sheet'!AV3</f>
        <v>0</v>
      </c>
      <c r="C25" s="288">
        <f>'Transfer Sheet'!AW3</f>
        <v>0</v>
      </c>
      <c r="D25" s="288">
        <f>'Transfer Sheet'!AX3</f>
        <v>0</v>
      </c>
      <c r="E25" s="89">
        <f>'Transfer Sheet'!AY3</f>
        <v>0</v>
      </c>
      <c r="F25" s="449">
        <f>'Transfer Sheet'!AZ3</f>
        <v>0</v>
      </c>
      <c r="G25" s="450"/>
      <c r="H25" s="441" t="str">
        <f>'Transfer Sheet'!BA3</f>
        <v/>
      </c>
      <c r="I25" s="442"/>
      <c r="J25" s="442"/>
      <c r="K25" s="442"/>
      <c r="L25" s="442"/>
      <c r="M25" s="442"/>
      <c r="N25" s="442"/>
      <c r="O25" s="443"/>
      <c r="P25" s="36"/>
      <c r="R25" s="38"/>
    </row>
    <row r="26" spans="2:18" s="37" customFormat="1">
      <c r="B26" s="282">
        <f>'Transfer Sheet'!BB3</f>
        <v>0</v>
      </c>
      <c r="C26" s="288">
        <f>'Transfer Sheet'!BC3</f>
        <v>0</v>
      </c>
      <c r="D26" s="288">
        <f>'Transfer Sheet'!BD3</f>
        <v>0</v>
      </c>
      <c r="E26" s="89">
        <f>'Transfer Sheet'!BE3</f>
        <v>0</v>
      </c>
      <c r="F26" s="451">
        <f>'Transfer Sheet'!BF3</f>
        <v>0</v>
      </c>
      <c r="G26" s="450"/>
      <c r="H26" s="441">
        <f>'Transfer Sheet'!BG3</f>
        <v>0</v>
      </c>
      <c r="I26" s="442"/>
      <c r="J26" s="442"/>
      <c r="K26" s="442"/>
      <c r="L26" s="442"/>
      <c r="M26" s="442"/>
      <c r="N26" s="442"/>
      <c r="O26" s="443"/>
      <c r="P26" s="36"/>
      <c r="R26" s="38"/>
    </row>
    <row r="27" spans="2:18" s="37" customFormat="1">
      <c r="B27" s="282">
        <f>'Transfer Sheet'!BH3</f>
        <v>0</v>
      </c>
      <c r="C27" s="288">
        <f>'Transfer Sheet'!BI3</f>
        <v>0</v>
      </c>
      <c r="D27" s="288">
        <f>'Transfer Sheet'!BJ3</f>
        <v>0</v>
      </c>
      <c r="E27" s="89">
        <f>'Transfer Sheet'!BK3</f>
        <v>0</v>
      </c>
      <c r="F27" s="451">
        <f>'Transfer Sheet'!BL3</f>
        <v>0</v>
      </c>
      <c r="G27" s="450"/>
      <c r="H27" s="441">
        <f>'Transfer Sheet'!BM3</f>
        <v>0</v>
      </c>
      <c r="I27" s="442"/>
      <c r="J27" s="442"/>
      <c r="K27" s="442"/>
      <c r="L27" s="442"/>
      <c r="M27" s="442"/>
      <c r="N27" s="442"/>
      <c r="O27" s="443"/>
      <c r="P27" s="36"/>
      <c r="R27" s="38"/>
    </row>
    <row r="28" spans="2:18" s="37" customFormat="1" ht="16.5" customHeight="1" thickBot="1">
      <c r="B28" s="290">
        <f>'Transfer Sheet'!BN3</f>
        <v>0</v>
      </c>
      <c r="C28" s="291">
        <f>'Transfer Sheet'!BO3</f>
        <v>0</v>
      </c>
      <c r="D28" s="291">
        <f>'Transfer Sheet'!BP3</f>
        <v>0</v>
      </c>
      <c r="E28" s="141" t="str">
        <f>'Transfer Sheet'!BQ3</f>
        <v/>
      </c>
      <c r="F28" s="444">
        <f>'Transfer Sheet'!BR3</f>
        <v>0</v>
      </c>
      <c r="G28" s="445"/>
      <c r="H28" s="446">
        <f>'Transfer Sheet'!BS3</f>
        <v>0</v>
      </c>
      <c r="I28" s="447"/>
      <c r="J28" s="447"/>
      <c r="K28" s="447"/>
      <c r="L28" s="447"/>
      <c r="M28" s="447"/>
      <c r="N28" s="447"/>
      <c r="O28" s="448"/>
      <c r="P28" s="36"/>
      <c r="R28" s="38"/>
    </row>
    <row r="29" spans="2:18" ht="15.75" customHeight="1">
      <c r="B29" s="328"/>
      <c r="C29" s="329"/>
      <c r="D29" s="329"/>
      <c r="E29" s="329"/>
      <c r="F29" s="327" t="str">
        <f>IF(N2="Spanish","Pérdidas por Disponibilidad",IF(N2="Portugese","Perdas de Disponibilidade",IF(N2="French","Arrets non planifiés (mn)","Unplanned Downtime")))</f>
        <v>Unplanned Downtime</v>
      </c>
      <c r="G29" s="327"/>
      <c r="H29" s="143"/>
      <c r="I29" s="143"/>
      <c r="J29" s="143"/>
      <c r="K29" s="143"/>
      <c r="L29" s="143"/>
      <c r="M29" s="143"/>
      <c r="N29" s="143"/>
      <c r="O29" s="214"/>
    </row>
    <row r="30" spans="2:18" ht="15.75" customHeight="1">
      <c r="B30" s="323"/>
      <c r="C30" s="322"/>
      <c r="D30" s="330" t="str">
        <f>IF(N2="Spanish",IF(OR(AND(B32&lt;&gt;"",G32=""),AND(B33&lt;&gt;"",G33=""),AND(B34&lt;&gt;"",G34=""),AND(B35&lt;&gt;"",G35=""),AND(B36&lt;&gt;"",G36=""),AND(B37&lt;&gt;"",G37=""),AND(B38&lt;&gt;"",G38=""),AND(B39&lt;&gt;"",G39=""),AND(B40&lt;&gt;"",G40=""),AND(B41&lt;&gt;"",G41=""),AND(B42&lt;&gt;"",G42=""),AND(B43&lt;&gt;"",G43="")),"PRODUCTO DEBE SER SELECCIONADO PARA CADA EVENTO PARADAS IMPREVISTAS",""),IF(N2="Portugese",IF(OR(AND(B32&lt;&gt;"",G32=""),AND(B33&lt;&gt;"",G33=""),AND(B34&lt;&gt;"",G34=""),AND(B35&lt;&gt;"",G35=""),AND(B36&lt;&gt;"",G36=""),AND(B37&lt;&gt;"",G37=""),AND(B38&lt;&gt;"",G38=""),AND(B39&lt;&gt;"",G39=""),AND(B40&lt;&gt;"",G40=""),AND(B41&lt;&gt;"",G41=""),AND(B42&lt;&gt;"",G42=""),AND(B43&lt;&gt;"",G43="")),"O PRODUTO DEVE SER SELECIONADO PARA CADA PARADA NÃO PLANEJADA.",""),IF(N2="French",IF(OR(AND(B32&lt;&gt;"",G32=""),AND(B33&lt;&gt;"",G33=""),AND(B34&lt;&gt;"",G34=""),AND(B35&lt;&gt;"",G35=""),AND(B36&lt;&gt;"",G36=""),AND(B37&lt;&gt;"",G37=""),AND(B38&lt;&gt;"",G38=""),AND(B39&lt;&gt;"",G39=""),AND(B40&lt;&gt;"",G40=""),AND(B41&lt;&gt;"",G41=""),AND(B42&lt;&gt;"",G42=""),AND(B43&lt;&gt;"",G43="")),"UN ORDRE DE FABRICATION DOIT ETRE SELECTIONNE POUR CHAQUE ARRET NON PLANIFIE.",""),IF(OR(AND(B32&lt;&gt;"",G32=""),AND(B33&lt;&gt;"",G33=""),AND(B34&lt;&gt;"",G34=""),AND(B35&lt;&gt;"",G35=""),AND(B36&lt;&gt;"",G36=""),AND(B37&lt;&gt;"",G37=""),AND(B38&lt;&gt;"",G38=""),AND(B39&lt;&gt;"",G39=""),AND(B40&lt;&gt;"",G40=""),AND(B41&lt;&gt;"",G41=""),AND(B42&lt;&gt;"",G42=""),AND(B43&lt;&gt;"",G43="")),"PRODUCT MUST BE SELECTED FOR EACH UNPLANNED DOWNTIME EVENT.",""))))</f>
        <v/>
      </c>
      <c r="E30" s="330"/>
      <c r="F30" s="330"/>
      <c r="G30" s="330"/>
      <c r="H30" s="330"/>
      <c r="I30" s="330"/>
      <c r="J30" s="147"/>
      <c r="K30" s="147"/>
      <c r="L30" s="147"/>
      <c r="M30" s="147"/>
      <c r="N30" s="147"/>
      <c r="O30" s="217"/>
    </row>
    <row r="31" spans="2:18" ht="15.75" customHeight="1">
      <c r="B31" s="110" t="str">
        <f>IF(N2="Spanish","Razón de Tiempo Muerto No Planeado",IF(N2="Portugese","Razão de tempo parado",IF(N2="French","Cause (apparente) de l'arret non planifié","Reason for Unplanned Downtime")))</f>
        <v>Reason for Unplanned Downtime</v>
      </c>
      <c r="C31" s="318" t="str">
        <f>IF(N2="Spanish","Duración (min)",IF(N2="Portugese","Duração (min)",IF(N2="French","Durée (min)","Duration (min)")))</f>
        <v>Duration (min)</v>
      </c>
      <c r="D31" s="361" t="str">
        <f>IF(N2="Spanish","Descripción Detallada",IF(N2="Portugese","Descrição Detalhada",IF(N2="French","Desciption détaillée","Detailed Description")))</f>
        <v>Detailed Description</v>
      </c>
      <c r="E31" s="361"/>
      <c r="F31" s="361"/>
      <c r="G31" s="361" t="str">
        <f>IF(N2="Spanish","Producto",IF(N2="Portugese","Produto",IF(N2="French","Référence produit","Product")))</f>
        <v>Product</v>
      </c>
      <c r="H31" s="361"/>
      <c r="I31" s="361" t="str">
        <f>IF(N2="Spanish","Comentarios (indicar si el tiempo muerto afectó varios turnos)",IF(N2="Portugese","Comentários (indicar se parada durou mais que um turno)",IF(N2="French","Commentaires (indiquer si l'arret a duré plusieurs équipes)","Comments (indicate if downtime spans multiple shifts)")))</f>
        <v>Comments (indicate if downtime spans multiple shifts)</v>
      </c>
      <c r="J31" s="361"/>
      <c r="K31" s="361"/>
      <c r="L31" s="361"/>
      <c r="M31" s="361"/>
      <c r="N31" s="361"/>
      <c r="O31" s="431"/>
    </row>
    <row r="32" spans="2:18" s="37" customFormat="1" ht="17.25" customHeight="1">
      <c r="B32" s="296" t="str">
        <f>'Transfer Sheet'!CR3</f>
        <v>Bottle_Printer_(Equipment)</v>
      </c>
      <c r="C32" s="292">
        <f>'Transfer Sheet'!CS3</f>
        <v>90</v>
      </c>
      <c r="D32" s="438" t="str">
        <f>'Transfer Sheet'!CT3</f>
        <v>Sensor Failure</v>
      </c>
      <c r="E32" s="439"/>
      <c r="F32" s="439"/>
      <c r="G32" s="440" t="str">
        <f>'Transfer Sheet'!CU3</f>
        <v>EXALT BTLPET24X0.25L THA</v>
      </c>
      <c r="H32" s="440"/>
      <c r="I32" s="441" t="str">
        <f>'Transfer Sheet'!CV3</f>
        <v>re-setting inkjetprint</v>
      </c>
      <c r="J32" s="442"/>
      <c r="K32" s="442"/>
      <c r="L32" s="442"/>
      <c r="M32" s="442"/>
      <c r="N32" s="442"/>
      <c r="O32" s="443"/>
      <c r="P32" s="41">
        <f t="shared" ref="P32:Q42" si="0">IF(C32&gt;$H$5,$C$5+C32,$C$5+1+C32)</f>
        <v>44386</v>
      </c>
      <c r="Q32" s="41" t="e">
        <f t="shared" si="0"/>
        <v>#VALUE!</v>
      </c>
      <c r="R32" s="38"/>
    </row>
    <row r="33" spans="2:19" s="37" customFormat="1" ht="17.25" customHeight="1">
      <c r="B33" s="296" t="str">
        <f>'Transfer Sheet'!CW3</f>
        <v>Bottle_Labeler_(Other)</v>
      </c>
      <c r="C33" s="292">
        <f>'Transfer Sheet'!CX3</f>
        <v>30</v>
      </c>
      <c r="D33" s="438" t="str">
        <f>'Transfer Sheet'!CY3</f>
        <v>Number Batch Unstable</v>
      </c>
      <c r="E33" s="439"/>
      <c r="F33" s="439"/>
      <c r="G33" s="440" t="str">
        <f>'Transfer Sheet'!CZ3</f>
        <v>EXALT BTLPET24X0.25L THA</v>
      </c>
      <c r="H33" s="440"/>
      <c r="I33" s="441" t="str">
        <f>'Transfer Sheet'!DA3</f>
        <v>setting label machine</v>
      </c>
      <c r="J33" s="442"/>
      <c r="K33" s="442"/>
      <c r="L33" s="442"/>
      <c r="M33" s="442"/>
      <c r="N33" s="442"/>
      <c r="O33" s="443"/>
      <c r="P33" s="41">
        <f t="shared" si="0"/>
        <v>44326</v>
      </c>
      <c r="Q33" s="41" t="e">
        <f t="shared" si="0"/>
        <v>#VALUE!</v>
      </c>
      <c r="R33" s="38"/>
    </row>
    <row r="34" spans="2:19" s="37" customFormat="1" ht="17.25" customHeight="1">
      <c r="B34" s="296" t="str">
        <f>'Transfer Sheet'!DB3</f>
        <v>Other_(Operating_Discipline)</v>
      </c>
      <c r="C34" s="292">
        <f>'Transfer Sheet'!DC3</f>
        <v>15</v>
      </c>
      <c r="D34" s="438" t="str">
        <f>'Transfer Sheet'!DD3</f>
        <v>Drain Tank ME-503</v>
      </c>
      <c r="E34" s="439"/>
      <c r="F34" s="439"/>
      <c r="G34" s="440" t="str">
        <f>'Transfer Sheet'!DE3</f>
        <v>EXALT BTLPET24X0.25L THA</v>
      </c>
      <c r="H34" s="440"/>
      <c r="I34" s="441">
        <f>'Transfer Sheet'!DF3</f>
        <v>0</v>
      </c>
      <c r="J34" s="442"/>
      <c r="K34" s="442"/>
      <c r="L34" s="442"/>
      <c r="M34" s="442"/>
      <c r="N34" s="442"/>
      <c r="O34" s="443"/>
      <c r="P34" s="41">
        <f t="shared" si="0"/>
        <v>44311</v>
      </c>
      <c r="Q34" s="41" t="e">
        <f t="shared" si="0"/>
        <v>#VALUE!</v>
      </c>
      <c r="R34" s="38"/>
    </row>
    <row r="35" spans="2:19" s="37" customFormat="1" ht="17.25" customHeight="1">
      <c r="B35" s="296" t="str">
        <f>'Transfer Sheet'!DG3</f>
        <v>Other_(Operating_Discipline)</v>
      </c>
      <c r="C35" s="292">
        <f>'Transfer Sheet'!DH3</f>
        <v>75</v>
      </c>
      <c r="D35" s="438" t="str">
        <f>'Transfer Sheet'!DI3</f>
        <v>Washing Tank ME-503</v>
      </c>
      <c r="E35" s="439"/>
      <c r="F35" s="439"/>
      <c r="G35" s="440" t="str">
        <f>'Transfer Sheet'!DJ3</f>
        <v>EXALT BTLPET24X0.25L THA</v>
      </c>
      <c r="H35" s="440"/>
      <c r="I35" s="441">
        <f>'Transfer Sheet'!DK3</f>
        <v>0</v>
      </c>
      <c r="J35" s="442"/>
      <c r="K35" s="442"/>
      <c r="L35" s="442"/>
      <c r="M35" s="442"/>
      <c r="N35" s="442"/>
      <c r="O35" s="443"/>
      <c r="P35" s="41">
        <f t="shared" si="0"/>
        <v>44371</v>
      </c>
      <c r="Q35" s="41" t="e">
        <f t="shared" si="0"/>
        <v>#VALUE!</v>
      </c>
      <c r="R35" s="42"/>
    </row>
    <row r="36" spans="2:19" s="37" customFormat="1" ht="17.25" customHeight="1">
      <c r="B36" s="296">
        <f>'Transfer Sheet'!DL3</f>
        <v>0</v>
      </c>
      <c r="C36" s="292">
        <f>'Transfer Sheet'!DM3</f>
        <v>0</v>
      </c>
      <c r="D36" s="438">
        <f>'Transfer Sheet'!DN3</f>
        <v>0</v>
      </c>
      <c r="E36" s="439"/>
      <c r="F36" s="439"/>
      <c r="G36" s="440">
        <f>'Transfer Sheet'!DO3</f>
        <v>0</v>
      </c>
      <c r="H36" s="440"/>
      <c r="I36" s="441">
        <f>'Transfer Sheet'!DP3</f>
        <v>0</v>
      </c>
      <c r="J36" s="442"/>
      <c r="K36" s="442"/>
      <c r="L36" s="442"/>
      <c r="M36" s="442"/>
      <c r="N36" s="442"/>
      <c r="O36" s="443"/>
      <c r="P36" s="41">
        <f t="shared" si="0"/>
        <v>44297</v>
      </c>
      <c r="Q36" s="41">
        <f t="shared" si="0"/>
        <v>44297</v>
      </c>
      <c r="R36" s="42"/>
    </row>
    <row r="37" spans="2:19" s="37" customFormat="1" ht="17.25" customHeight="1">
      <c r="B37" s="296">
        <f>'Transfer Sheet'!DQ3</f>
        <v>0</v>
      </c>
      <c r="C37" s="292">
        <f>'Transfer Sheet'!DR3</f>
        <v>0</v>
      </c>
      <c r="D37" s="438">
        <f>'Transfer Sheet'!DS3</f>
        <v>0</v>
      </c>
      <c r="E37" s="439"/>
      <c r="F37" s="439"/>
      <c r="G37" s="440">
        <f>'Transfer Sheet'!DT3</f>
        <v>0</v>
      </c>
      <c r="H37" s="440"/>
      <c r="I37" s="441">
        <f>'Transfer Sheet'!DU3</f>
        <v>0</v>
      </c>
      <c r="J37" s="442"/>
      <c r="K37" s="442"/>
      <c r="L37" s="442"/>
      <c r="M37" s="442"/>
      <c r="N37" s="442"/>
      <c r="O37" s="443"/>
      <c r="P37" s="41">
        <f t="shared" si="0"/>
        <v>44297</v>
      </c>
      <c r="Q37" s="41">
        <f t="shared" si="0"/>
        <v>44297</v>
      </c>
      <c r="R37" s="42"/>
    </row>
    <row r="38" spans="2:19" s="37" customFormat="1" ht="17.25" customHeight="1">
      <c r="B38" s="296">
        <f>'Transfer Sheet'!DV3</f>
        <v>0</v>
      </c>
      <c r="C38" s="292">
        <f>'Transfer Sheet'!DW3</f>
        <v>0</v>
      </c>
      <c r="D38" s="438">
        <f>'Transfer Sheet'!DX3</f>
        <v>0</v>
      </c>
      <c r="E38" s="439"/>
      <c r="F38" s="439"/>
      <c r="G38" s="440">
        <f>'Transfer Sheet'!DY3</f>
        <v>0</v>
      </c>
      <c r="H38" s="440"/>
      <c r="I38" s="441">
        <f>'Transfer Sheet'!DZ3</f>
        <v>0</v>
      </c>
      <c r="J38" s="442"/>
      <c r="K38" s="442"/>
      <c r="L38" s="442"/>
      <c r="M38" s="442"/>
      <c r="N38" s="442"/>
      <c r="O38" s="443"/>
      <c r="P38" s="41">
        <f t="shared" si="0"/>
        <v>44297</v>
      </c>
      <c r="Q38" s="41">
        <f t="shared" si="0"/>
        <v>44297</v>
      </c>
      <c r="R38" s="42"/>
    </row>
    <row r="39" spans="2:19" s="37" customFormat="1" ht="17.25" customHeight="1">
      <c r="B39" s="296">
        <f>'Transfer Sheet'!EA3</f>
        <v>0</v>
      </c>
      <c r="C39" s="292">
        <f>'Transfer Sheet'!EB3</f>
        <v>0</v>
      </c>
      <c r="D39" s="438">
        <f>'Transfer Sheet'!EC3</f>
        <v>0</v>
      </c>
      <c r="E39" s="439"/>
      <c r="F39" s="439"/>
      <c r="G39" s="440">
        <f>'Transfer Sheet'!ED3</f>
        <v>0</v>
      </c>
      <c r="H39" s="440"/>
      <c r="I39" s="441">
        <f>'Transfer Sheet'!EE3</f>
        <v>0</v>
      </c>
      <c r="J39" s="442"/>
      <c r="K39" s="442"/>
      <c r="L39" s="442"/>
      <c r="M39" s="442"/>
      <c r="N39" s="442"/>
      <c r="O39" s="443"/>
      <c r="P39" s="41">
        <f t="shared" si="0"/>
        <v>44297</v>
      </c>
      <c r="Q39" s="41"/>
      <c r="R39" s="42"/>
    </row>
    <row r="40" spans="2:19" s="37" customFormat="1" ht="17.25" customHeight="1">
      <c r="B40" s="296">
        <f>'Transfer Sheet'!EF3</f>
        <v>0</v>
      </c>
      <c r="C40" s="292">
        <f>'Transfer Sheet'!EG3</f>
        <v>0</v>
      </c>
      <c r="D40" s="438">
        <f>'Transfer Sheet'!EH3</f>
        <v>0</v>
      </c>
      <c r="E40" s="439"/>
      <c r="F40" s="439"/>
      <c r="G40" s="440">
        <f>'Transfer Sheet'!EI3</f>
        <v>0</v>
      </c>
      <c r="H40" s="440"/>
      <c r="I40" s="441">
        <f>'Transfer Sheet'!EJ3</f>
        <v>0</v>
      </c>
      <c r="J40" s="442"/>
      <c r="K40" s="442"/>
      <c r="L40" s="442"/>
      <c r="M40" s="442"/>
      <c r="N40" s="442"/>
      <c r="O40" s="443"/>
      <c r="P40" s="41">
        <f t="shared" si="0"/>
        <v>44297</v>
      </c>
      <c r="Q40" s="41"/>
      <c r="R40" s="42"/>
    </row>
    <row r="41" spans="2:19" s="37" customFormat="1" ht="17.25" customHeight="1">
      <c r="B41" s="296">
        <f>'Transfer Sheet'!EK3</f>
        <v>0</v>
      </c>
      <c r="C41" s="292">
        <f>'Transfer Sheet'!EL3</f>
        <v>0</v>
      </c>
      <c r="D41" s="438">
        <f>'Transfer Sheet'!EM3</f>
        <v>0</v>
      </c>
      <c r="E41" s="439"/>
      <c r="F41" s="439"/>
      <c r="G41" s="440">
        <f>'Transfer Sheet'!EN3</f>
        <v>0</v>
      </c>
      <c r="H41" s="440"/>
      <c r="I41" s="441">
        <f>'Transfer Sheet'!EO3</f>
        <v>0</v>
      </c>
      <c r="J41" s="442"/>
      <c r="K41" s="442"/>
      <c r="L41" s="442"/>
      <c r="M41" s="442"/>
      <c r="N41" s="442"/>
      <c r="O41" s="443"/>
      <c r="P41" s="41">
        <f t="shared" si="0"/>
        <v>44297</v>
      </c>
      <c r="Q41" s="41"/>
      <c r="R41" s="42"/>
      <c r="S41" s="241" t="b">
        <f>OR(D51="")</f>
        <v>0</v>
      </c>
    </row>
    <row r="42" spans="2:19" s="37" customFormat="1" ht="17.25" customHeight="1">
      <c r="B42" s="296">
        <f>'Transfer Sheet'!EP3</f>
        <v>0</v>
      </c>
      <c r="C42" s="292">
        <f>'Transfer Sheet'!EQ3</f>
        <v>0</v>
      </c>
      <c r="D42" s="438">
        <f>'Transfer Sheet'!ER3</f>
        <v>0</v>
      </c>
      <c r="E42" s="439"/>
      <c r="F42" s="439"/>
      <c r="G42" s="440">
        <f>'Transfer Sheet'!ES3</f>
        <v>0</v>
      </c>
      <c r="H42" s="440"/>
      <c r="I42" s="441">
        <f>'Transfer Sheet'!ET3</f>
        <v>0</v>
      </c>
      <c r="J42" s="442"/>
      <c r="K42" s="442"/>
      <c r="L42" s="442"/>
      <c r="M42" s="442"/>
      <c r="N42" s="442"/>
      <c r="O42" s="443"/>
      <c r="P42" s="41">
        <f t="shared" si="0"/>
        <v>44297</v>
      </c>
      <c r="Q42" s="41"/>
      <c r="R42" s="42"/>
    </row>
    <row r="43" spans="2:19" s="37" customFormat="1" ht="17.25" customHeight="1">
      <c r="B43" s="296">
        <f>'Transfer Sheet'!EU3</f>
        <v>0</v>
      </c>
      <c r="C43" s="293">
        <f>'Transfer Sheet'!EV3</f>
        <v>0</v>
      </c>
      <c r="D43" s="438">
        <f>'Transfer Sheet'!EW3</f>
        <v>0</v>
      </c>
      <c r="E43" s="439"/>
      <c r="F43" s="439"/>
      <c r="G43" s="440">
        <f>'Transfer Sheet'!EX3</f>
        <v>0</v>
      </c>
      <c r="H43" s="440"/>
      <c r="I43" s="441">
        <f>'Transfer Sheet'!EY3</f>
        <v>0</v>
      </c>
      <c r="J43" s="442"/>
      <c r="K43" s="442"/>
      <c r="L43" s="442"/>
      <c r="M43" s="442"/>
      <c r="N43" s="442"/>
      <c r="O43" s="443"/>
      <c r="P43" s="41">
        <f>IF(C43&gt;$H$5,$C$5+C43,$C$5+1+C43)</f>
        <v>44297</v>
      </c>
      <c r="Q43" s="41">
        <f>IF(D43&gt;$H$5,$C$5+D43,$C$5+1+D43)</f>
        <v>44297</v>
      </c>
      <c r="R43" s="38"/>
    </row>
    <row r="44" spans="2:19" s="37" customFormat="1" ht="15.75" customHeight="1">
      <c r="B44" s="112" t="str">
        <f>IF(N2="Spanish","Total Tiempo de Producción Programado:",IF(N2="Portugese","Tempo total de produção planejada:",IF(N2="French","Durée totale de la production planifiée:","Total Planned Production Time:")))</f>
        <v>Total Planned Production Time:</v>
      </c>
      <c r="C44" s="98">
        <f>'Transfer Sheet'!K3</f>
        <v>450</v>
      </c>
      <c r="D44" s="395" t="str">
        <f>IF(C46&lt;0,"ERROR - TOTAL UNPLANNED DOWNTIME MUST BE LESS THAN THE TOTAL PLANNED PRODUCTION TIME","")</f>
        <v/>
      </c>
      <c r="E44" s="396"/>
      <c r="F44" s="396"/>
      <c r="G44" s="396"/>
      <c r="H44" s="396"/>
      <c r="I44" s="396"/>
      <c r="J44" s="396"/>
      <c r="K44" s="396"/>
      <c r="L44" s="162"/>
      <c r="M44" s="97"/>
      <c r="N44" s="97"/>
      <c r="O44" s="220"/>
      <c r="P44" s="41"/>
      <c r="Q44" s="41"/>
      <c r="R44" s="38"/>
    </row>
    <row r="45" spans="2:19" s="37" customFormat="1" ht="15.75" customHeight="1">
      <c r="B45" s="112" t="str">
        <f>IF(N2="Spanish","Total Tiempo Muerto No Planeado:",IF(N2="Portugese","Tempo total de parada não-planejada:",IF(N2="French","Durée total des arrets non planifiés:","Total Unplanned Downtime:")))</f>
        <v>Total Unplanned Downtime:</v>
      </c>
      <c r="C45" s="98">
        <f>'Transfer Sheet'!L3</f>
        <v>210</v>
      </c>
      <c r="D45" s="99"/>
      <c r="E45" s="163"/>
      <c r="F45" s="100"/>
      <c r="G45" s="100"/>
      <c r="H45" s="100"/>
      <c r="I45" s="100"/>
      <c r="J45" s="100"/>
      <c r="K45" s="100"/>
      <c r="L45" s="100"/>
      <c r="M45" s="100"/>
      <c r="N45" s="100"/>
      <c r="O45" s="221"/>
      <c r="P45" s="36"/>
      <c r="R45" s="38"/>
    </row>
    <row r="46" spans="2:19" s="37" customFormat="1" ht="15.75" customHeight="1">
      <c r="B46" s="114" t="str">
        <f>IF(N2="Spanish","Total Tiempo Operativo:",IF(N2="Portugese","Tempo total em operação:",IF(N2="French","Temps total d'opération:","Total Operating Time:")))</f>
        <v>Total Operating Time:</v>
      </c>
      <c r="C46" s="101">
        <f>'Transfer Sheet'!M3</f>
        <v>240</v>
      </c>
      <c r="D46" s="99"/>
      <c r="E46" s="100"/>
      <c r="F46" s="100"/>
      <c r="G46" s="100"/>
      <c r="H46" s="100"/>
      <c r="I46" s="100"/>
      <c r="J46" s="100"/>
      <c r="K46" s="100"/>
      <c r="L46" s="100"/>
      <c r="M46" s="100"/>
      <c r="N46" s="100"/>
      <c r="O46" s="221"/>
      <c r="P46" s="36"/>
      <c r="R46" s="38"/>
    </row>
    <row r="47" spans="2:19" s="37" customFormat="1" ht="23.5" thickBot="1">
      <c r="B47" s="222" t="str">
        <f>IF(N2="Spanish","Disponibilidad:",IF(N2="Portugese","Disponibilidade:",IF(N2="French","Disponibilité:","Availability:")))</f>
        <v>Availability:</v>
      </c>
      <c r="C47" s="83">
        <f>'Transfer Sheet'!C3</f>
        <v>0.53333333333333333</v>
      </c>
      <c r="D47" s="426" t="str">
        <f>IF(N2="Spanish","= Tiempo Operativo / Tiempo de Producción Programado",IF(N2="Portugese","= Tempo em operação / Tempo de produção planejado",IF(N2="French","= Temps d'opération / Temps de production planifiée","= Operating Time / Planned Production Time")))</f>
        <v>= Operating Time / Planned Production Time</v>
      </c>
      <c r="E47" s="427"/>
      <c r="F47" s="427"/>
      <c r="G47" s="427"/>
      <c r="H47" s="427"/>
      <c r="I47" s="427"/>
      <c r="J47" s="427"/>
      <c r="K47" s="427"/>
      <c r="L47" s="427"/>
      <c r="M47" s="427"/>
      <c r="N47" s="427"/>
      <c r="O47" s="428"/>
      <c r="P47" s="36"/>
      <c r="R47" s="38"/>
    </row>
    <row r="48" spans="2:19" ht="15.75" customHeight="1">
      <c r="B48" s="424" t="str">
        <f>IF(N2="Spanish",IF(OR(AND(B50&lt;&gt;"",D50=""),AND(B51&lt;&gt;"",OR(C51="",D51="")),AND(B52&lt;&gt;"",OR(C52="",D52="")),AND(B55&lt;&gt;"",OR(C55="",D55=""))),"INICIO Y FINAL DEBEN SER INTRODUCIDOS PARA CADA EJECUCION PRODUCTO",""),IF(N2="Portugese",IF(OR(AND(B50&lt;&gt;"",D50=""),AND(B51&lt;&gt;"",OR(C51="",D51="")),AND(B52&lt;&gt;"",OR(C52="",D52="")),AND(B55&lt;&gt;"",OR(C55="",D55=""))),"HORA DE INICIO E FINAL DEVEM SER INSERIDAS POR PRODUTO.",""),IF(N2="French",IF(OR(AND(B50&lt;&gt;"",D50=""),AND(B51&lt;&gt;"",OR(C51="",D51="")),AND(B52&lt;&gt;"",OR(C52="",D52="")),AND(B55&lt;&gt;"",OR(C55="",D55=""))),"L 'HEURE DE DEBUT ET FIN DE CHAQUE ORDRE DE FABRICATION DOIT ETRE SAISI.",""),IF(OR(AND(B50&lt;&gt;"",D50=""),AND(B51&lt;&gt;"",OR(C51="",D51="")),AND(B52&lt;&gt;"",OR(C52="",D52="")),AND(B55&lt;&gt;"",OR(C55="",D55=""))),"START AND STOP TIME MUST BE ENTERED FOR EACH PRODUCT RUN.",""))))</f>
        <v/>
      </c>
      <c r="C48" s="425"/>
      <c r="D48" s="425"/>
      <c r="E48" s="327" t="str">
        <f>IF(N2="Spanish","Pérdidas por Rapidez (Desempeño)",IF(N2="Portugese","Perdas de Velocidade (Execução)",IF(N2="French","Perte de cadence ( performance )(mn)","Speed Losses (Performance)")))</f>
        <v>Speed Losses (Performance)</v>
      </c>
      <c r="F48" s="327"/>
      <c r="G48" s="327"/>
      <c r="H48" s="327"/>
      <c r="I48" s="390" t="str">
        <f>IF(N2="Spanish",IF(OR(AND(B50&lt;&gt;"",G50=""),AND(B51&lt;&gt;"",G51=""),AND(B52&lt;&gt;"",G52=""),AND(B55&lt;&gt;"",G55="")),"CASOS RUN SE DEBE INTRODUCIR PARA CADA PRODUCTO",""),IF(N2="Portugese",IF(OR(AND(B50&lt;&gt;"",G50=""),AND(B51&lt;&gt;"",G51=""),AND(B52&lt;&gt;"",G52=""),AND(B55&lt;&gt;"",G55="")),"EMBALAGENS FEITAS DEVEM SER INSERIDAS POR PRODUTO.",""),IF(N2="French",IF(OR(AND(B50&lt;&gt;"",G50=""),AND(B51&lt;&gt;"",G51=""),AND(B52&lt;&gt;"",G52=""),AND(B55&lt;&gt;"",G55="")),"LE NOMBRE DE CAISSES PRODUITES DOIT ETRE ENTRE POUR CHAQUE ORDRE DE FABRICATION.",""),IF(OR(AND(B50&lt;&gt;"",G50=""),AND(B51&lt;&gt;"",G51=""),AND(B52&lt;&gt;"",G52=""),AND(B55&lt;&gt;"",G55="")),"CASES RUN MUST BE ENTERED FOR EACH PRODUCT.",""))))</f>
        <v/>
      </c>
      <c r="J48" s="390"/>
      <c r="K48" s="390"/>
      <c r="L48" s="390"/>
      <c r="M48" s="390"/>
      <c r="N48" s="390"/>
      <c r="O48" s="391"/>
      <c r="P48" s="154"/>
    </row>
    <row r="49" spans="1:19" ht="40.5" customHeight="1" thickBot="1">
      <c r="B49" s="223" t="str">
        <f>IF(N2="Spanish","Producto",IF(N2="Portugese","Produto",IF(N2="French","Référence Produit","Product")))</f>
        <v>Product</v>
      </c>
      <c r="C49" s="316" t="str">
        <f>IF(N2="Spanish","Hora Inicio",IF(N2="Portugese","Hora de Início",IF(N2="French","Heure de début","Start Time")))</f>
        <v>Start Time</v>
      </c>
      <c r="D49" s="318" t="str">
        <f>IF(N2="Spanish","Hora Fin",IF(N2="Portugese","Hora de para",IF(N2="French","Heure de fin","Stop Time")))</f>
        <v>Stop Time</v>
      </c>
      <c r="E49" s="316" t="str">
        <f>IF(N2="Spanish","Pérdidas por Disponibilidad (min)",IF(N2="Portugese","Perdas de Disponibilidade (min)",IF(N2="French","Perte de disponibilté (min)","Avail losses (min)")))</f>
        <v>Avail losses (min)</v>
      </c>
      <c r="F49" s="316" t="str">
        <f>IF(N2="Spanish","Tiempo Muerto No Planeado (min)",IF(N2="Portugese","Tempo Parada Planejada (min)",IF(N2="French","Arrets planifiés (min)","Planned Downtime (min)")))</f>
        <v>Planned Downtime (min)</v>
      </c>
      <c r="G49" s="316" t="str">
        <f>IF(N2="Spanish","Cajas Empacadas",IF(N2="Portugese","Número de caixas montadas",IF(N2="French","Nombre de caisses produites","Cases Run")))</f>
        <v>Cases Run</v>
      </c>
      <c r="H49" s="316" t="str">
        <f>IF(N2="Spanish","Tiempo de Funcionamiento",IF(N2="Portugese","Tempo Operacional",IF(N2="French","Temps de Fonctionnement","Operating Time")))</f>
        <v>Operating Time</v>
      </c>
      <c r="I49" s="316" t="str">
        <f>IF(N2="Spanish","Tiempo de Funcionamiento Neto",IF(N2="Portugese","Tempo de operação líquido",IF(N2="French","Temps de Fonctionnement Net","Net Operating Time")))</f>
        <v>Net Operating Time</v>
      </c>
      <c r="J49" s="386" t="str">
        <f>IF(N2="Spanish","Comentarios",IF(N2="Portugese","Comentários",IF(N2="French","Commentaires","Comments")))</f>
        <v>Comments</v>
      </c>
      <c r="K49" s="386"/>
      <c r="L49" s="386"/>
      <c r="M49" s="386"/>
      <c r="N49" s="386"/>
      <c r="O49" s="387"/>
      <c r="P49" s="43"/>
    </row>
    <row r="50" spans="1:19" ht="16.5" customHeight="1">
      <c r="B50" s="297" t="str">
        <f>'Transfer Sheet'!EZ3</f>
        <v>EXALT BTLPET24X0.25L THA</v>
      </c>
      <c r="C50" s="311">
        <f>'Transfer Sheet'!FA3</f>
        <v>0.33333333333333331</v>
      </c>
      <c r="D50" s="312">
        <f>'Transfer Sheet'!FB3</f>
        <v>0.66666666666666663</v>
      </c>
      <c r="E50" s="298">
        <f>'Transfer Sheet'!FC3</f>
        <v>210</v>
      </c>
      <c r="F50" s="298">
        <f>'Transfer Sheet'!FD3</f>
        <v>30</v>
      </c>
      <c r="G50" s="299">
        <f>'Transfer Sheet'!FE3</f>
        <v>264</v>
      </c>
      <c r="H50" s="298">
        <f>'Transfer Sheet'!FF3</f>
        <v>240</v>
      </c>
      <c r="I50" s="298">
        <f>'Transfer Sheet'!FG3</f>
        <v>63.36</v>
      </c>
      <c r="J50" s="433">
        <f>'Transfer Sheet'!FH3</f>
        <v>0</v>
      </c>
      <c r="K50" s="433"/>
      <c r="L50" s="433"/>
      <c r="M50" s="433"/>
      <c r="N50" s="433"/>
      <c r="O50" s="434"/>
      <c r="S50" s="164"/>
    </row>
    <row r="51" spans="1:19" ht="16.5" customHeight="1">
      <c r="B51" s="300" t="str">
        <f>'Transfer Sheet'!FI3</f>
        <v/>
      </c>
      <c r="C51" s="311">
        <f>'Transfer Sheet'!FJ3</f>
        <v>0</v>
      </c>
      <c r="D51" s="312">
        <f>'Transfer Sheet'!FK3</f>
        <v>0</v>
      </c>
      <c r="E51" s="298">
        <f>'Transfer Sheet'!FL3</f>
        <v>0</v>
      </c>
      <c r="F51" s="298">
        <f>'Transfer Sheet'!FM3</f>
        <v>0</v>
      </c>
      <c r="G51" s="299">
        <f>'Transfer Sheet'!FN3</f>
        <v>0</v>
      </c>
      <c r="H51" s="298" t="str">
        <f>'Transfer Sheet'!FO3</f>
        <v/>
      </c>
      <c r="I51" s="298">
        <f>'Transfer Sheet'!FP3</f>
        <v>0</v>
      </c>
      <c r="J51" s="435">
        <f>'Transfer Sheet'!FQ3</f>
        <v>0</v>
      </c>
      <c r="K51" s="436"/>
      <c r="L51" s="436"/>
      <c r="M51" s="436"/>
      <c r="N51" s="436"/>
      <c r="O51" s="437"/>
      <c r="Q51" s="33"/>
      <c r="S51" s="78"/>
    </row>
    <row r="52" spans="1:19" ht="16.5" customHeight="1">
      <c r="B52" s="300" t="str">
        <f>'Transfer Sheet'!FR3</f>
        <v/>
      </c>
      <c r="C52" s="311">
        <f>'Transfer Sheet'!FS3</f>
        <v>0</v>
      </c>
      <c r="D52" s="312">
        <f>'Transfer Sheet'!FT3</f>
        <v>0</v>
      </c>
      <c r="E52" s="298">
        <f>'Transfer Sheet'!FU3</f>
        <v>0</v>
      </c>
      <c r="F52" s="298">
        <f>'Transfer Sheet'!FV3</f>
        <v>0</v>
      </c>
      <c r="G52" s="299">
        <f>'Transfer Sheet'!FW3</f>
        <v>0</v>
      </c>
      <c r="H52" s="298" t="str">
        <f>'Transfer Sheet'!FX3</f>
        <v/>
      </c>
      <c r="I52" s="298">
        <f>'Transfer Sheet'!FY3</f>
        <v>0</v>
      </c>
      <c r="J52" s="436">
        <f>'Transfer Sheet'!FZ3</f>
        <v>0</v>
      </c>
      <c r="K52" s="436"/>
      <c r="L52" s="436"/>
      <c r="M52" s="436"/>
      <c r="N52" s="436"/>
      <c r="O52" s="437"/>
      <c r="S52" s="77"/>
    </row>
    <row r="53" spans="1:19" ht="16.5" customHeight="1">
      <c r="B53" s="300" t="str">
        <f>'Transfer Sheet'!GA3</f>
        <v/>
      </c>
      <c r="C53" s="311">
        <f>'Transfer Sheet'!GB3</f>
        <v>0</v>
      </c>
      <c r="D53" s="312">
        <f>'Transfer Sheet'!GC3</f>
        <v>0</v>
      </c>
      <c r="E53" s="298">
        <f>'Transfer Sheet'!GD3</f>
        <v>0</v>
      </c>
      <c r="F53" s="298">
        <f>'Transfer Sheet'!GE3</f>
        <v>0</v>
      </c>
      <c r="G53" s="299">
        <f>'Transfer Sheet'!GF3</f>
        <v>0</v>
      </c>
      <c r="H53" s="298" t="str">
        <f>'Transfer Sheet'!GG3</f>
        <v/>
      </c>
      <c r="I53" s="298">
        <f>'Transfer Sheet'!GH3</f>
        <v>0</v>
      </c>
      <c r="J53" s="436">
        <f>'Transfer Sheet'!GI3</f>
        <v>0</v>
      </c>
      <c r="K53" s="436"/>
      <c r="L53" s="436"/>
      <c r="M53" s="436"/>
      <c r="N53" s="436"/>
      <c r="O53" s="437"/>
      <c r="S53" s="77"/>
    </row>
    <row r="54" spans="1:19" ht="16.5" customHeight="1">
      <c r="B54" s="300" t="str">
        <f>'Transfer Sheet'!GJ3</f>
        <v/>
      </c>
      <c r="C54" s="311">
        <f>'Transfer Sheet'!GK3</f>
        <v>0</v>
      </c>
      <c r="D54" s="312">
        <f>'Transfer Sheet'!GL3</f>
        <v>0</v>
      </c>
      <c r="E54" s="298">
        <f>'Transfer Sheet'!GM3</f>
        <v>0</v>
      </c>
      <c r="F54" s="298">
        <f>'Transfer Sheet'!GN3</f>
        <v>0</v>
      </c>
      <c r="G54" s="299">
        <f>'Transfer Sheet'!GO3</f>
        <v>0</v>
      </c>
      <c r="H54" s="298" t="str">
        <f>'Transfer Sheet'!GP3</f>
        <v/>
      </c>
      <c r="I54" s="298">
        <f>'Transfer Sheet'!GQ3</f>
        <v>0</v>
      </c>
      <c r="J54" s="436">
        <f>'Transfer Sheet'!GR3</f>
        <v>0</v>
      </c>
      <c r="K54" s="436"/>
      <c r="L54" s="436"/>
      <c r="M54" s="436"/>
      <c r="N54" s="436"/>
      <c r="O54" s="437"/>
      <c r="S54" s="77"/>
    </row>
    <row r="55" spans="1:19" ht="16.5" customHeight="1">
      <c r="B55" s="300" t="str">
        <f>'Transfer Sheet'!GS3</f>
        <v/>
      </c>
      <c r="C55" s="311">
        <f>'Transfer Sheet'!GT3</f>
        <v>0</v>
      </c>
      <c r="D55" s="312">
        <f>'Transfer Sheet'!GU3</f>
        <v>0</v>
      </c>
      <c r="E55" s="298">
        <f>'Transfer Sheet'!GV3</f>
        <v>0</v>
      </c>
      <c r="F55" s="298">
        <f>'Transfer Sheet'!GW3</f>
        <v>0</v>
      </c>
      <c r="G55" s="299">
        <f>'Transfer Sheet'!GX3</f>
        <v>0</v>
      </c>
      <c r="H55" s="298" t="str">
        <f>'Transfer Sheet'!GY3</f>
        <v/>
      </c>
      <c r="I55" s="298">
        <f>'Transfer Sheet'!GZ3</f>
        <v>0</v>
      </c>
      <c r="J55" s="436">
        <f>'Transfer Sheet'!HA3</f>
        <v>0</v>
      </c>
      <c r="K55" s="436"/>
      <c r="L55" s="436"/>
      <c r="M55" s="436"/>
      <c r="N55" s="436"/>
      <c r="O55" s="437"/>
      <c r="S55" s="165"/>
    </row>
    <row r="56" spans="1:19" ht="15" customHeight="1">
      <c r="B56" s="112" t="str">
        <f>IF(N2="Spanish","Tiempo de funcionamiento neto:",IF(N2="Portugese","Tempo de operação líquido:",IF(N2="French","Temps de fonctionnement net:","Net Operating Time:")))</f>
        <v>Net Operating Time:</v>
      </c>
      <c r="C56" s="108">
        <f>'Transfer Sheet'!N3</f>
        <v>63.36</v>
      </c>
      <c r="D56" s="429" t="str">
        <f>IF(N2="Spanish",IF(OR(D50=H6,D51=H6,D52=H6,D53=H6,D54=H6,D55=H6),"","ERROR - LA HORA FINAL PARO DEBE SER IGUAL A LA HORA DE PARADA PRODUCCIÓN"),IF(N2="Portugese",IF(OR(D50=H6,D51=H6,D52=H6,D53=H6,D54=H6,D55=H6),"","ERRO - O TEMPO DE PARAGEM FINAL DEVE SER IGUAL AO TEMPO DE PARAD DE PRODUÇÃO"),IF(N2="French",IF(OR(D50=H6,D51=H6,D52=H6,D53=H6,D54=H6,D55=H6),"","ERREUR-L'HEURE DE FIN DOIT ETRE EGALE A L'HEURE DE FIN DE PRODUCTION"),IF(OR(D50=H6,D51=H6,D52=H6,D53=H6,D54=H6,D55=H6),"","ERROR - THE FINAL STOP TIME MUST BE EQUAL TO THE PRODUCTION STOP TIME"))))</f>
        <v/>
      </c>
      <c r="E56" s="430"/>
      <c r="F56" s="430"/>
      <c r="G56" s="430"/>
      <c r="H56" s="430"/>
      <c r="I56" s="430"/>
      <c r="J56" s="430"/>
      <c r="K56" s="161"/>
      <c r="L56" s="161"/>
      <c r="M56" s="161"/>
      <c r="N56" s="161"/>
      <c r="O56" s="226"/>
      <c r="S56" s="77"/>
    </row>
    <row r="57" spans="1:19">
      <c r="B57" s="114" t="str">
        <f>IF(N2="Spanish","Total Tiempo Operativo:",IF(N2="Portugese","Tempo total em operação:",IF(N2="French","Temps total d'opération:","Total Operating Time:")))</f>
        <v>Total Operating Time:</v>
      </c>
      <c r="C57" s="109">
        <f>C46</f>
        <v>240</v>
      </c>
      <c r="D57" s="378"/>
      <c r="E57" s="379"/>
      <c r="F57" s="379"/>
      <c r="G57" s="379"/>
      <c r="H57" s="379"/>
      <c r="I57" s="379"/>
      <c r="J57" s="379"/>
      <c r="K57" s="379"/>
      <c r="L57" s="379"/>
      <c r="M57" s="379"/>
      <c r="N57" s="379"/>
      <c r="O57" s="380"/>
      <c r="S57" s="159"/>
    </row>
    <row r="58" spans="1:19" s="46" customFormat="1" ht="24" customHeight="1" thickBot="1">
      <c r="A58" s="44"/>
      <c r="B58" s="48" t="str">
        <f>IF(N2="Spanish","Desempeño:",IF(N2="Portugese","Desempenho:",IF(N2="fRENCH","Performance:","Performance:")))</f>
        <v>Performance:</v>
      </c>
      <c r="C58" s="84">
        <f>'Transfer Sheet'!D3</f>
        <v>0.26400000000000001</v>
      </c>
      <c r="D58" s="375" t="str">
        <f>IF(N2="Spanish","= Tiempo de Funcionamiento Neto / Tiempo Total de Funcionamiento",IF(N2="Portugese","= Tempo de Operação Líquido / Tempo Operacional Total",IF(N2="French","= Temps de Fonctionnement Net / Durée Totale de Fonctionnement","= Net Operating Time / Total Operating Time")))</f>
        <v>= Net Operating Time / Total Operating Time</v>
      </c>
      <c r="E58" s="376"/>
      <c r="F58" s="376"/>
      <c r="G58" s="376"/>
      <c r="H58" s="376"/>
      <c r="I58" s="376"/>
      <c r="J58" s="376"/>
      <c r="K58" s="376"/>
      <c r="L58" s="376"/>
      <c r="M58" s="376"/>
      <c r="N58" s="376"/>
      <c r="O58" s="377"/>
      <c r="P58" s="45"/>
      <c r="R58" s="47"/>
      <c r="S58" s="160"/>
    </row>
    <row r="59" spans="1:19" ht="15.75" customHeight="1">
      <c r="B59" s="388" t="str">
        <f>IF(N2="Spanish","Desempeño:",IF(N2="Portugese","Desempenho:",IF(N2="French","Pertes qualités:","Quality Losses")))</f>
        <v>Quality Losses</v>
      </c>
      <c r="C59" s="327"/>
      <c r="D59" s="327"/>
      <c r="E59" s="327"/>
      <c r="F59" s="327"/>
      <c r="G59" s="327"/>
      <c r="H59" s="327"/>
      <c r="I59" s="327"/>
      <c r="J59" s="327"/>
      <c r="K59" s="327"/>
      <c r="L59" s="327"/>
      <c r="M59" s="327"/>
      <c r="N59" s="327"/>
      <c r="O59" s="389"/>
    </row>
    <row r="60" spans="1:19">
      <c r="B60" s="191"/>
      <c r="C60" s="418" t="str">
        <f>IF(N1="Spanish","Botellas Empacadas (N)",IF(N1="Portugese","Embalagems feitas (N)",IF(N1="French","Bouteilles produites (N)","Bottles Packaged (N)")))</f>
        <v>Bottles Packaged (N)</v>
      </c>
      <c r="D60" s="420" t="str">
        <f>IF(N2="Spanish","Despaletizador",IF(N2="Portugese","Despaletizador",IF(N2="French","Dépalettiseur","Depalletizer")))</f>
        <v>Depalletizer</v>
      </c>
      <c r="E60" s="421"/>
      <c r="F60" s="422" t="str">
        <f>IF(N2="Spanish","Llenadora/Taponadora",IF(N2="Portugese","Enchedor/Capper",IF(N2="French","Remplisseur/Capsuleur","Filler/Capper")))</f>
        <v>Filler/Capper</v>
      </c>
      <c r="G60" s="422"/>
      <c r="H60" s="420" t="str">
        <f>IF(N2="Spanish","Etiquetadora",IF(N2="Portugese","Rotuladora",IF(N2="French","Étiqueteur","Labeler")))</f>
        <v>Labeler</v>
      </c>
      <c r="I60" s="421"/>
      <c r="J60" s="422" t="str">
        <f>IF(N2="Spanish","Formadora/Empacadora de Cajas",IF(N2="Portugese","Estojo/Empacotador",IF(N2="French","Monteur/Emballeur de Caisses","Case Erector/Packer")))</f>
        <v>Case Erector/Packer</v>
      </c>
      <c r="K60" s="422"/>
      <c r="L60" s="420" t="str">
        <f>IF(N2="Spanish","Pesaje / inspección de cajas",IF(N2="Portugese","Pesagem / inspeção da caixa",IF(N2="French","Pesage/Inspection des Caisses","Case Weigh/Inspection")))</f>
        <v>Case Weigh/Inspection</v>
      </c>
      <c r="M60" s="421"/>
      <c r="N60" s="422" t="str">
        <f>IF(N2="Spanish","Paletizadora/Envolvedora",IF(N2="Portugese","Paletizador/Máquina de Stretch",IF(N2="French","Pallettiseur/Emballage Extensible","Palletizer/Stretchwrapper")))</f>
        <v>Palletizer/Stretchwrapper</v>
      </c>
      <c r="O60" s="423"/>
    </row>
    <row r="61" spans="1:19" ht="15" customHeight="1">
      <c r="B61" s="110" t="str">
        <f>IF(N2="Spanish","Productos",IF(N2="Portugese","Produto",IF(N2="French","Référence produit","Product")))</f>
        <v>Product</v>
      </c>
      <c r="C61" s="419"/>
      <c r="D61" s="192" t="str">
        <f>IF(N2="Spanish","Contador",IF(N2="Portugese","Contador",IF(N2="French","Compteur","Counter")))</f>
        <v>Counter</v>
      </c>
      <c r="E61" s="193" t="str">
        <f>IF(N2="Spanish","Rechazos",IF(N2="Portugese","Rejeições",IF(N2="French","Rejets","Rejections")))</f>
        <v>Rejections</v>
      </c>
      <c r="F61" s="316" t="str">
        <f>IF(N2="Spanish","Contador",IF(N2="Portugese","Contador",IF(N2="French","Compteur","Counter")))</f>
        <v>Counter</v>
      </c>
      <c r="G61" s="317" t="str">
        <f>IF(N2="Spanish","Rechazos",IF(N2="Portugese","Rejeições",IF(N2="French","Rejets","Rejections")))</f>
        <v>Rejections</v>
      </c>
      <c r="H61" s="194" t="str">
        <f>IF(N2="Spanish","Contador",IF(N2="Portugese","Contador",IF(N2="French","Compteur","Counter")))</f>
        <v>Counter</v>
      </c>
      <c r="I61" s="195" t="str">
        <f>IF(N2="Spanish","Rechazos",IF(N2="Portugese","Rejeições",IF(N2="French","Rejets","Rejections")))</f>
        <v>Rejections</v>
      </c>
      <c r="J61" s="319" t="str">
        <f>IF(N2="Spanish","Contador",IF(N2="Portugese","Contador",IF(N2="French","Compteur","Counter")))</f>
        <v>Counter</v>
      </c>
      <c r="K61" s="319" t="str">
        <f>IF(N2="Spanish","Rechazos",IF(N2="Portugese","Rejeições",IF(N2="French","Rejets","Rejections")))</f>
        <v>Rejections</v>
      </c>
      <c r="L61" s="194" t="str">
        <f>IF(N2="Spanish","Contador",IF(N2="Portugese","Contador",IF(N2="French","Compteur","Counter")))</f>
        <v>Counter</v>
      </c>
      <c r="M61" s="195" t="str">
        <f>IF(N2="Spanish","Rechazos",IF(N2="Portugese","Rejeições",IF(N2="French","Rejets","Rejections")))</f>
        <v>Rejections</v>
      </c>
      <c r="N61" s="319" t="str">
        <f>IF(N2="Spanish","Contador",IF(N2="Portugese","Contador",IF(N2="French","Compteur","Counter")))</f>
        <v>Counter</v>
      </c>
      <c r="O61" s="320" t="str">
        <f>IF(N2="Spanish","Rechazos",IF(N2="Portugese","Rejeições",IF(N2="French","Rejets","Rejections")))</f>
        <v>Rejections</v>
      </c>
    </row>
    <row r="62" spans="1:19" ht="15.75" customHeight="1">
      <c r="B62" s="301" t="str">
        <f>'Transfer Sheet'!HB2</f>
        <v>TENANO360SC BTLPET24X0.2L IDN</v>
      </c>
      <c r="C62" s="303">
        <f>'Transfer Sheet'!HC2</f>
        <v>10752</v>
      </c>
      <c r="D62" s="304">
        <f>'Transfer Sheet'!HD2</f>
        <v>10752</v>
      </c>
      <c r="E62" s="304">
        <f>'Transfer Sheet'!HE2</f>
        <v>0</v>
      </c>
      <c r="F62" s="304">
        <f>'Transfer Sheet'!HF2</f>
        <v>10752</v>
      </c>
      <c r="G62" s="304">
        <f>'Transfer Sheet'!HG2</f>
        <v>116</v>
      </c>
      <c r="H62" s="304">
        <f>'Transfer Sheet'!HH2</f>
        <v>10752</v>
      </c>
      <c r="I62" s="304">
        <f>'Transfer Sheet'!HI2</f>
        <v>103</v>
      </c>
      <c r="J62" s="304">
        <f>'Transfer Sheet'!HJ2</f>
        <v>448</v>
      </c>
      <c r="K62" s="304">
        <f>'Transfer Sheet'!HK2</f>
        <v>16</v>
      </c>
      <c r="L62" s="304">
        <f>'Transfer Sheet'!HL2</f>
        <v>448</v>
      </c>
      <c r="M62" s="304">
        <f>'Transfer Sheet'!HM2</f>
        <v>0</v>
      </c>
      <c r="N62" s="304">
        <f>'Transfer Sheet'!HN2</f>
        <v>448</v>
      </c>
      <c r="O62" s="305">
        <f>'Transfer Sheet'!HO2</f>
        <v>0</v>
      </c>
      <c r="S62" s="34">
        <f>10+10+5+5+15+10+1+40+20</f>
        <v>116</v>
      </c>
    </row>
    <row r="63" spans="1:19" ht="15.75" customHeight="1">
      <c r="B63" s="302" t="str">
        <f>'Transfer Sheet'!HP3</f>
        <v/>
      </c>
      <c r="C63" s="92">
        <f>'Transfer Sheet'!HQ3</f>
        <v>0</v>
      </c>
      <c r="D63" s="304">
        <f>'Transfer Sheet'!HR3</f>
        <v>0</v>
      </c>
      <c r="E63" s="304">
        <f>'Transfer Sheet'!HS3</f>
        <v>0</v>
      </c>
      <c r="F63" s="304">
        <f>'Transfer Sheet'!HT3</f>
        <v>0</v>
      </c>
      <c r="G63" s="304">
        <f>'Transfer Sheet'!HU3</f>
        <v>0</v>
      </c>
      <c r="H63" s="304">
        <f>'Transfer Sheet'!HV3</f>
        <v>0</v>
      </c>
      <c r="I63" s="304">
        <f>'Transfer Sheet'!HW3</f>
        <v>0</v>
      </c>
      <c r="J63" s="304">
        <f>'Transfer Sheet'!HX3</f>
        <v>0</v>
      </c>
      <c r="K63" s="304">
        <f>'Transfer Sheet'!HY3</f>
        <v>0</v>
      </c>
      <c r="L63" s="304">
        <f>'Transfer Sheet'!HZ3</f>
        <v>0</v>
      </c>
      <c r="M63" s="304">
        <f>'Transfer Sheet'!IA3</f>
        <v>0</v>
      </c>
      <c r="N63" s="304">
        <f>'Transfer Sheet'!IB3</f>
        <v>0</v>
      </c>
      <c r="O63" s="305">
        <v>0</v>
      </c>
      <c r="S63" s="34">
        <f>36+36+61</f>
        <v>133</v>
      </c>
    </row>
    <row r="64" spans="1:19" ht="15.75" customHeight="1">
      <c r="B64" s="302" t="str">
        <f>'Transfer Sheet'!ID3</f>
        <v/>
      </c>
      <c r="C64" s="92">
        <f>'Transfer Sheet'!IE3</f>
        <v>0</v>
      </c>
      <c r="D64" s="304">
        <f>'Transfer Sheet'!IF3</f>
        <v>0</v>
      </c>
      <c r="E64" s="304">
        <f>'Transfer Sheet'!IG3</f>
        <v>0</v>
      </c>
      <c r="F64" s="304">
        <f>'Transfer Sheet'!IH3</f>
        <v>0</v>
      </c>
      <c r="G64" s="304">
        <f>'Transfer Sheet'!II3</f>
        <v>0</v>
      </c>
      <c r="H64" s="304">
        <f>'Transfer Sheet'!IJ3</f>
        <v>0</v>
      </c>
      <c r="I64" s="304">
        <f>'Transfer Sheet'!IK3</f>
        <v>0</v>
      </c>
      <c r="J64" s="304">
        <f>'Transfer Sheet'!IL3</f>
        <v>0</v>
      </c>
      <c r="K64" s="304">
        <f>'Transfer Sheet'!IM3</f>
        <v>0</v>
      </c>
      <c r="L64" s="304">
        <f>'Transfer Sheet'!IN3</f>
        <v>0</v>
      </c>
      <c r="M64" s="304">
        <f>'Transfer Sheet'!IO3</f>
        <v>0</v>
      </c>
      <c r="N64" s="304">
        <f>'Transfer Sheet'!IP3</f>
        <v>0</v>
      </c>
      <c r="O64" s="305">
        <f>'Transfer Sheet'!IQ3</f>
        <v>0</v>
      </c>
    </row>
    <row r="65" spans="1:18" ht="15.75" customHeight="1">
      <c r="B65" s="302" t="str">
        <f>'Transfer Sheet'!IR3</f>
        <v/>
      </c>
      <c r="C65" s="92">
        <f>'Transfer Sheet'!IS3</f>
        <v>0</v>
      </c>
      <c r="D65" s="304">
        <f>'Transfer Sheet'!IT3</f>
        <v>0</v>
      </c>
      <c r="E65" s="304">
        <f>'Transfer Sheet'!IU3</f>
        <v>0</v>
      </c>
      <c r="F65" s="304">
        <f>'Transfer Sheet'!IV3</f>
        <v>0</v>
      </c>
      <c r="G65" s="304">
        <f>'Transfer Sheet'!IW3</f>
        <v>0</v>
      </c>
      <c r="H65" s="304">
        <f>'Transfer Sheet'!IX3</f>
        <v>0</v>
      </c>
      <c r="I65" s="304">
        <f>'Transfer Sheet'!IY3</f>
        <v>0</v>
      </c>
      <c r="J65" s="304">
        <f>'Transfer Sheet'!IZ3</f>
        <v>0</v>
      </c>
      <c r="K65" s="304">
        <f>'Transfer Sheet'!JA3</f>
        <v>0</v>
      </c>
      <c r="L65" s="304">
        <f>'Transfer Sheet'!JB3</f>
        <v>0</v>
      </c>
      <c r="M65" s="304">
        <f>'Transfer Sheet'!JC3</f>
        <v>0</v>
      </c>
      <c r="N65" s="304">
        <f>'Transfer Sheet'!JD3</f>
        <v>0</v>
      </c>
      <c r="O65" s="305">
        <f>'Transfer Sheet'!JE3</f>
        <v>0</v>
      </c>
    </row>
    <row r="66" spans="1:18" ht="15.75" customHeight="1">
      <c r="B66" s="302" t="str">
        <f>'Transfer Sheet'!JF3</f>
        <v/>
      </c>
      <c r="C66" s="92">
        <f>'Transfer Sheet'!JG3</f>
        <v>0</v>
      </c>
      <c r="D66" s="304">
        <f>'Transfer Sheet'!JH3</f>
        <v>0</v>
      </c>
      <c r="E66" s="304">
        <f>'Transfer Sheet'!JH3</f>
        <v>0</v>
      </c>
      <c r="F66" s="304">
        <f>'Transfer Sheet'!JJ3</f>
        <v>0</v>
      </c>
      <c r="G66" s="304">
        <f>'Transfer Sheet'!JK3</f>
        <v>0</v>
      </c>
      <c r="H66" s="304">
        <f>'Transfer Sheet'!JL3</f>
        <v>0</v>
      </c>
      <c r="I66" s="304">
        <f>'Transfer Sheet'!JM3</f>
        <v>0</v>
      </c>
      <c r="J66" s="304">
        <f>'Transfer Sheet'!JN3</f>
        <v>0</v>
      </c>
      <c r="K66" s="304">
        <f>'Transfer Sheet'!JO3</f>
        <v>0</v>
      </c>
      <c r="L66" s="304">
        <f>'Transfer Sheet'!JP3</f>
        <v>0</v>
      </c>
      <c r="M66" s="304">
        <f>'Transfer Sheet'!JQ3</f>
        <v>0</v>
      </c>
      <c r="N66" s="304">
        <f>'Transfer Sheet'!JR3</f>
        <v>0</v>
      </c>
      <c r="O66" s="305">
        <f>'Transfer Sheet'!JS3</f>
        <v>0</v>
      </c>
    </row>
    <row r="67" spans="1:18" ht="15.75" customHeight="1">
      <c r="B67" s="302" t="str">
        <f>'Transfer Sheet'!JT3</f>
        <v/>
      </c>
      <c r="C67" s="92">
        <f>'Transfer Sheet'!JU3</f>
        <v>0</v>
      </c>
      <c r="D67" s="304">
        <f>'Transfer Sheet'!JV3</f>
        <v>0</v>
      </c>
      <c r="E67" s="304">
        <f>'Transfer Sheet'!JW3</f>
        <v>0</v>
      </c>
      <c r="F67" s="304">
        <f>'Transfer Sheet'!JX3</f>
        <v>0</v>
      </c>
      <c r="G67" s="304">
        <f>'Transfer Sheet'!JY3</f>
        <v>0</v>
      </c>
      <c r="H67" s="304">
        <f>'Transfer Sheet'!JZ3</f>
        <v>0</v>
      </c>
      <c r="I67" s="304">
        <f>'Transfer Sheet'!KA3</f>
        <v>0</v>
      </c>
      <c r="J67" s="304">
        <f>'Transfer Sheet'!KB3</f>
        <v>0</v>
      </c>
      <c r="K67" s="304">
        <f>'Transfer Sheet'!KC3</f>
        <v>0</v>
      </c>
      <c r="L67" s="304">
        <f>'Transfer Sheet'!KD3</f>
        <v>0</v>
      </c>
      <c r="M67" s="304">
        <f>'Transfer Sheet'!KE3</f>
        <v>0</v>
      </c>
      <c r="N67" s="304">
        <f>'Transfer Sheet'!KF3</f>
        <v>0</v>
      </c>
      <c r="O67" s="305">
        <f>'Transfer Sheet'!KG3</f>
        <v>0</v>
      </c>
    </row>
    <row r="68" spans="1:18" ht="15.75" customHeight="1">
      <c r="B68" s="112" t="str">
        <f>IF(N2="Spanish","Rechazos Totales (∑R_Mi ):",IF(N2="Portugese","Total de Rejeições (∑R_Mi ):",IF(N2="French","Total des Rejets (∑R_Mi ):","Total Rejects (∑R_Mi ):")))</f>
        <v>Total Rejects (∑R_Mi ):</v>
      </c>
      <c r="C68" s="113">
        <f>'Transfer Sheet'!O3</f>
        <v>271</v>
      </c>
      <c r="D68" s="115"/>
      <c r="E68" s="116"/>
      <c r="F68" s="116"/>
      <c r="G68" s="403" t="str">
        <f>IF(OR(D76&lt;0,F76&lt;0,H76&lt;0,J76&lt;0,L76&lt;0,N76&lt;0,D77&lt;0,F77&lt;0,H77&lt;0,J77&lt;0,L77&lt;0,N77&lt;0,D78&lt;0,F78&lt;0,H78&lt;0,J78&lt;0,L78&lt;0,N78&lt;0,D79&lt;0,F79&lt;0,H79&lt;0,J79&lt;0,L79&lt;0,N79&lt;0,D80&lt;0,F80&lt;0,H80&lt;0,J80&lt;0,L80&lt;0,N80&lt;0,D81&lt;0,F81&lt;0,H81&lt;0,J81&lt;0,L81&lt;0,N81&lt;0),"Error:  All machine counters must be equal to or greater than the number of bottles packaged per product.","")</f>
        <v/>
      </c>
      <c r="H68" s="403"/>
      <c r="I68" s="403"/>
      <c r="J68" s="231"/>
      <c r="K68" s="397"/>
      <c r="L68" s="397"/>
      <c r="M68" s="397"/>
      <c r="N68" s="397"/>
      <c r="O68" s="398"/>
    </row>
    <row r="69" spans="1:18" ht="15.75" customHeight="1">
      <c r="B69" s="114" t="str">
        <f>IF(N2="Spanish","Diferencia de Contador (∑(C_Mi-N)) :",IF(N2="Portugese","Contra Diferença (∑(C_Mi-N)):",IF(N2="French","Différence de Compteur (∑(C_Mi-N)):","Counter Difference (∑(C_Mi-N)):")))</f>
        <v>Counter Difference (∑(C_Mi-N)):</v>
      </c>
      <c r="C69" s="113">
        <f>'Transfer Sheet'!P3</f>
        <v>0</v>
      </c>
      <c r="D69" s="117"/>
      <c r="E69" s="118"/>
      <c r="F69" s="118"/>
      <c r="G69" s="404"/>
      <c r="H69" s="404"/>
      <c r="I69" s="404"/>
      <c r="J69" s="232"/>
      <c r="K69" s="399"/>
      <c r="L69" s="399"/>
      <c r="M69" s="399"/>
      <c r="N69" s="399"/>
      <c r="O69" s="400"/>
    </row>
    <row r="70" spans="1:18" s="46" customFormat="1" ht="24" customHeight="1" thickBot="1">
      <c r="A70" s="44"/>
      <c r="B70" s="48" t="str">
        <f>IF(N2="Spanish","Calidad:",IF(N2="Portugese","Qualidade:",IF(N2="French","Qualité:","Quality:")))</f>
        <v>Quality:</v>
      </c>
      <c r="C70" s="182">
        <f>'Transfer Sheet'!E3</f>
        <v>0.95898289692750116</v>
      </c>
      <c r="D70" s="227"/>
      <c r="E70" s="228"/>
      <c r="F70" s="228"/>
      <c r="G70" s="405"/>
      <c r="H70" s="405"/>
      <c r="I70" s="405"/>
      <c r="J70" s="233"/>
      <c r="K70" s="401"/>
      <c r="L70" s="401"/>
      <c r="M70" s="401"/>
      <c r="N70" s="401"/>
      <c r="O70" s="402"/>
      <c r="P70" s="45"/>
      <c r="R70" s="49"/>
    </row>
    <row r="71" spans="1:18" s="50" customFormat="1" ht="22.5">
      <c r="B71" s="367"/>
      <c r="C71" s="368"/>
      <c r="D71" s="368"/>
      <c r="E71" s="368"/>
      <c r="F71" s="368"/>
      <c r="G71" s="368"/>
      <c r="H71" s="368"/>
      <c r="I71" s="368"/>
      <c r="J71" s="368"/>
      <c r="K71" s="368"/>
      <c r="L71" s="368"/>
      <c r="M71" s="368"/>
      <c r="N71" s="368"/>
      <c r="O71" s="369"/>
      <c r="P71" s="51"/>
      <c r="R71" s="49"/>
    </row>
    <row r="72" spans="1:18" s="50" customFormat="1" ht="17.5">
      <c r="B72" s="370"/>
      <c r="C72" s="371"/>
      <c r="D72" s="371"/>
      <c r="E72" s="371"/>
      <c r="F72" s="371"/>
      <c r="G72" s="371"/>
      <c r="H72" s="371"/>
      <c r="I72" s="371"/>
      <c r="J72" s="371"/>
      <c r="K72" s="371"/>
      <c r="L72" s="371"/>
      <c r="M72" s="371"/>
      <c r="N72" s="371"/>
      <c r="O72" s="372"/>
      <c r="P72" s="51"/>
      <c r="R72" s="52"/>
    </row>
    <row r="73" spans="1:18" s="50" customFormat="1" ht="57" customHeight="1" thickBot="1">
      <c r="A73" s="44"/>
      <c r="B73" s="124" t="str">
        <f>IF(N2="Spanish","Eficiencia Total del Linea (OEE):",IF(N2="Portugese","Eficácia de Linha (OEE)","Overall Line Effectiveness:"))</f>
        <v>Overall Line Effectiveness:</v>
      </c>
      <c r="C73" s="365">
        <f>'Transfer Sheet'!F3</f>
        <v>0.13502479188739216</v>
      </c>
      <c r="D73" s="365"/>
      <c r="E73" s="53" t="str">
        <f>IF(N2="Spanish","= Disponibilidad x Desempeño x Calidad",IF(N2="Portugese","Disponibilidade x Desempenho x Qualidade",IF(N2="French","= Disponibilité x Performance x Qualité","= Availability x Performance x Quality")))</f>
        <v>= Availability x Performance x Quality</v>
      </c>
      <c r="F73" s="54"/>
      <c r="G73" s="54"/>
      <c r="H73" s="54"/>
      <c r="I73" s="54"/>
      <c r="J73" s="54"/>
      <c r="K73" s="54"/>
      <c r="L73" s="54"/>
      <c r="M73" s="54"/>
      <c r="N73" s="54"/>
      <c r="O73" s="55"/>
      <c r="P73" s="51"/>
      <c r="R73" s="52"/>
    </row>
    <row r="74" spans="1:18" s="37" customFormat="1" ht="16" thickTop="1">
      <c r="B74" s="34"/>
      <c r="C74" s="34"/>
      <c r="D74" s="432"/>
      <c r="E74" s="432"/>
      <c r="F74" s="432"/>
      <c r="G74" s="432"/>
      <c r="H74" s="57"/>
      <c r="I74" s="57"/>
      <c r="J74" s="57"/>
      <c r="K74" s="57"/>
      <c r="L74" s="57"/>
      <c r="P74" s="36"/>
      <c r="R74" s="38"/>
    </row>
    <row r="75" spans="1:18">
      <c r="B75" s="238"/>
      <c r="C75" s="234"/>
      <c r="D75" s="235" t="s">
        <v>349</v>
      </c>
      <c r="E75" s="321"/>
      <c r="F75" s="237" t="s">
        <v>349</v>
      </c>
      <c r="G75" s="321"/>
      <c r="H75" s="237" t="s">
        <v>349</v>
      </c>
      <c r="I75" s="237"/>
      <c r="J75" s="237" t="s">
        <v>349</v>
      </c>
      <c r="K75" s="237"/>
      <c r="L75" s="237" t="s">
        <v>349</v>
      </c>
      <c r="M75" s="238"/>
      <c r="N75" s="238" t="s">
        <v>349</v>
      </c>
      <c r="O75" s="238"/>
    </row>
    <row r="76" spans="1:18">
      <c r="B76" s="238"/>
      <c r="C76" s="294"/>
      <c r="D76" s="240">
        <f>D62-$C62</f>
        <v>0</v>
      </c>
      <c r="E76" s="321"/>
      <c r="F76" s="240">
        <f>F62-$C62</f>
        <v>0</v>
      </c>
      <c r="G76" s="321"/>
      <c r="H76" s="240">
        <f>H62-$C62</f>
        <v>0</v>
      </c>
      <c r="I76" s="237"/>
      <c r="J76" s="240">
        <f>IF($C62&gt;0,J62*VLOOKUP($B62,'Setup Sheet'!$C$8:$G$205,5,FALSE)-'Recall Form'!$C62,"")</f>
        <v>0</v>
      </c>
      <c r="K76" s="237"/>
      <c r="L76" s="240">
        <f>IF($C62&gt;0,L62*VLOOKUP($B62,'Setup Sheet'!$C$8:$G$205,5,FALSE)-'Recall Form'!$C62,"")</f>
        <v>0</v>
      </c>
      <c r="M76" s="238"/>
      <c r="N76" s="240">
        <f>IF($C62&gt;0,N62*VLOOKUP($B62,'Setup Sheet'!$C$8:$G$205,5,FALSE)-'Recall Form'!$C62,"")</f>
        <v>0</v>
      </c>
      <c r="O76" s="238"/>
    </row>
    <row r="77" spans="1:18">
      <c r="B77" s="238"/>
      <c r="C77" s="238"/>
      <c r="D77" s="240">
        <f t="shared" ref="D77:D81" si="1">D63-$C63</f>
        <v>0</v>
      </c>
      <c r="E77" s="321"/>
      <c r="F77" s="240">
        <f t="shared" ref="F77:F81" si="2">F63-$C63</f>
        <v>0</v>
      </c>
      <c r="G77" s="321"/>
      <c r="H77" s="240">
        <f t="shared" ref="H77:H81" si="3">H63-$C63</f>
        <v>0</v>
      </c>
      <c r="I77" s="237"/>
      <c r="J77" s="240" t="str">
        <f>IF($C63&gt;0,J63*VLOOKUP($B63,'Setup Sheet'!$C$8:$G$205,5,FALSE)-'Recall Form'!$C63,"")</f>
        <v/>
      </c>
      <c r="K77" s="237"/>
      <c r="L77" s="240" t="str">
        <f>IF($C63&gt;0,L63*VLOOKUP($B63,'Setup Sheet'!$C$8:$G$205,5,FALSE)-'Recall Form'!$C63,"")</f>
        <v/>
      </c>
      <c r="M77" s="238"/>
      <c r="N77" s="240" t="str">
        <f>IF($C63&gt;0,N63*VLOOKUP($B63,'Setup Sheet'!$C$8:$G$205,5,FALSE)-'Recall Form'!$C63,"")</f>
        <v/>
      </c>
      <c r="O77" s="238"/>
    </row>
    <row r="78" spans="1:18">
      <c r="B78" s="238"/>
      <c r="C78" s="238"/>
      <c r="D78" s="240">
        <f t="shared" si="1"/>
        <v>0</v>
      </c>
      <c r="E78" s="321"/>
      <c r="F78" s="240">
        <f t="shared" si="2"/>
        <v>0</v>
      </c>
      <c r="G78" s="321"/>
      <c r="H78" s="240">
        <f t="shared" si="3"/>
        <v>0</v>
      </c>
      <c r="I78" s="237"/>
      <c r="J78" s="240" t="str">
        <f>IF($C64&gt;0,J64*VLOOKUP($B64,'Setup Sheet'!$C$8:$G$205,5,FALSE)-'Recall Form'!$C64,"")</f>
        <v/>
      </c>
      <c r="K78" s="237"/>
      <c r="L78" s="240" t="str">
        <f>IF($C64&gt;0,L64*VLOOKUP($B64,'Setup Sheet'!$C$8:$G$205,5,FALSE)-'Recall Form'!$C64,"")</f>
        <v/>
      </c>
      <c r="M78" s="238"/>
      <c r="N78" s="240" t="str">
        <f>IF($C64&gt;0,N64*VLOOKUP($B64,'Setup Sheet'!$C$8:$G$205,5,FALSE)-'Recall Form'!$C64,"")</f>
        <v/>
      </c>
      <c r="O78" s="238"/>
    </row>
    <row r="79" spans="1:18">
      <c r="B79" s="238"/>
      <c r="C79" s="238"/>
      <c r="D79" s="240">
        <f t="shared" si="1"/>
        <v>0</v>
      </c>
      <c r="E79" s="321"/>
      <c r="F79" s="240">
        <f t="shared" si="2"/>
        <v>0</v>
      </c>
      <c r="G79" s="321"/>
      <c r="H79" s="240">
        <f t="shared" si="3"/>
        <v>0</v>
      </c>
      <c r="I79" s="237"/>
      <c r="J79" s="240">
        <f>IF($C65&gt;0,J65*VLOOKUP($B65,'Setup Sheet'!$C$8:$G$205,5,FALSE)-'Recall Form'!$C65,0)</f>
        <v>0</v>
      </c>
      <c r="K79" s="237"/>
      <c r="L79" s="240">
        <f>IF($C65&gt;0,L65*VLOOKUP($B65,'Setup Sheet'!$C$8:$G$205,5,FALSE)-'Recall Form'!$C65,0)</f>
        <v>0</v>
      </c>
      <c r="M79" s="238"/>
      <c r="N79" s="240">
        <f>IF($C65&gt;0,N65*VLOOKUP($B65,'Setup Sheet'!$C$8:$G$205,5,FALSE)-'Recall Form'!$C65,0)</f>
        <v>0</v>
      </c>
      <c r="O79" s="238"/>
    </row>
    <row r="80" spans="1:18">
      <c r="B80" s="238"/>
      <c r="C80" s="238"/>
      <c r="D80" s="240">
        <f t="shared" si="1"/>
        <v>0</v>
      </c>
      <c r="E80" s="321"/>
      <c r="F80" s="240">
        <f t="shared" si="2"/>
        <v>0</v>
      </c>
      <c r="G80" s="321"/>
      <c r="H80" s="240">
        <f t="shared" si="3"/>
        <v>0</v>
      </c>
      <c r="I80" s="237"/>
      <c r="J80" s="240">
        <f>IF($C66&gt;0,J66*VLOOKUP($B66,'Setup Sheet'!$C$8:$G$205,5,FALSE)-'Recall Form'!$C66,0)</f>
        <v>0</v>
      </c>
      <c r="K80" s="237"/>
      <c r="L80" s="240">
        <f>IF($C66&gt;0,L66*VLOOKUP($B66,'Setup Sheet'!$C$8:$G$205,5,FALSE)-'Recall Form'!$C66,0)</f>
        <v>0</v>
      </c>
      <c r="M80" s="238"/>
      <c r="N80" s="240">
        <f>IF($C66&gt;0,N66*VLOOKUP($B66,'Setup Sheet'!$C$8:$G$205,5,FALSE)-'Recall Form'!$C66,0)</f>
        <v>0</v>
      </c>
      <c r="O80" s="238"/>
    </row>
    <row r="81" spans="2:18" s="33" customFormat="1">
      <c r="B81" s="238"/>
      <c r="C81" s="238"/>
      <c r="D81" s="240">
        <f t="shared" si="1"/>
        <v>0</v>
      </c>
      <c r="E81" s="321"/>
      <c r="F81" s="240">
        <f t="shared" si="2"/>
        <v>0</v>
      </c>
      <c r="G81" s="321"/>
      <c r="H81" s="240">
        <f t="shared" si="3"/>
        <v>0</v>
      </c>
      <c r="I81" s="237"/>
      <c r="J81" s="240">
        <f>IF($C67&gt;0,J67*VLOOKUP($B67,'Setup Sheet'!$C$8:$G$205,5,FALSE)-'Recall Form'!$C67,0)</f>
        <v>0</v>
      </c>
      <c r="K81" s="237"/>
      <c r="L81" s="240">
        <f>IF($C67&gt;0,L67*VLOOKUP($B67,'Setup Sheet'!$C$8:$G$205,5,FALSE)-'Recall Form'!$C67,0)</f>
        <v>0</v>
      </c>
      <c r="M81" s="238"/>
      <c r="N81" s="240">
        <f>IF($C67&gt;0,N67*VLOOKUP($B67,'Setup Sheet'!$C$8:$G$205,5,FALSE)-'Recall Form'!$C67,0)</f>
        <v>0</v>
      </c>
      <c r="O81" s="238"/>
      <c r="Q81" s="34"/>
      <c r="R81" s="35"/>
    </row>
    <row r="82" spans="2:18" s="33" customFormat="1">
      <c r="B82" s="238"/>
      <c r="C82" s="238" t="s">
        <v>350</v>
      </c>
      <c r="D82" s="321">
        <f>SUM(D76:D81)</f>
        <v>0</v>
      </c>
      <c r="E82" s="321"/>
      <c r="F82" s="321">
        <f>SUM(F76:F81)</f>
        <v>0</v>
      </c>
      <c r="G82" s="321"/>
      <c r="H82" s="321">
        <f>SUM(H76:H81)</f>
        <v>0</v>
      </c>
      <c r="I82" s="237"/>
      <c r="J82" s="321">
        <f>SUM(J76:J81)</f>
        <v>0</v>
      </c>
      <c r="K82" s="237"/>
      <c r="L82" s="321">
        <f>SUM(L76:L81)</f>
        <v>0</v>
      </c>
      <c r="M82" s="238"/>
      <c r="N82" s="321">
        <f>SUM(N76:N81)</f>
        <v>0</v>
      </c>
      <c r="O82" s="238"/>
      <c r="Q82" s="34"/>
      <c r="R82" s="35"/>
    </row>
    <row r="83" spans="2:18" s="33" customFormat="1">
      <c r="B83" s="238"/>
      <c r="C83" s="238"/>
      <c r="D83" s="321"/>
      <c r="E83" s="321"/>
      <c r="F83" s="321"/>
      <c r="G83" s="321"/>
      <c r="H83" s="237"/>
      <c r="I83" s="237"/>
      <c r="J83" s="237"/>
      <c r="K83" s="237"/>
      <c r="L83" s="237"/>
      <c r="M83" s="238"/>
      <c r="N83" s="238"/>
      <c r="O83" s="238"/>
      <c r="Q83" s="34"/>
      <c r="R83" s="35"/>
    </row>
    <row r="84" spans="2:18" s="33" customFormat="1">
      <c r="B84" s="238"/>
      <c r="C84" s="238"/>
      <c r="D84" s="238"/>
      <c r="E84" s="237"/>
      <c r="F84" s="238"/>
      <c r="G84" s="238"/>
      <c r="H84" s="237"/>
      <c r="I84" s="237"/>
      <c r="J84" s="237"/>
      <c r="K84" s="237"/>
      <c r="L84" s="237"/>
      <c r="M84" s="238"/>
      <c r="N84" s="238"/>
      <c r="O84" s="238"/>
      <c r="Q84" s="34"/>
      <c r="R84" s="35"/>
    </row>
    <row r="85" spans="2:18" s="33" customFormat="1">
      <c r="B85" s="238"/>
      <c r="C85" s="238"/>
      <c r="D85" s="238"/>
      <c r="E85" s="237"/>
      <c r="F85" s="238"/>
      <c r="G85" s="238"/>
      <c r="H85" s="237"/>
      <c r="I85" s="237"/>
      <c r="J85" s="237"/>
      <c r="K85" s="237"/>
      <c r="L85" s="237"/>
      <c r="M85" s="238"/>
      <c r="N85" s="238"/>
      <c r="O85" s="238"/>
      <c r="Q85" s="34"/>
      <c r="R85" s="35"/>
    </row>
  </sheetData>
  <sheetProtection algorithmName="SHA-512" hashValue="HF1FnjdhDEkLLRlg9FghPahCQA4yDrrtIFt/c+eks84Ip3a/RKatut+M8xqFNtZ5pCGSmLCpwXdtAFQep0k3GQ==" saltValue="kGXWjdVa6PPGupoRY145/Q==" spinCount="100000" sheet="1" selectLockedCells="1"/>
  <mergeCells count="116">
    <mergeCell ref="I6:K6"/>
    <mergeCell ref="L6:M6"/>
    <mergeCell ref="B1:B3"/>
    <mergeCell ref="C1:D3"/>
    <mergeCell ref="E1:H2"/>
    <mergeCell ref="K2:L2"/>
    <mergeCell ref="E14:O14"/>
    <mergeCell ref="E15:O15"/>
    <mergeCell ref="E16:O16"/>
    <mergeCell ref="N2:O2"/>
    <mergeCell ref="D4:G4"/>
    <mergeCell ref="C5:D5"/>
    <mergeCell ref="E5:G5"/>
    <mergeCell ref="J5:K5"/>
    <mergeCell ref="L5:M5"/>
    <mergeCell ref="C6:D6"/>
    <mergeCell ref="E6:G6"/>
    <mergeCell ref="D17:I17"/>
    <mergeCell ref="B18:E18"/>
    <mergeCell ref="H18:O18"/>
    <mergeCell ref="D7:G7"/>
    <mergeCell ref="D9:J9"/>
    <mergeCell ref="E10:O10"/>
    <mergeCell ref="E11:O11"/>
    <mergeCell ref="E12:O12"/>
    <mergeCell ref="E13:O13"/>
    <mergeCell ref="F22:G22"/>
    <mergeCell ref="H22:O22"/>
    <mergeCell ref="F23:G23"/>
    <mergeCell ref="H23:O23"/>
    <mergeCell ref="F24:G24"/>
    <mergeCell ref="H24:O24"/>
    <mergeCell ref="F19:G19"/>
    <mergeCell ref="H19:O19"/>
    <mergeCell ref="F20:G20"/>
    <mergeCell ref="H20:O20"/>
    <mergeCell ref="F21:G21"/>
    <mergeCell ref="H21:O21"/>
    <mergeCell ref="F28:G28"/>
    <mergeCell ref="H28:O28"/>
    <mergeCell ref="B29:E29"/>
    <mergeCell ref="F29:G29"/>
    <mergeCell ref="D30:I30"/>
    <mergeCell ref="D31:F31"/>
    <mergeCell ref="G31:H31"/>
    <mergeCell ref="I31:O31"/>
    <mergeCell ref="F25:G25"/>
    <mergeCell ref="H25:O25"/>
    <mergeCell ref="F26:G26"/>
    <mergeCell ref="H26:O26"/>
    <mergeCell ref="F27:G27"/>
    <mergeCell ref="H27:O27"/>
    <mergeCell ref="D34:F34"/>
    <mergeCell ref="G34:H34"/>
    <mergeCell ref="I34:O34"/>
    <mergeCell ref="D35:F35"/>
    <mergeCell ref="G35:H35"/>
    <mergeCell ref="I35:O35"/>
    <mergeCell ref="D32:F32"/>
    <mergeCell ref="G32:H32"/>
    <mergeCell ref="I32:O32"/>
    <mergeCell ref="D33:F33"/>
    <mergeCell ref="G33:H33"/>
    <mergeCell ref="I33:O33"/>
    <mergeCell ref="D38:F38"/>
    <mergeCell ref="G38:H38"/>
    <mergeCell ref="I38:O38"/>
    <mergeCell ref="D39:F39"/>
    <mergeCell ref="G39:H39"/>
    <mergeCell ref="I39:O39"/>
    <mergeCell ref="D36:F36"/>
    <mergeCell ref="G36:H36"/>
    <mergeCell ref="I36:O36"/>
    <mergeCell ref="D37:F37"/>
    <mergeCell ref="G37:H37"/>
    <mergeCell ref="I37:O37"/>
    <mergeCell ref="D42:F42"/>
    <mergeCell ref="G42:H42"/>
    <mergeCell ref="I42:O42"/>
    <mergeCell ref="D43:F43"/>
    <mergeCell ref="G43:H43"/>
    <mergeCell ref="I43:O43"/>
    <mergeCell ref="D40:F40"/>
    <mergeCell ref="G40:H40"/>
    <mergeCell ref="I40:O40"/>
    <mergeCell ref="D41:F41"/>
    <mergeCell ref="G41:H41"/>
    <mergeCell ref="I41:O41"/>
    <mergeCell ref="J50:O50"/>
    <mergeCell ref="J51:O51"/>
    <mergeCell ref="J52:O52"/>
    <mergeCell ref="J53:O53"/>
    <mergeCell ref="J54:O54"/>
    <mergeCell ref="J55:O55"/>
    <mergeCell ref="D44:K44"/>
    <mergeCell ref="D47:O47"/>
    <mergeCell ref="B48:D48"/>
    <mergeCell ref="E48:H48"/>
    <mergeCell ref="I48:O48"/>
    <mergeCell ref="J49:O49"/>
    <mergeCell ref="N60:O60"/>
    <mergeCell ref="G68:I70"/>
    <mergeCell ref="K68:O70"/>
    <mergeCell ref="B71:O72"/>
    <mergeCell ref="C73:D73"/>
    <mergeCell ref="D74:G74"/>
    <mergeCell ref="D56:J56"/>
    <mergeCell ref="D57:O57"/>
    <mergeCell ref="D58:O58"/>
    <mergeCell ref="B59:O59"/>
    <mergeCell ref="C60:C61"/>
    <mergeCell ref="D60:E60"/>
    <mergeCell ref="F60:G60"/>
    <mergeCell ref="H60:I60"/>
    <mergeCell ref="J60:K60"/>
    <mergeCell ref="L60:M60"/>
  </mergeCells>
  <conditionalFormatting sqref="D45:D46">
    <cfRule type="cellIs" dxfId="25" priority="37" operator="equal">
      <formula>"Error:"</formula>
    </cfRule>
  </conditionalFormatting>
  <conditionalFormatting sqref="B28">
    <cfRule type="expression" dxfId="24" priority="36">
      <formula>AND(#REF!="Changeover",(#REF!-#REF!)*24*60&gt;30)</formula>
    </cfRule>
  </conditionalFormatting>
  <conditionalFormatting sqref="B18 G18">
    <cfRule type="containsText" dxfId="23" priority="35" operator="containsText" text="PRODUCT">
      <formula>NOT(ISERROR(SEARCH("PRODUCT",B18)))</formula>
    </cfRule>
  </conditionalFormatting>
  <conditionalFormatting sqref="B9:D9">
    <cfRule type="containsText" dxfId="22" priority="34" operator="containsText" text="CHANGEOVER">
      <formula>NOT(ISERROR(SEARCH("CHANGEOVER",B9)))</formula>
    </cfRule>
  </conditionalFormatting>
  <conditionalFormatting sqref="B30:D30">
    <cfRule type="containsText" dxfId="21" priority="33" operator="containsText" text="PRODUCT">
      <formula>NOT(ISERROR(SEARCH("PRODUCT",B30)))</formula>
    </cfRule>
  </conditionalFormatting>
  <conditionalFormatting sqref="B29:E29">
    <cfRule type="containsText" dxfId="20" priority="32" operator="containsText" text="PRODUCT">
      <formula>NOT(ISERROR(SEARCH("PRODUCT",B29)))</formula>
    </cfRule>
  </conditionalFormatting>
  <conditionalFormatting sqref="B8:E8">
    <cfRule type="containsText" dxfId="19" priority="31" operator="containsText" text="PRODUCT">
      <formula>NOT(ISERROR(SEARCH("PRODUCT",B8)))</formula>
    </cfRule>
  </conditionalFormatting>
  <conditionalFormatting sqref="B17:C17">
    <cfRule type="containsText" dxfId="18" priority="30" operator="containsText" text="PRODUCT">
      <formula>NOT(ISERROR(SEARCH("PRODUCT",B17)))</formula>
    </cfRule>
  </conditionalFormatting>
  <conditionalFormatting sqref="D44">
    <cfRule type="cellIs" dxfId="17" priority="22" operator="equal">
      <formula>"Error:"</formula>
    </cfRule>
  </conditionalFormatting>
  <conditionalFormatting sqref="D44:K44">
    <cfRule type="containsText" dxfId="16" priority="21" operator="containsText" text="ERROR">
      <formula>NOT(ISERROR(SEARCH("ERROR",D44)))</formula>
    </cfRule>
  </conditionalFormatting>
  <conditionalFormatting sqref="C1:D3">
    <cfRule type="cellIs" dxfId="15" priority="15" operator="notEqual">
      <formula>""</formula>
    </cfRule>
  </conditionalFormatting>
  <conditionalFormatting sqref="I48:O48">
    <cfRule type="cellIs" dxfId="14" priority="14" operator="notEqual">
      <formula>""</formula>
    </cfRule>
  </conditionalFormatting>
  <conditionalFormatting sqref="C46 C56:C57">
    <cfRule type="cellIs" dxfId="13" priority="10" operator="equal">
      <formula>0</formula>
    </cfRule>
  </conditionalFormatting>
  <conditionalFormatting sqref="G68">
    <cfRule type="cellIs" dxfId="12" priority="9" operator="notEqual">
      <formula>""</formula>
    </cfRule>
  </conditionalFormatting>
  <conditionalFormatting sqref="B20:D28 F20:O28">
    <cfRule type="cellIs" dxfId="11" priority="8" operator="equal">
      <formula>0</formula>
    </cfRule>
  </conditionalFormatting>
  <conditionalFormatting sqref="B11:B16 D11:O16">
    <cfRule type="cellIs" dxfId="10" priority="7" operator="equal">
      <formula>0</formula>
    </cfRule>
  </conditionalFormatting>
  <conditionalFormatting sqref="B50:C55">
    <cfRule type="cellIs" dxfId="9" priority="5" operator="equal">
      <formula>0</formula>
    </cfRule>
  </conditionalFormatting>
  <conditionalFormatting sqref="D50:D55 G50:G55 J50:O55">
    <cfRule type="cellIs" dxfId="8" priority="4" operator="equal">
      <formula>0</formula>
    </cfRule>
  </conditionalFormatting>
  <conditionalFormatting sqref="E50:F55 H50:I55">
    <cfRule type="cellIs" dxfId="7" priority="3" operator="equal">
      <formula>0</formula>
    </cfRule>
  </conditionalFormatting>
  <conditionalFormatting sqref="C11:C16">
    <cfRule type="cellIs" dxfId="6" priority="2" operator="equal">
      <formula>0</formula>
    </cfRule>
  </conditionalFormatting>
  <conditionalFormatting sqref="B32:O43">
    <cfRule type="cellIs" dxfId="5" priority="1" operator="equal">
      <formula>0</formula>
    </cfRule>
  </conditionalFormatting>
  <dataValidations count="14">
    <dataValidation type="list" allowBlank="1" showInputMessage="1" showErrorMessage="1" sqref="N2:O2" xr:uid="{FC415365-433D-420D-B504-D4C94184C681}">
      <formula1>Language</formula1>
    </dataValidation>
    <dataValidation allowBlank="1" showErrorMessage="1" promptTitle="Crew Leader" prompt="Enter the name of the crew leader for the given shift." sqref="C6:D6" xr:uid="{EA16A8AB-95FB-47B4-A353-56016D012B3C}"/>
    <dataValidation type="date" operator="greaterThanOrEqual" allowBlank="1" showErrorMessage="1" errorTitle="Input Error" error="Value must be a date in the format mm/dd/yyyy!_x000a__x000a_Date must be later than 01/01/2001!" promptTitle="Begin Date" prompt="Please enter the date for the OEE data collection." sqref="C5:D5" xr:uid="{F8C4BCA2-F8B1-41EA-AB2D-9292AE7A8D47}">
      <formula1>36892</formula1>
    </dataValidation>
    <dataValidation allowBlank="1" showErrorMessage="1" promptTitle="Planned Downtime Description" prompt="Enter any related notes or relevant information for the planned downtime" sqref="D20:E28" xr:uid="{D1E1FA66-3222-4D8E-A711-4A2818C2D143}"/>
    <dataValidation allowBlank="1" showErrorMessage="1" promptTitle="Unplanned Downtime Reason" prompt="Select a downtime source from the list.  If the desired item cannot be found on the list, it may be added to the 'Lost Time Causes Input' worksheet at the bottom of the list." sqref="B32:B43" xr:uid="{752B3FB6-F9D9-4ACB-932E-227D5405B9EE}"/>
    <dataValidation allowBlank="1" showErrorMessage="1" promptTitle="Unplanned Downtime Description" prompt="Select a detailed description of the downtime from the list._x000a__x000a_" sqref="D32:F43" xr:uid="{6A71D709-881D-4571-8820-66F8472B1A9B}"/>
    <dataValidation allowBlank="1" showErrorMessage="1" promptTitle="Planned Downtime Reason" prompt="Enter the reason for the planned downtime" sqref="B20:B28" xr:uid="{31294A13-A710-4F56-B3F9-D3FB87F87D28}"/>
    <dataValidation allowBlank="1" showErrorMessage="1" promptTitle="Changeover Stop Time" prompt="Enter the stop time for the changeover.  NOTE:  The time must be expressed in military time.  (e.g. 7:00 AM = 7:00.  3:00 PM = 15:00)" sqref="I32:O43" xr:uid="{2E456DB3-A28C-4BE4-9C95-B0D08D567882}"/>
    <dataValidation allowBlank="1" showErrorMessage="1" sqref="C56:C57 C20:C28" xr:uid="{5A1D32E6-3ADF-4533-B633-98473E801A16}"/>
    <dataValidation allowBlank="1" showInputMessage="1" showErrorMessage="1" errorTitle="Input Error" error="Please select a description from the drop-down list!" promptTitle="End Time:" prompt="Enter the time that production is scheduled to end._x000a__x000a_NOTE:  The time must be expressed in military time.  (e.g. 7:00 AM = 7:00.  3:00 PM = 15:00)" sqref="H6" xr:uid="{E86F77F9-01D6-48E3-A7B9-1018225010BD}"/>
    <dataValidation type="decimal" allowBlank="1" showInputMessage="1" showErrorMessage="1" errorTitle="Input Error" error="Value must be a number between zero and 24!" promptTitle="Start Time:" prompt="Enter the time that production is scheduled to begin.  _x000a__x000a_NOTE:  The time must be expressed in military time.  (e.g. 7:00 AM = 7:00.  3:00 PM = 15:00)" sqref="H5" xr:uid="{E41C1590-0A32-4627-8378-2907EE7B43A1}">
      <formula1>0</formula1>
      <formula2>24</formula2>
    </dataValidation>
    <dataValidation allowBlank="1" showInputMessage="1" showErrorMessage="1" errorTitle="Product Not Found" error="Please select a different product or add this product to the list." sqref="B50:B57 C50:I55" xr:uid="{AACAF27A-366C-46C2-A6B1-3C7EB5FD481D}"/>
    <dataValidation type="decimal" operator="greaterThanOrEqual" allowBlank="1" showErrorMessage="1" errorTitle="Input Error" error="Value must be a whole number, greater than or equal to zero!" promptTitle="Availability Downtime" prompt="Input the amount of downtime associated with the given reason." sqref="C44" xr:uid="{D1674719-A9D5-4925-9B3D-BC40A3DC836A}">
      <formula1>0</formula1>
    </dataValidation>
    <dataValidation allowBlank="1" showInputMessage="1" showErrorMessage="1" errorTitle="Product Not Found" error="Select a different product or add this product to the list." sqref="B62:B69 C62:O67" xr:uid="{3CFE11AA-CEB9-475B-B6C5-5273663D00AA}"/>
  </dataValidations>
  <printOptions horizontalCentered="1" verticalCentered="1"/>
  <pageMargins left="0.25" right="0.25" top="0.75" bottom="0.75" header="0.3" footer="0.3"/>
  <pageSetup scale="37" orientation="portrait" horizontalDpi="4294967293" r:id="rId1"/>
  <headerFooter alignWithMargins="0">
    <oddHeader>&amp;C&amp;"Arial,Bold"&amp;36&amp;UOverall Equipment Effectiveness (OEE) Worksheet</oddHeader>
    <oddFooter>&amp;R&amp;1#&amp;"Arial"&amp;10&amp;K000000---Internal Use---&amp;C&amp;"Calibri"&amp;11&amp;K000000DOW RESTRICTED_x000D_&amp;1#&amp;"Arial"&amp;10&amp;K000000---Internal Use---</oddFooter>
  </headerFooter>
  <colBreaks count="1" manualBreakCount="1">
    <brk id="12" max="1048575" man="1"/>
  </colBreaks>
  <drawing r:id="rId2"/>
  <extLst>
    <ext xmlns:x14="http://schemas.microsoft.com/office/spreadsheetml/2009/9/main" uri="{78C0D931-6437-407d-A8EE-F0AAD7539E65}">
      <x14:conditionalFormattings>
        <x14:conditionalFormatting xmlns:xm="http://schemas.microsoft.com/office/excel/2006/main">
          <x14:cfRule type="iconSet" priority="29" id="{35C36AF5-0840-4FF1-A271-565C55BCD8CE}">
            <x14:iconSet iconSet="3Symbols" showValue="0" custom="1">
              <x14:cfvo type="percent">
                <xm:f>0</xm:f>
              </x14:cfvo>
              <x14:cfvo type="num">
                <xm:f>0</xm:f>
              </x14:cfvo>
              <x14:cfvo type="num">
                <xm:f>1</xm:f>
              </x14:cfvo>
              <x14:cfIcon iconSet="3Symbols" iconId="0"/>
              <x14:cfIcon iconSet="3Symbols" iconId="2"/>
              <x14:cfIcon iconSet="3Symbols" iconId="0"/>
            </x14:iconSet>
          </x14:cfRule>
          <xm:sqref>B1:B3</xm:sqref>
        </x14:conditionalFormatting>
        <x14:conditionalFormatting xmlns:xm="http://schemas.microsoft.com/office/excel/2006/main">
          <x14:cfRule type="containsText" priority="23" operator="containsText" id="{1F0A3166-6CEC-4A66-BD83-63BB7DBF3814}">
            <xm:f>NOT(ISERROR(SEARCH("ERRO",D56)))</xm:f>
            <xm:f>"ERRO"</xm:f>
            <x14:dxf>
              <font>
                <b/>
                <i/>
                <color rgb="FFFFFF00"/>
              </font>
              <fill>
                <patternFill>
                  <bgColor theme="1"/>
                </patternFill>
              </fill>
            </x14:dxf>
          </x14:cfRule>
          <xm:sqref>D56 M56:O56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Y724"/>
  <sheetViews>
    <sheetView zoomScale="80" zoomScaleNormal="80" workbookViewId="0">
      <pane xSplit="2" ySplit="1" topLeftCell="C11" activePane="bottomRight" state="frozenSplit"/>
      <selection pane="topRight" activeCell="C1" sqref="C1"/>
      <selection pane="bottomLeft"/>
      <selection pane="bottomRight" activeCell="P13" sqref="P13"/>
    </sheetView>
  </sheetViews>
  <sheetFormatPr baseColWidth="10" defaultColWidth="12.6328125" defaultRowHeight="14.5"/>
  <cols>
    <col min="1" max="1" width="10.90625" style="263" customWidth="1"/>
    <col min="2" max="2" width="12.6328125" style="264"/>
    <col min="3" max="6" width="12.6328125" style="265"/>
    <col min="7" max="8" width="12.6328125" style="266"/>
    <col min="9" max="17" width="12.6328125" style="264"/>
    <col min="18" max="18" width="17.6328125" style="264" customWidth="1"/>
    <col min="19" max="22" width="12.6328125" style="264"/>
    <col min="23" max="23" width="37.6328125" style="276" customWidth="1"/>
    <col min="24" max="24" width="17.6328125" style="264" customWidth="1"/>
    <col min="25" max="28" width="12.6328125" style="264"/>
    <col min="29" max="29" width="37.6328125" style="264" customWidth="1"/>
    <col min="30" max="30" width="17.6328125" style="264" customWidth="1"/>
    <col min="31" max="34" width="12.6328125" style="264"/>
    <col min="35" max="35" width="37.6328125" style="264" customWidth="1"/>
    <col min="36" max="36" width="17.6328125" style="264" customWidth="1"/>
    <col min="37" max="40" width="12.6328125" style="264"/>
    <col min="41" max="41" width="37.6328125" style="264" customWidth="1"/>
    <col min="42" max="42" width="17.6328125" style="264" customWidth="1"/>
    <col min="43" max="46" width="12.6328125" style="264"/>
    <col min="47" max="47" width="37.6328125" style="264" customWidth="1"/>
    <col min="48" max="48" width="17.6328125" style="264" customWidth="1"/>
    <col min="49" max="52" width="12.6328125" style="264"/>
    <col min="53" max="53" width="37.6328125" style="264" customWidth="1"/>
    <col min="54" max="54" width="17.6328125" style="268" customWidth="1"/>
    <col min="55" max="58" width="12.6328125" style="268"/>
    <col min="59" max="59" width="37.6328125" style="268" customWidth="1"/>
    <col min="60" max="60" width="17.6328125" style="268" customWidth="1"/>
    <col min="61" max="64" width="12.6328125" style="268"/>
    <col min="65" max="65" width="37.6328125" style="268" customWidth="1"/>
    <col min="66" max="66" width="17.6328125" style="268" customWidth="1"/>
    <col min="67" max="70" width="12.6328125" style="268"/>
    <col min="71" max="71" width="37.6328125" style="268" customWidth="1"/>
    <col min="72" max="72" width="22.453125" style="264" customWidth="1"/>
    <col min="73" max="74" width="12.6328125" style="264"/>
    <col min="75" max="75" width="37.6328125" style="264" customWidth="1"/>
    <col min="76" max="76" width="22.453125" style="264" customWidth="1"/>
    <col min="77" max="78" width="12.6328125" style="264"/>
    <col min="79" max="79" width="37.6328125" style="264" customWidth="1"/>
    <col min="80" max="80" width="22.453125" style="264" customWidth="1"/>
    <col min="81" max="82" width="12.6328125" style="264"/>
    <col min="83" max="83" width="37.6328125" style="264" customWidth="1"/>
    <col min="84" max="84" width="22.453125" style="264" customWidth="1"/>
    <col min="85" max="86" width="12.6328125" style="264"/>
    <col min="87" max="87" width="37.6328125" style="264" customWidth="1"/>
    <col min="88" max="88" width="22.453125" style="264" customWidth="1"/>
    <col min="89" max="90" width="12.6328125" style="264" customWidth="1"/>
    <col min="91" max="91" width="37.6328125" style="264" customWidth="1"/>
    <col min="92" max="92" width="22.453125" style="264" customWidth="1"/>
    <col min="93" max="94" width="12.6328125" style="264" customWidth="1"/>
    <col min="95" max="95" width="37.6328125" style="264" customWidth="1"/>
    <col min="96" max="96" width="24.6328125" style="264" customWidth="1"/>
    <col min="97" max="97" width="12.6328125" style="264"/>
    <col min="98" max="99" width="24.6328125" style="264" customWidth="1"/>
    <col min="100" max="100" width="37.6328125" style="264" customWidth="1"/>
    <col min="101" max="101" width="24.6328125" style="271" customWidth="1"/>
    <col min="102" max="102" width="12.6328125" style="264"/>
    <col min="103" max="104" width="24.6328125" style="264" customWidth="1"/>
    <col min="105" max="105" width="37.6328125" style="264" customWidth="1"/>
    <col min="106" max="106" width="24.6328125" style="271" customWidth="1"/>
    <col min="107" max="107" width="12.6328125" style="264"/>
    <col min="108" max="109" width="24.6328125" style="264" customWidth="1"/>
    <col min="110" max="110" width="37.6328125" style="264" customWidth="1"/>
    <col min="111" max="111" width="24.6328125" style="264" customWidth="1"/>
    <col min="112" max="112" width="12.6328125" style="264"/>
    <col min="113" max="114" width="24.6328125" style="264" customWidth="1"/>
    <col min="115" max="115" width="37.6328125" style="264" customWidth="1"/>
    <col min="116" max="116" width="24.6328125" style="264" customWidth="1"/>
    <col min="117" max="117" width="12.6328125" style="264"/>
    <col min="118" max="119" width="24.6328125" style="264" customWidth="1"/>
    <col min="120" max="120" width="37.6328125" style="264" customWidth="1"/>
    <col min="121" max="121" width="24.6328125" style="264" customWidth="1"/>
    <col min="122" max="122" width="12.6328125" style="264"/>
    <col min="123" max="124" width="24.6328125" style="264" customWidth="1"/>
    <col min="125" max="125" width="37.6328125" style="264" customWidth="1"/>
    <col min="126" max="126" width="24.6328125" style="264" customWidth="1"/>
    <col min="127" max="127" width="12.6328125" style="264"/>
    <col min="128" max="129" width="24.6328125" style="264" customWidth="1"/>
    <col min="130" max="130" width="37.6328125" style="264" customWidth="1"/>
    <col min="131" max="131" width="24.6328125" style="264" customWidth="1"/>
    <col min="132" max="132" width="12.6328125" style="264"/>
    <col min="133" max="134" width="24.6328125" style="264" customWidth="1"/>
    <col min="135" max="135" width="37.6328125" style="264" customWidth="1"/>
    <col min="136" max="136" width="24.6328125" style="264" customWidth="1"/>
    <col min="137" max="137" width="12.6328125" style="264"/>
    <col min="138" max="139" width="24.6328125" style="264" customWidth="1"/>
    <col min="140" max="140" width="37.6328125" style="264" customWidth="1"/>
    <col min="141" max="141" width="24.6328125" style="264" customWidth="1"/>
    <col min="142" max="142" width="12.6328125" style="264"/>
    <col min="143" max="144" width="24.6328125" style="264" customWidth="1"/>
    <col min="145" max="145" width="37.6328125" style="264" customWidth="1"/>
    <col min="146" max="146" width="24.6328125" style="264" customWidth="1"/>
    <col min="147" max="147" width="12.6328125" style="264"/>
    <col min="148" max="149" width="24.6328125" style="264" customWidth="1"/>
    <col min="150" max="150" width="37.6328125" style="264" customWidth="1"/>
    <col min="151" max="151" width="24.6328125" style="271" customWidth="1"/>
    <col min="152" max="152" width="12.6328125" style="264"/>
    <col min="153" max="154" width="24.6328125" style="264" customWidth="1"/>
    <col min="155" max="156" width="37.6328125" style="264" customWidth="1"/>
    <col min="157" max="158" width="12.6328125" style="264" customWidth="1"/>
    <col min="159" max="160" width="12.6328125" style="271" customWidth="1"/>
    <col min="161" max="161" width="12.6328125" style="271"/>
    <col min="162" max="163" width="12.6328125" style="264"/>
    <col min="164" max="165" width="37.6328125" style="264" customWidth="1"/>
    <col min="166" max="169" width="12.6328125" style="264" customWidth="1"/>
    <col min="170" max="172" width="12.6328125" style="271"/>
    <col min="173" max="174" width="37.6328125" style="271" customWidth="1"/>
    <col min="175" max="176" width="12.6328125" style="271" customWidth="1"/>
    <col min="177" max="178" width="12.6328125" style="264" customWidth="1"/>
    <col min="179" max="181" width="12.6328125" style="264"/>
    <col min="182" max="183" width="37.6328125" style="264" customWidth="1"/>
    <col min="184" max="187" width="12.6328125" style="264" customWidth="1"/>
    <col min="188" max="190" width="12.6328125" style="271"/>
    <col min="191" max="192" width="37.6328125" style="271" customWidth="1"/>
    <col min="193" max="194" width="12.6328125" style="271" customWidth="1"/>
    <col min="195" max="196" width="12.6328125" style="264" customWidth="1"/>
    <col min="197" max="199" width="12.6328125" style="271" customWidth="1"/>
    <col min="200" max="201" width="37.6328125" style="271" customWidth="1"/>
    <col min="202" max="205" width="12.6328125" style="271" customWidth="1"/>
    <col min="206" max="208" width="12.6328125" style="264" customWidth="1"/>
    <col min="209" max="210" width="37.6328125" style="264" customWidth="1"/>
    <col min="211" max="211" width="12.6328125" style="264" customWidth="1"/>
    <col min="212" max="213" width="12.6328125" style="264"/>
    <col min="214" max="214" width="12.6328125" style="271"/>
    <col min="215" max="215" width="12.6328125" style="271" customWidth="1"/>
    <col min="216" max="218" width="12.6328125" style="264"/>
    <col min="219" max="219" width="12.6328125" style="271" customWidth="1"/>
    <col min="220" max="221" width="12.6328125" style="264"/>
    <col min="222" max="222" width="12.6328125" style="271"/>
    <col min="223" max="223" width="12.6328125" style="271" customWidth="1"/>
    <col min="224" max="224" width="37.6328125" style="271" customWidth="1"/>
    <col min="225" max="225" width="12.6328125" style="271" customWidth="1"/>
    <col min="226" max="228" width="12.6328125" style="264"/>
    <col min="229" max="237" width="12.6328125" style="264" customWidth="1"/>
    <col min="238" max="238" width="37.6328125" style="264" customWidth="1"/>
    <col min="239" max="239" width="12.6328125" style="264" customWidth="1"/>
    <col min="240" max="241" width="12.6328125" style="273"/>
    <col min="242" max="242" width="12.6328125" style="264"/>
    <col min="243" max="244" width="12.6328125" style="273"/>
    <col min="245" max="245" width="12.6328125" style="264"/>
    <col min="246" max="247" width="12.6328125" style="273"/>
    <col min="248" max="248" width="12.6328125" style="264"/>
    <col min="249" max="250" width="12.6328125" style="273"/>
    <col min="251" max="251" width="12.6328125" style="264"/>
    <col min="252" max="252" width="37.6328125" style="264" customWidth="1"/>
    <col min="253" max="253" width="12.6328125" style="264"/>
    <col min="254" max="255" width="12.6328125" style="273"/>
    <col min="256" max="256" width="12.6328125" style="264"/>
    <col min="257" max="258" width="12.6328125" style="273"/>
    <col min="259" max="265" width="12.6328125" style="264"/>
    <col min="266" max="266" width="37.6328125" style="264" customWidth="1"/>
    <col min="267" max="279" width="12.6328125" style="264"/>
    <col min="280" max="280" width="37.6328125" style="264" customWidth="1"/>
    <col min="281" max="16384" width="12.6328125" style="264"/>
  </cols>
  <sheetData>
    <row r="1" spans="1:311" s="262" customFormat="1" ht="106.75" customHeight="1">
      <c r="A1" s="256" t="s">
        <v>4</v>
      </c>
      <c r="B1" s="257" t="s">
        <v>6</v>
      </c>
      <c r="C1" s="257" t="s">
        <v>0</v>
      </c>
      <c r="D1" s="257" t="s">
        <v>1</v>
      </c>
      <c r="E1" s="257" t="s">
        <v>2</v>
      </c>
      <c r="F1" s="257" t="s">
        <v>12</v>
      </c>
      <c r="G1" s="258" t="s">
        <v>17</v>
      </c>
      <c r="H1" s="258" t="s">
        <v>18</v>
      </c>
      <c r="I1" s="257" t="s">
        <v>19</v>
      </c>
      <c r="J1" s="257" t="s">
        <v>20</v>
      </c>
      <c r="K1" s="257" t="s">
        <v>16</v>
      </c>
      <c r="L1" s="257" t="s">
        <v>7</v>
      </c>
      <c r="M1" s="257" t="s">
        <v>109</v>
      </c>
      <c r="N1" s="257" t="s">
        <v>354</v>
      </c>
      <c r="O1" s="257" t="s">
        <v>359</v>
      </c>
      <c r="P1" s="257" t="s">
        <v>360</v>
      </c>
      <c r="Q1" s="257" t="s">
        <v>110</v>
      </c>
      <c r="R1" s="257" t="s">
        <v>22</v>
      </c>
      <c r="S1" s="257" t="s">
        <v>21</v>
      </c>
      <c r="T1" s="257" t="s">
        <v>23</v>
      </c>
      <c r="U1" s="257" t="s">
        <v>51</v>
      </c>
      <c r="V1" s="257" t="s">
        <v>375</v>
      </c>
      <c r="W1" s="259" t="s">
        <v>52</v>
      </c>
      <c r="X1" s="257" t="s">
        <v>24</v>
      </c>
      <c r="Y1" s="257" t="s">
        <v>25</v>
      </c>
      <c r="Z1" s="257" t="s">
        <v>26</v>
      </c>
      <c r="AA1" s="257" t="s">
        <v>53</v>
      </c>
      <c r="AB1" s="257" t="s">
        <v>374</v>
      </c>
      <c r="AC1" s="257" t="s">
        <v>54</v>
      </c>
      <c r="AD1" s="257" t="s">
        <v>27</v>
      </c>
      <c r="AE1" s="257" t="s">
        <v>28</v>
      </c>
      <c r="AF1" s="257" t="s">
        <v>29</v>
      </c>
      <c r="AG1" s="257" t="s">
        <v>55</v>
      </c>
      <c r="AH1" s="257" t="s">
        <v>373</v>
      </c>
      <c r="AI1" s="257" t="s">
        <v>56</v>
      </c>
      <c r="AJ1" s="257" t="s">
        <v>30</v>
      </c>
      <c r="AK1" s="257" t="s">
        <v>31</v>
      </c>
      <c r="AL1" s="257" t="s">
        <v>32</v>
      </c>
      <c r="AM1" s="257" t="s">
        <v>57</v>
      </c>
      <c r="AN1" s="257" t="s">
        <v>376</v>
      </c>
      <c r="AO1" s="257" t="s">
        <v>58</v>
      </c>
      <c r="AP1" s="257" t="s">
        <v>33</v>
      </c>
      <c r="AQ1" s="257" t="s">
        <v>34</v>
      </c>
      <c r="AR1" s="257" t="s">
        <v>35</v>
      </c>
      <c r="AS1" s="257" t="s">
        <v>59</v>
      </c>
      <c r="AT1" s="257" t="s">
        <v>377</v>
      </c>
      <c r="AU1" s="257" t="s">
        <v>60</v>
      </c>
      <c r="AV1" s="257" t="s">
        <v>36</v>
      </c>
      <c r="AW1" s="257" t="s">
        <v>37</v>
      </c>
      <c r="AX1" s="257" t="s">
        <v>38</v>
      </c>
      <c r="AY1" s="257" t="s">
        <v>61</v>
      </c>
      <c r="AZ1" s="257" t="s">
        <v>378</v>
      </c>
      <c r="BA1" s="257" t="s">
        <v>62</v>
      </c>
      <c r="BB1" s="257" t="s">
        <v>137</v>
      </c>
      <c r="BC1" s="257" t="s">
        <v>138</v>
      </c>
      <c r="BD1" s="257" t="s">
        <v>139</v>
      </c>
      <c r="BE1" s="257" t="s">
        <v>140</v>
      </c>
      <c r="BF1" s="257" t="s">
        <v>379</v>
      </c>
      <c r="BG1" s="257" t="s">
        <v>141</v>
      </c>
      <c r="BH1" s="257" t="s">
        <v>142</v>
      </c>
      <c r="BI1" s="257" t="s">
        <v>143</v>
      </c>
      <c r="BJ1" s="257" t="s">
        <v>144</v>
      </c>
      <c r="BK1" s="257" t="s">
        <v>145</v>
      </c>
      <c r="BL1" s="257" t="s">
        <v>380</v>
      </c>
      <c r="BM1" s="257" t="s">
        <v>146</v>
      </c>
      <c r="BN1" s="257" t="s">
        <v>148</v>
      </c>
      <c r="BO1" s="257" t="s">
        <v>147</v>
      </c>
      <c r="BP1" s="257" t="s">
        <v>149</v>
      </c>
      <c r="BQ1" s="257" t="s">
        <v>150</v>
      </c>
      <c r="BR1" s="257" t="s">
        <v>381</v>
      </c>
      <c r="BS1" s="257" t="s">
        <v>151</v>
      </c>
      <c r="BT1" s="257" t="s">
        <v>41</v>
      </c>
      <c r="BU1" s="257" t="s">
        <v>40</v>
      </c>
      <c r="BV1" s="257" t="s">
        <v>39</v>
      </c>
      <c r="BW1" s="257" t="s">
        <v>63</v>
      </c>
      <c r="BX1" s="257" t="s">
        <v>42</v>
      </c>
      <c r="BY1" s="257" t="s">
        <v>43</v>
      </c>
      <c r="BZ1" s="257" t="s">
        <v>44</v>
      </c>
      <c r="CA1" s="257" t="s">
        <v>64</v>
      </c>
      <c r="CB1" s="257" t="s">
        <v>45</v>
      </c>
      <c r="CC1" s="257" t="s">
        <v>46</v>
      </c>
      <c r="CD1" s="257" t="s">
        <v>47</v>
      </c>
      <c r="CE1" s="257" t="s">
        <v>119</v>
      </c>
      <c r="CF1" s="257" t="s">
        <v>48</v>
      </c>
      <c r="CG1" s="257" t="s">
        <v>49</v>
      </c>
      <c r="CH1" s="257" t="s">
        <v>50</v>
      </c>
      <c r="CI1" s="257" t="s">
        <v>120</v>
      </c>
      <c r="CJ1" s="257" t="s">
        <v>181</v>
      </c>
      <c r="CK1" s="257" t="s">
        <v>182</v>
      </c>
      <c r="CL1" s="257" t="s">
        <v>183</v>
      </c>
      <c r="CM1" s="257" t="s">
        <v>184</v>
      </c>
      <c r="CN1" s="257" t="s">
        <v>185</v>
      </c>
      <c r="CO1" s="257" t="s">
        <v>186</v>
      </c>
      <c r="CP1" s="257" t="s">
        <v>187</v>
      </c>
      <c r="CQ1" s="257" t="s">
        <v>188</v>
      </c>
      <c r="CR1" s="257" t="s">
        <v>65</v>
      </c>
      <c r="CS1" s="257" t="s">
        <v>66</v>
      </c>
      <c r="CT1" s="257" t="s">
        <v>68</v>
      </c>
      <c r="CU1" s="257" t="s">
        <v>361</v>
      </c>
      <c r="CV1" s="257" t="s">
        <v>67</v>
      </c>
      <c r="CW1" s="260" t="s">
        <v>69</v>
      </c>
      <c r="CX1" s="257" t="s">
        <v>70</v>
      </c>
      <c r="CY1" s="257" t="s">
        <v>71</v>
      </c>
      <c r="CZ1" s="257" t="s">
        <v>362</v>
      </c>
      <c r="DA1" s="257" t="s">
        <v>72</v>
      </c>
      <c r="DB1" s="260" t="s">
        <v>73</v>
      </c>
      <c r="DC1" s="257" t="s">
        <v>74</v>
      </c>
      <c r="DD1" s="257" t="s">
        <v>75</v>
      </c>
      <c r="DE1" s="257" t="s">
        <v>363</v>
      </c>
      <c r="DF1" s="257" t="s">
        <v>76</v>
      </c>
      <c r="DG1" s="257" t="s">
        <v>77</v>
      </c>
      <c r="DH1" s="257" t="s">
        <v>78</v>
      </c>
      <c r="DI1" s="257" t="s">
        <v>79</v>
      </c>
      <c r="DJ1" s="257" t="s">
        <v>364</v>
      </c>
      <c r="DK1" s="257" t="s">
        <v>80</v>
      </c>
      <c r="DL1" s="257" t="s">
        <v>81</v>
      </c>
      <c r="DM1" s="257" t="s">
        <v>82</v>
      </c>
      <c r="DN1" s="257" t="s">
        <v>83</v>
      </c>
      <c r="DO1" s="257" t="s">
        <v>365</v>
      </c>
      <c r="DP1" s="257" t="s">
        <v>84</v>
      </c>
      <c r="DQ1" s="257" t="s">
        <v>85</v>
      </c>
      <c r="DR1" s="257" t="s">
        <v>86</v>
      </c>
      <c r="DS1" s="257" t="s">
        <v>87</v>
      </c>
      <c r="DT1" s="257" t="s">
        <v>366</v>
      </c>
      <c r="DU1" s="257" t="s">
        <v>88</v>
      </c>
      <c r="DV1" s="257" t="s">
        <v>89</v>
      </c>
      <c r="DW1" s="257" t="s">
        <v>90</v>
      </c>
      <c r="DX1" s="257" t="s">
        <v>91</v>
      </c>
      <c r="DY1" s="257" t="s">
        <v>367</v>
      </c>
      <c r="DZ1" s="257" t="s">
        <v>92</v>
      </c>
      <c r="EA1" s="257" t="s">
        <v>164</v>
      </c>
      <c r="EB1" s="257" t="s">
        <v>165</v>
      </c>
      <c r="EC1" s="257" t="s">
        <v>166</v>
      </c>
      <c r="ED1" s="257" t="s">
        <v>368</v>
      </c>
      <c r="EE1" s="257" t="s">
        <v>167</v>
      </c>
      <c r="EF1" s="257" t="s">
        <v>93</v>
      </c>
      <c r="EG1" s="257" t="s">
        <v>94</v>
      </c>
      <c r="EH1" s="257" t="s">
        <v>95</v>
      </c>
      <c r="EI1" s="257" t="s">
        <v>369</v>
      </c>
      <c r="EJ1" s="257" t="s">
        <v>96</v>
      </c>
      <c r="EK1" s="257" t="s">
        <v>97</v>
      </c>
      <c r="EL1" s="257" t="s">
        <v>98</v>
      </c>
      <c r="EM1" s="257" t="s">
        <v>99</v>
      </c>
      <c r="EN1" s="257" t="s">
        <v>370</v>
      </c>
      <c r="EO1" s="257" t="s">
        <v>100</v>
      </c>
      <c r="EP1" s="257" t="s">
        <v>101</v>
      </c>
      <c r="EQ1" s="257" t="s">
        <v>102</v>
      </c>
      <c r="ER1" s="257" t="s">
        <v>103</v>
      </c>
      <c r="ES1" s="257" t="s">
        <v>371</v>
      </c>
      <c r="ET1" s="257" t="s">
        <v>104</v>
      </c>
      <c r="EU1" s="257" t="s">
        <v>105</v>
      </c>
      <c r="EV1" s="257" t="s">
        <v>106</v>
      </c>
      <c r="EW1" s="257" t="s">
        <v>107</v>
      </c>
      <c r="EX1" s="257" t="s">
        <v>372</v>
      </c>
      <c r="EY1" s="257" t="s">
        <v>108</v>
      </c>
      <c r="EZ1" s="257" t="s">
        <v>41</v>
      </c>
      <c r="FA1" s="257" t="s">
        <v>152</v>
      </c>
      <c r="FB1" s="257" t="s">
        <v>382</v>
      </c>
      <c r="FC1" s="257" t="s">
        <v>121</v>
      </c>
      <c r="FD1" s="257" t="s">
        <v>160</v>
      </c>
      <c r="FE1" s="257" t="s">
        <v>111</v>
      </c>
      <c r="FF1" s="257" t="s">
        <v>265</v>
      </c>
      <c r="FG1" s="257" t="s">
        <v>266</v>
      </c>
      <c r="FH1" s="257" t="s">
        <v>115</v>
      </c>
      <c r="FI1" s="257" t="s">
        <v>42</v>
      </c>
      <c r="FJ1" s="257" t="s">
        <v>154</v>
      </c>
      <c r="FK1" s="257" t="s">
        <v>383</v>
      </c>
      <c r="FL1" s="257" t="s">
        <v>122</v>
      </c>
      <c r="FM1" s="257" t="s">
        <v>161</v>
      </c>
      <c r="FN1" s="257" t="s">
        <v>112</v>
      </c>
      <c r="FO1" s="257" t="s">
        <v>267</v>
      </c>
      <c r="FP1" s="257" t="s">
        <v>268</v>
      </c>
      <c r="FQ1" s="257" t="s">
        <v>116</v>
      </c>
      <c r="FR1" s="257" t="s">
        <v>45</v>
      </c>
      <c r="FS1" s="257" t="s">
        <v>156</v>
      </c>
      <c r="FT1" s="257" t="s">
        <v>384</v>
      </c>
      <c r="FU1" s="257" t="s">
        <v>123</v>
      </c>
      <c r="FV1" s="257" t="s">
        <v>162</v>
      </c>
      <c r="FW1" s="257" t="s">
        <v>113</v>
      </c>
      <c r="FX1" s="257" t="s">
        <v>269</v>
      </c>
      <c r="FY1" s="257" t="s">
        <v>270</v>
      </c>
      <c r="FZ1" s="257" t="s">
        <v>117</v>
      </c>
      <c r="GA1" s="257" t="s">
        <v>48</v>
      </c>
      <c r="GB1" s="257" t="s">
        <v>158</v>
      </c>
      <c r="GC1" s="257" t="s">
        <v>385</v>
      </c>
      <c r="GD1" s="257" t="s">
        <v>124</v>
      </c>
      <c r="GE1" s="257" t="s">
        <v>163</v>
      </c>
      <c r="GF1" s="257" t="s">
        <v>114</v>
      </c>
      <c r="GG1" s="257" t="s">
        <v>271</v>
      </c>
      <c r="GH1" s="257" t="s">
        <v>272</v>
      </c>
      <c r="GI1" s="257" t="s">
        <v>118</v>
      </c>
      <c r="GJ1" s="257" t="s">
        <v>181</v>
      </c>
      <c r="GK1" s="257" t="s">
        <v>195</v>
      </c>
      <c r="GL1" s="257" t="s">
        <v>386</v>
      </c>
      <c r="GM1" s="257" t="s">
        <v>189</v>
      </c>
      <c r="GN1" s="257" t="s">
        <v>197</v>
      </c>
      <c r="GO1" s="257" t="s">
        <v>190</v>
      </c>
      <c r="GP1" s="257" t="s">
        <v>273</v>
      </c>
      <c r="GQ1" s="257" t="s">
        <v>274</v>
      </c>
      <c r="GR1" s="257" t="s">
        <v>191</v>
      </c>
      <c r="GS1" s="257" t="s">
        <v>185</v>
      </c>
      <c r="GT1" s="257" t="s">
        <v>198</v>
      </c>
      <c r="GU1" s="257" t="s">
        <v>387</v>
      </c>
      <c r="GV1" s="257" t="s">
        <v>192</v>
      </c>
      <c r="GW1" s="257" t="s">
        <v>200</v>
      </c>
      <c r="GX1" s="257" t="s">
        <v>193</v>
      </c>
      <c r="GY1" s="257" t="s">
        <v>275</v>
      </c>
      <c r="GZ1" s="257" t="s">
        <v>276</v>
      </c>
      <c r="HA1" s="257" t="s">
        <v>194</v>
      </c>
      <c r="HB1" s="257" t="s">
        <v>41</v>
      </c>
      <c r="HC1" s="257" t="s">
        <v>388</v>
      </c>
      <c r="HD1" s="257" t="s">
        <v>277</v>
      </c>
      <c r="HE1" s="257" t="s">
        <v>278</v>
      </c>
      <c r="HF1" s="257" t="s">
        <v>279</v>
      </c>
      <c r="HG1" s="257" t="s">
        <v>280</v>
      </c>
      <c r="HH1" s="257" t="s">
        <v>281</v>
      </c>
      <c r="HI1" s="257" t="s">
        <v>282</v>
      </c>
      <c r="HJ1" s="257" t="s">
        <v>283</v>
      </c>
      <c r="HK1" s="257" t="s">
        <v>284</v>
      </c>
      <c r="HL1" s="257" t="s">
        <v>285</v>
      </c>
      <c r="HM1" s="257" t="s">
        <v>286</v>
      </c>
      <c r="HN1" s="257" t="s">
        <v>287</v>
      </c>
      <c r="HO1" s="257" t="s">
        <v>288</v>
      </c>
      <c r="HP1" s="257" t="s">
        <v>42</v>
      </c>
      <c r="HQ1" s="257" t="s">
        <v>389</v>
      </c>
      <c r="HR1" s="257" t="s">
        <v>289</v>
      </c>
      <c r="HS1" s="257" t="s">
        <v>290</v>
      </c>
      <c r="HT1" s="257" t="s">
        <v>291</v>
      </c>
      <c r="HU1" s="257" t="s">
        <v>292</v>
      </c>
      <c r="HV1" s="257" t="s">
        <v>293</v>
      </c>
      <c r="HW1" s="257" t="s">
        <v>297</v>
      </c>
      <c r="HX1" s="257" t="s">
        <v>298</v>
      </c>
      <c r="HY1" s="257" t="s">
        <v>299</v>
      </c>
      <c r="HZ1" s="257" t="s">
        <v>300</v>
      </c>
      <c r="IA1" s="257" t="s">
        <v>301</v>
      </c>
      <c r="IB1" s="257" t="s">
        <v>302</v>
      </c>
      <c r="IC1" s="257" t="s">
        <v>303</v>
      </c>
      <c r="ID1" s="257" t="s">
        <v>45</v>
      </c>
      <c r="IE1" s="257" t="s">
        <v>390</v>
      </c>
      <c r="IF1" s="257" t="s">
        <v>304</v>
      </c>
      <c r="IG1" s="257" t="s">
        <v>305</v>
      </c>
      <c r="IH1" s="257" t="s">
        <v>306</v>
      </c>
      <c r="II1" s="257" t="s">
        <v>307</v>
      </c>
      <c r="IJ1" s="257" t="s">
        <v>308</v>
      </c>
      <c r="IK1" s="257" t="s">
        <v>294</v>
      </c>
      <c r="IL1" s="257" t="s">
        <v>295</v>
      </c>
      <c r="IM1" s="257" t="s">
        <v>296</v>
      </c>
      <c r="IN1" s="257" t="s">
        <v>309</v>
      </c>
      <c r="IO1" s="257" t="s">
        <v>310</v>
      </c>
      <c r="IP1" s="257" t="s">
        <v>311</v>
      </c>
      <c r="IQ1" s="257" t="s">
        <v>312</v>
      </c>
      <c r="IR1" s="257" t="s">
        <v>48</v>
      </c>
      <c r="IS1" s="257" t="s">
        <v>391</v>
      </c>
      <c r="IT1" s="257" t="s">
        <v>313</v>
      </c>
      <c r="IU1" s="257" t="s">
        <v>314</v>
      </c>
      <c r="IV1" s="257" t="s">
        <v>315</v>
      </c>
      <c r="IW1" s="257" t="s">
        <v>316</v>
      </c>
      <c r="IX1" s="257" t="s">
        <v>317</v>
      </c>
      <c r="IY1" s="257" t="s">
        <v>318</v>
      </c>
      <c r="IZ1" s="257" t="s">
        <v>319</v>
      </c>
      <c r="JA1" s="257" t="s">
        <v>320</v>
      </c>
      <c r="JB1" s="257" t="s">
        <v>321</v>
      </c>
      <c r="JC1" s="257" t="s">
        <v>322</v>
      </c>
      <c r="JD1" s="257" t="s">
        <v>323</v>
      </c>
      <c r="JE1" s="257" t="s">
        <v>324</v>
      </c>
      <c r="JF1" s="257" t="s">
        <v>181</v>
      </c>
      <c r="JG1" s="257" t="s">
        <v>392</v>
      </c>
      <c r="JH1" s="257" t="s">
        <v>325</v>
      </c>
      <c r="JI1" s="257" t="s">
        <v>326</v>
      </c>
      <c r="JJ1" s="257" t="s">
        <v>327</v>
      </c>
      <c r="JK1" s="257" t="s">
        <v>328</v>
      </c>
      <c r="JL1" s="257" t="s">
        <v>329</v>
      </c>
      <c r="JM1" s="257" t="s">
        <v>330</v>
      </c>
      <c r="JN1" s="257" t="s">
        <v>331</v>
      </c>
      <c r="JO1" s="257" t="s">
        <v>332</v>
      </c>
      <c r="JP1" s="257" t="s">
        <v>333</v>
      </c>
      <c r="JQ1" s="257" t="s">
        <v>334</v>
      </c>
      <c r="JR1" s="257" t="s">
        <v>335</v>
      </c>
      <c r="JS1" s="257" t="s">
        <v>336</v>
      </c>
      <c r="JT1" s="257" t="s">
        <v>185</v>
      </c>
      <c r="JU1" s="257" t="s">
        <v>393</v>
      </c>
      <c r="JV1" s="257" t="s">
        <v>337</v>
      </c>
      <c r="JW1" s="257" t="s">
        <v>338</v>
      </c>
      <c r="JX1" s="257" t="s">
        <v>339</v>
      </c>
      <c r="JY1" s="257" t="s">
        <v>340</v>
      </c>
      <c r="JZ1" s="257" t="s">
        <v>341</v>
      </c>
      <c r="KA1" s="257" t="s">
        <v>342</v>
      </c>
      <c r="KB1" s="257" t="s">
        <v>343</v>
      </c>
      <c r="KC1" s="257" t="s">
        <v>344</v>
      </c>
      <c r="KD1" s="257" t="s">
        <v>345</v>
      </c>
      <c r="KE1" s="257" t="s">
        <v>346</v>
      </c>
      <c r="KF1" s="257" t="s">
        <v>347</v>
      </c>
      <c r="KG1" s="257" t="s">
        <v>348</v>
      </c>
      <c r="KH1" s="257" t="s">
        <v>152</v>
      </c>
      <c r="KI1" s="257" t="s">
        <v>153</v>
      </c>
      <c r="KJ1" s="257" t="s">
        <v>160</v>
      </c>
      <c r="KK1" s="257" t="s">
        <v>154</v>
      </c>
      <c r="KL1" s="257" t="s">
        <v>155</v>
      </c>
      <c r="KM1" s="257" t="s">
        <v>161</v>
      </c>
      <c r="KN1" s="257" t="s">
        <v>156</v>
      </c>
      <c r="KO1" s="257" t="s">
        <v>157</v>
      </c>
      <c r="KP1" s="257" t="s">
        <v>162</v>
      </c>
      <c r="KQ1" s="257" t="s">
        <v>158</v>
      </c>
      <c r="KR1" s="257" t="s">
        <v>159</v>
      </c>
      <c r="KS1" s="257" t="s">
        <v>163</v>
      </c>
      <c r="KT1" s="261" t="s">
        <v>195</v>
      </c>
      <c r="KU1" s="261" t="s">
        <v>196</v>
      </c>
      <c r="KV1" s="262" t="s">
        <v>197</v>
      </c>
      <c r="KW1" s="261" t="s">
        <v>198</v>
      </c>
      <c r="KX1" s="261" t="s">
        <v>199</v>
      </c>
      <c r="KY1" s="262" t="s">
        <v>200</v>
      </c>
    </row>
    <row r="2" spans="1:311" ht="43.5">
      <c r="A2" s="263">
        <v>44295</v>
      </c>
      <c r="B2" s="264" t="s">
        <v>210</v>
      </c>
      <c r="C2" s="265">
        <v>0.24285714285714305</v>
      </c>
      <c r="D2" s="265">
        <v>0.74352941176470511</v>
      </c>
      <c r="E2" s="265">
        <v>0.94234592445328036</v>
      </c>
      <c r="F2" s="265">
        <v>0.1701607497869923</v>
      </c>
      <c r="G2" s="266">
        <v>0.33333333333333331</v>
      </c>
      <c r="H2" s="266">
        <v>0.47916666666666669</v>
      </c>
      <c r="I2" s="264" t="s">
        <v>421</v>
      </c>
      <c r="J2" s="267">
        <v>210.00000000000006</v>
      </c>
      <c r="K2" s="267">
        <v>210.00000000000006</v>
      </c>
      <c r="L2" s="267">
        <v>159</v>
      </c>
      <c r="M2" s="267">
        <v>51.000000000000057</v>
      </c>
      <c r="N2" s="267">
        <v>37.92</v>
      </c>
      <c r="O2" s="267">
        <v>232</v>
      </c>
      <c r="P2" s="267">
        <v>0</v>
      </c>
      <c r="Q2" s="267">
        <v>3792</v>
      </c>
      <c r="R2" s="264">
        <v>0</v>
      </c>
      <c r="S2" s="267">
        <v>0</v>
      </c>
      <c r="T2" s="267">
        <v>0</v>
      </c>
      <c r="U2" s="267">
        <v>0</v>
      </c>
      <c r="V2" s="267">
        <v>0</v>
      </c>
      <c r="W2" s="264" t="s">
        <v>176</v>
      </c>
      <c r="X2" s="264">
        <v>0</v>
      </c>
      <c r="Y2" s="267">
        <v>0</v>
      </c>
      <c r="Z2" s="267">
        <v>0</v>
      </c>
      <c r="AA2" s="267">
        <v>0</v>
      </c>
      <c r="AB2" s="267">
        <v>0</v>
      </c>
      <c r="AC2" s="264" t="s">
        <v>176</v>
      </c>
      <c r="AD2" s="264">
        <v>0</v>
      </c>
      <c r="AE2" s="267">
        <v>0</v>
      </c>
      <c r="AF2" s="267">
        <v>0</v>
      </c>
      <c r="AG2" s="267">
        <v>0</v>
      </c>
      <c r="AH2" s="267">
        <v>0</v>
      </c>
      <c r="AI2" s="264" t="s">
        <v>176</v>
      </c>
      <c r="AJ2" s="264">
        <v>0</v>
      </c>
      <c r="AK2" s="267">
        <v>0</v>
      </c>
      <c r="AL2" s="267">
        <v>0</v>
      </c>
      <c r="AM2" s="267">
        <v>0</v>
      </c>
      <c r="AN2" s="267">
        <v>0</v>
      </c>
      <c r="AO2" s="264" t="s">
        <v>176</v>
      </c>
      <c r="AP2" s="264">
        <v>0</v>
      </c>
      <c r="AQ2" s="267">
        <v>0</v>
      </c>
      <c r="AR2" s="267">
        <v>0</v>
      </c>
      <c r="AS2" s="267">
        <v>0</v>
      </c>
      <c r="AT2" s="267">
        <v>0</v>
      </c>
      <c r="AU2" s="264" t="s">
        <v>176</v>
      </c>
      <c r="AV2" s="264">
        <v>0</v>
      </c>
      <c r="AW2" s="267">
        <v>0</v>
      </c>
      <c r="AX2" s="267">
        <v>0</v>
      </c>
      <c r="AY2" s="267">
        <v>0</v>
      </c>
      <c r="AZ2" s="267">
        <v>0</v>
      </c>
      <c r="BA2" s="264" t="s">
        <v>176</v>
      </c>
      <c r="BB2" s="268">
        <v>0</v>
      </c>
      <c r="BC2" s="268">
        <v>0</v>
      </c>
      <c r="BD2" s="268">
        <v>0</v>
      </c>
      <c r="BE2" s="268">
        <v>0</v>
      </c>
      <c r="BF2" s="268">
        <v>0</v>
      </c>
      <c r="BG2" s="269">
        <v>0</v>
      </c>
      <c r="BH2" s="268">
        <v>0</v>
      </c>
      <c r="BI2" s="268">
        <v>0</v>
      </c>
      <c r="BJ2" s="268">
        <v>0</v>
      </c>
      <c r="BK2" s="268">
        <v>0</v>
      </c>
      <c r="BL2" s="268">
        <v>0</v>
      </c>
      <c r="BM2" s="269">
        <v>0</v>
      </c>
      <c r="BN2" s="268">
        <v>0</v>
      </c>
      <c r="BO2" s="268">
        <v>0</v>
      </c>
      <c r="BP2" s="268">
        <v>0</v>
      </c>
      <c r="BQ2" s="268" t="s">
        <v>176</v>
      </c>
      <c r="BR2" s="268">
        <v>0</v>
      </c>
      <c r="BS2" s="269">
        <v>0</v>
      </c>
      <c r="BT2" s="264" t="s">
        <v>410</v>
      </c>
      <c r="BU2" s="267" t="s">
        <v>406</v>
      </c>
      <c r="BV2" s="264">
        <v>0</v>
      </c>
      <c r="BW2" s="264">
        <v>0</v>
      </c>
      <c r="BX2" s="264">
        <v>0</v>
      </c>
      <c r="BY2" s="267" t="s">
        <v>176</v>
      </c>
      <c r="BZ2" s="264">
        <v>0</v>
      </c>
      <c r="CA2" s="264">
        <v>0</v>
      </c>
      <c r="CB2" s="264">
        <v>0</v>
      </c>
      <c r="CC2" s="267" t="s">
        <v>176</v>
      </c>
      <c r="CD2" s="264">
        <v>0</v>
      </c>
      <c r="CE2" s="264">
        <v>0</v>
      </c>
      <c r="CF2" s="264">
        <v>0</v>
      </c>
      <c r="CG2" s="267" t="s">
        <v>176</v>
      </c>
      <c r="CH2" s="264">
        <v>0</v>
      </c>
      <c r="CI2" s="264">
        <v>0</v>
      </c>
      <c r="CJ2" s="264">
        <v>0</v>
      </c>
      <c r="CK2" s="267" t="s">
        <v>176</v>
      </c>
      <c r="CL2" s="264">
        <v>0</v>
      </c>
      <c r="CM2" s="264">
        <v>0</v>
      </c>
      <c r="CN2" s="264">
        <v>0</v>
      </c>
      <c r="CO2" s="267" t="s">
        <v>176</v>
      </c>
      <c r="CP2" s="264">
        <v>0</v>
      </c>
      <c r="CQ2" s="264">
        <v>0</v>
      </c>
      <c r="CR2" s="264" t="s">
        <v>252</v>
      </c>
      <c r="CS2" s="267">
        <v>54</v>
      </c>
      <c r="CT2" s="264" t="s">
        <v>429</v>
      </c>
      <c r="CU2" s="264" t="s">
        <v>410</v>
      </c>
      <c r="CV2" s="264">
        <v>0</v>
      </c>
      <c r="CW2" s="270" t="s">
        <v>221</v>
      </c>
      <c r="CX2" s="267">
        <v>15</v>
      </c>
      <c r="CY2" s="264" t="s">
        <v>430</v>
      </c>
      <c r="CZ2" s="264" t="s">
        <v>410</v>
      </c>
      <c r="DA2" s="264">
        <v>0</v>
      </c>
      <c r="DB2" s="270" t="s">
        <v>252</v>
      </c>
      <c r="DC2" s="267">
        <v>90</v>
      </c>
      <c r="DD2" s="264" t="s">
        <v>431</v>
      </c>
      <c r="DE2" s="264" t="s">
        <v>410</v>
      </c>
      <c r="DF2" s="264">
        <v>0</v>
      </c>
      <c r="DG2" s="264">
        <v>0</v>
      </c>
      <c r="DH2" s="267">
        <v>0</v>
      </c>
      <c r="DI2" s="264">
        <v>0</v>
      </c>
      <c r="DJ2" s="264">
        <v>0</v>
      </c>
      <c r="DK2" s="264">
        <v>0</v>
      </c>
      <c r="DL2" s="264">
        <v>0</v>
      </c>
      <c r="DM2" s="267">
        <v>0</v>
      </c>
      <c r="DN2" s="264">
        <v>0</v>
      </c>
      <c r="DO2" s="264">
        <v>0</v>
      </c>
      <c r="DP2" s="264">
        <v>0</v>
      </c>
      <c r="DQ2" s="264">
        <v>0</v>
      </c>
      <c r="DR2" s="267">
        <v>0</v>
      </c>
      <c r="DS2" s="264">
        <v>0</v>
      </c>
      <c r="DT2" s="264">
        <v>0</v>
      </c>
      <c r="DU2" s="264">
        <v>0</v>
      </c>
      <c r="DV2" s="264">
        <v>0</v>
      </c>
      <c r="DW2" s="267">
        <v>0</v>
      </c>
      <c r="DX2" s="264">
        <v>0</v>
      </c>
      <c r="DY2" s="264">
        <v>0</v>
      </c>
      <c r="DZ2" s="264">
        <v>0</v>
      </c>
      <c r="EA2" s="264">
        <v>0</v>
      </c>
      <c r="EB2" s="267">
        <v>0</v>
      </c>
      <c r="EC2" s="264">
        <v>0</v>
      </c>
      <c r="ED2" s="264">
        <v>0</v>
      </c>
      <c r="EE2" s="264">
        <v>0</v>
      </c>
      <c r="EF2" s="264">
        <v>0</v>
      </c>
      <c r="EG2" s="267">
        <v>0</v>
      </c>
      <c r="EH2" s="264">
        <v>0</v>
      </c>
      <c r="EI2" s="264">
        <v>0</v>
      </c>
      <c r="EJ2" s="264">
        <v>0</v>
      </c>
      <c r="EK2" s="264">
        <v>0</v>
      </c>
      <c r="EL2" s="267">
        <v>0</v>
      </c>
      <c r="EM2" s="264">
        <v>0</v>
      </c>
      <c r="EN2" s="264">
        <v>0</v>
      </c>
      <c r="EO2" s="264">
        <v>0</v>
      </c>
      <c r="EP2" s="264">
        <v>0</v>
      </c>
      <c r="EQ2" s="267">
        <v>0</v>
      </c>
      <c r="ER2" s="264">
        <v>0</v>
      </c>
      <c r="ES2" s="264">
        <v>0</v>
      </c>
      <c r="ET2" s="264">
        <v>0</v>
      </c>
      <c r="EU2" s="264">
        <v>0</v>
      </c>
      <c r="EV2" s="267">
        <v>0</v>
      </c>
      <c r="EW2" s="264">
        <v>0</v>
      </c>
      <c r="EX2" s="264">
        <v>0</v>
      </c>
      <c r="EY2" s="264">
        <v>0</v>
      </c>
      <c r="EZ2" s="264" t="s">
        <v>410</v>
      </c>
      <c r="FA2" s="266">
        <v>0.33333333333333331</v>
      </c>
      <c r="FB2" s="266">
        <v>0.47916666666666669</v>
      </c>
      <c r="FC2" s="267">
        <v>159</v>
      </c>
      <c r="FD2" s="267">
        <v>0</v>
      </c>
      <c r="FE2" s="267">
        <v>158</v>
      </c>
      <c r="FF2" s="267">
        <v>51.000000000000057</v>
      </c>
      <c r="FG2" s="267">
        <v>37.92</v>
      </c>
      <c r="FH2" s="264">
        <v>0</v>
      </c>
      <c r="FI2" s="264" t="s">
        <v>176</v>
      </c>
      <c r="FJ2" s="266">
        <v>0</v>
      </c>
      <c r="FK2" s="266">
        <v>0</v>
      </c>
      <c r="FL2" s="267">
        <v>0</v>
      </c>
      <c r="FM2" s="267">
        <v>0</v>
      </c>
      <c r="FN2" s="267">
        <v>0</v>
      </c>
      <c r="FO2" s="267" t="s">
        <v>176</v>
      </c>
      <c r="FP2" s="267">
        <v>0</v>
      </c>
      <c r="FQ2" s="264">
        <v>0</v>
      </c>
      <c r="FR2" s="264" t="s">
        <v>176</v>
      </c>
      <c r="FS2" s="266">
        <v>0</v>
      </c>
      <c r="FT2" s="266">
        <v>0</v>
      </c>
      <c r="FU2" s="267">
        <v>0</v>
      </c>
      <c r="FV2" s="267">
        <v>0</v>
      </c>
      <c r="FW2" s="267">
        <v>0</v>
      </c>
      <c r="FX2" s="267" t="s">
        <v>176</v>
      </c>
      <c r="FY2" s="267">
        <v>0</v>
      </c>
      <c r="FZ2" s="264">
        <v>0</v>
      </c>
      <c r="GA2" s="264" t="s">
        <v>176</v>
      </c>
      <c r="GB2" s="266">
        <v>0</v>
      </c>
      <c r="GC2" s="266">
        <v>0</v>
      </c>
      <c r="GD2" s="267">
        <v>0</v>
      </c>
      <c r="GE2" s="267">
        <v>0</v>
      </c>
      <c r="GF2" s="267">
        <v>0</v>
      </c>
      <c r="GG2" s="267" t="s">
        <v>176</v>
      </c>
      <c r="GH2" s="267">
        <v>0</v>
      </c>
      <c r="GI2" s="264">
        <v>0</v>
      </c>
      <c r="GJ2" s="264" t="s">
        <v>176</v>
      </c>
      <c r="GK2" s="266">
        <v>0</v>
      </c>
      <c r="GL2" s="266">
        <v>0</v>
      </c>
      <c r="GM2" s="267">
        <v>0</v>
      </c>
      <c r="GN2" s="267">
        <v>0</v>
      </c>
      <c r="GO2" s="267">
        <v>0</v>
      </c>
      <c r="GP2" s="267" t="s">
        <v>176</v>
      </c>
      <c r="GQ2" s="267">
        <v>0</v>
      </c>
      <c r="GR2" s="264">
        <v>0</v>
      </c>
      <c r="GS2" s="264" t="s">
        <v>176</v>
      </c>
      <c r="GT2" s="266">
        <v>0</v>
      </c>
      <c r="GU2" s="266">
        <v>0</v>
      </c>
      <c r="GV2" s="267">
        <v>0</v>
      </c>
      <c r="GW2" s="267">
        <v>0</v>
      </c>
      <c r="GX2" s="267">
        <v>0</v>
      </c>
      <c r="GY2" s="267" t="s">
        <v>176</v>
      </c>
      <c r="GZ2" s="267">
        <v>0</v>
      </c>
      <c r="HA2" s="264">
        <v>0</v>
      </c>
      <c r="HB2" s="264" t="s">
        <v>410</v>
      </c>
      <c r="HC2" s="264">
        <v>3792</v>
      </c>
      <c r="HD2" s="267">
        <v>3792</v>
      </c>
      <c r="HE2" s="267">
        <v>0</v>
      </c>
      <c r="HF2" s="267">
        <v>3792</v>
      </c>
      <c r="HG2" s="267">
        <v>45</v>
      </c>
      <c r="HH2" s="267">
        <v>3792</v>
      </c>
      <c r="HI2" s="267">
        <v>19</v>
      </c>
      <c r="HJ2" s="267">
        <v>158</v>
      </c>
      <c r="HK2" s="267">
        <v>7</v>
      </c>
      <c r="HL2" s="267">
        <v>158</v>
      </c>
      <c r="HM2" s="267">
        <v>0</v>
      </c>
      <c r="HN2" s="267">
        <v>158</v>
      </c>
      <c r="HO2" s="267">
        <v>0</v>
      </c>
      <c r="HP2" s="267" t="s">
        <v>176</v>
      </c>
      <c r="HQ2" s="267">
        <v>0</v>
      </c>
      <c r="HR2" s="267">
        <v>0</v>
      </c>
      <c r="HS2" s="267">
        <v>0</v>
      </c>
      <c r="HT2" s="267">
        <v>0</v>
      </c>
      <c r="HU2" s="267">
        <v>0</v>
      </c>
      <c r="HV2" s="267">
        <v>0</v>
      </c>
      <c r="HW2" s="267">
        <v>0</v>
      </c>
      <c r="HX2" s="267">
        <v>0</v>
      </c>
      <c r="HY2" s="267">
        <v>0</v>
      </c>
      <c r="HZ2" s="267">
        <v>0</v>
      </c>
      <c r="IA2" s="267">
        <v>0</v>
      </c>
      <c r="IB2" s="267">
        <v>0</v>
      </c>
      <c r="IC2" s="267">
        <v>0</v>
      </c>
      <c r="ID2" s="267" t="s">
        <v>176</v>
      </c>
      <c r="IE2" s="267">
        <v>0</v>
      </c>
      <c r="IF2" s="267">
        <v>0</v>
      </c>
      <c r="IG2" s="267">
        <v>0</v>
      </c>
      <c r="IH2" s="267">
        <v>0</v>
      </c>
      <c r="II2" s="267">
        <v>0</v>
      </c>
      <c r="IJ2" s="267">
        <v>0</v>
      </c>
      <c r="IK2" s="267">
        <v>0</v>
      </c>
      <c r="IL2" s="267">
        <v>0</v>
      </c>
      <c r="IM2" s="267">
        <v>0</v>
      </c>
      <c r="IN2" s="267">
        <v>0</v>
      </c>
      <c r="IO2" s="267">
        <v>0</v>
      </c>
      <c r="IP2" s="267">
        <v>0</v>
      </c>
      <c r="IQ2" s="267">
        <v>0</v>
      </c>
      <c r="IR2" s="267" t="s">
        <v>176</v>
      </c>
      <c r="IS2" s="267">
        <v>0</v>
      </c>
      <c r="IT2" s="272">
        <v>0</v>
      </c>
      <c r="IU2" s="272">
        <v>0</v>
      </c>
      <c r="IV2" s="272">
        <v>0</v>
      </c>
      <c r="IW2" s="272">
        <v>0</v>
      </c>
      <c r="IX2" s="272">
        <v>0</v>
      </c>
      <c r="IY2" s="272">
        <v>0</v>
      </c>
      <c r="IZ2" s="267">
        <v>0</v>
      </c>
      <c r="JA2" s="267">
        <v>0</v>
      </c>
      <c r="JB2" s="267">
        <v>0</v>
      </c>
      <c r="JC2" s="267">
        <v>0</v>
      </c>
      <c r="JD2" s="267">
        <v>0</v>
      </c>
      <c r="JE2" s="267">
        <v>0</v>
      </c>
      <c r="JF2" s="267" t="s">
        <v>176</v>
      </c>
      <c r="JG2" s="267">
        <v>0</v>
      </c>
      <c r="JH2" s="267">
        <v>0</v>
      </c>
      <c r="JI2" s="267">
        <v>0</v>
      </c>
      <c r="JJ2" s="267">
        <v>0</v>
      </c>
      <c r="JK2" s="267">
        <v>0</v>
      </c>
      <c r="JL2" s="267">
        <v>0</v>
      </c>
      <c r="JM2" s="267">
        <v>0</v>
      </c>
      <c r="JN2" s="267">
        <v>0</v>
      </c>
      <c r="JO2" s="267">
        <v>0</v>
      </c>
      <c r="JP2" s="267">
        <v>0</v>
      </c>
      <c r="JQ2" s="267">
        <v>0</v>
      </c>
      <c r="JR2" s="267">
        <v>0</v>
      </c>
      <c r="JS2" s="267">
        <v>0</v>
      </c>
      <c r="JT2" s="267" t="s">
        <v>176</v>
      </c>
      <c r="JU2" s="267">
        <v>0</v>
      </c>
      <c r="JV2" s="267">
        <v>0</v>
      </c>
      <c r="JW2" s="267">
        <v>0</v>
      </c>
      <c r="JX2" s="267">
        <v>0</v>
      </c>
      <c r="JY2" s="267">
        <v>0</v>
      </c>
      <c r="JZ2" s="267">
        <v>0</v>
      </c>
      <c r="KA2" s="267">
        <v>0</v>
      </c>
      <c r="KB2" s="267">
        <v>0</v>
      </c>
      <c r="KC2" s="267">
        <v>0</v>
      </c>
      <c r="KD2" s="267">
        <v>0</v>
      </c>
      <c r="KE2" s="267">
        <v>0</v>
      </c>
      <c r="KF2" s="267">
        <v>0</v>
      </c>
      <c r="KG2" s="267">
        <v>0</v>
      </c>
      <c r="KH2" s="266">
        <v>0.33333333333333331</v>
      </c>
      <c r="KI2" s="266">
        <v>0.47916666666666669</v>
      </c>
      <c r="KJ2" s="267">
        <v>0</v>
      </c>
      <c r="KK2" s="266">
        <v>0</v>
      </c>
      <c r="KL2" s="266">
        <v>0</v>
      </c>
      <c r="KM2" s="267">
        <v>0</v>
      </c>
      <c r="KN2" s="266">
        <v>0</v>
      </c>
      <c r="KO2" s="266">
        <v>0</v>
      </c>
      <c r="KP2" s="267">
        <v>0</v>
      </c>
      <c r="KQ2" s="266">
        <v>0</v>
      </c>
      <c r="KR2" s="266">
        <v>0</v>
      </c>
      <c r="KS2" s="267">
        <v>0</v>
      </c>
      <c r="KT2" s="266">
        <v>0</v>
      </c>
      <c r="KU2" s="266">
        <v>0</v>
      </c>
      <c r="KV2" s="267">
        <v>0</v>
      </c>
      <c r="KW2" s="266">
        <v>0</v>
      </c>
      <c r="KX2" s="266">
        <v>0</v>
      </c>
      <c r="KY2" s="267">
        <v>0</v>
      </c>
    </row>
    <row r="3" spans="1:311" ht="43.5">
      <c r="A3" s="263">
        <v>44295</v>
      </c>
      <c r="B3" s="264" t="s">
        <v>210</v>
      </c>
      <c r="C3" s="265">
        <v>0.49999999999999939</v>
      </c>
      <c r="D3" s="265">
        <v>0.96000000000000252</v>
      </c>
      <c r="E3" s="265">
        <v>0.93344857389801206</v>
      </c>
      <c r="F3" s="265">
        <v>0.44805531547104638</v>
      </c>
      <c r="G3" s="266">
        <v>0.52083333333333337</v>
      </c>
      <c r="H3" s="266">
        <v>0.66666666666666663</v>
      </c>
      <c r="I3" s="264" t="s">
        <v>421</v>
      </c>
      <c r="J3" s="267">
        <v>209.99999999999989</v>
      </c>
      <c r="K3" s="267">
        <v>89.999999999999886</v>
      </c>
      <c r="L3" s="267">
        <v>45</v>
      </c>
      <c r="M3" s="267">
        <v>44.999999999999886</v>
      </c>
      <c r="N3" s="267">
        <v>43.2</v>
      </c>
      <c r="O3" s="267">
        <v>308</v>
      </c>
      <c r="P3" s="267">
        <v>0</v>
      </c>
      <c r="Q3" s="267">
        <v>4320</v>
      </c>
      <c r="R3" s="264" t="s">
        <v>212</v>
      </c>
      <c r="S3" s="267">
        <v>120</v>
      </c>
      <c r="T3" s="267">
        <v>120</v>
      </c>
      <c r="U3" s="267">
        <v>0</v>
      </c>
      <c r="V3" s="267" t="s">
        <v>409</v>
      </c>
      <c r="W3" s="264" t="s">
        <v>176</v>
      </c>
      <c r="X3" s="264">
        <v>0</v>
      </c>
      <c r="Y3" s="267">
        <v>0</v>
      </c>
      <c r="Z3" s="267">
        <v>0</v>
      </c>
      <c r="AA3" s="267">
        <v>0</v>
      </c>
      <c r="AB3" s="267">
        <v>0</v>
      </c>
      <c r="AC3" s="264" t="s">
        <v>176</v>
      </c>
      <c r="AD3" s="264">
        <v>0</v>
      </c>
      <c r="AE3" s="267">
        <v>0</v>
      </c>
      <c r="AF3" s="267">
        <v>0</v>
      </c>
      <c r="AG3" s="267">
        <v>0</v>
      </c>
      <c r="AH3" s="267">
        <v>0</v>
      </c>
      <c r="AI3" s="264" t="s">
        <v>176</v>
      </c>
      <c r="AJ3" s="264">
        <v>0</v>
      </c>
      <c r="AK3" s="267">
        <v>0</v>
      </c>
      <c r="AL3" s="267">
        <v>0</v>
      </c>
      <c r="AM3" s="267">
        <v>0</v>
      </c>
      <c r="AN3" s="267">
        <v>0</v>
      </c>
      <c r="AO3" s="264" t="s">
        <v>176</v>
      </c>
      <c r="AP3" s="264">
        <v>0</v>
      </c>
      <c r="AQ3" s="267">
        <v>0</v>
      </c>
      <c r="AR3" s="267">
        <v>0</v>
      </c>
      <c r="AS3" s="267">
        <v>0</v>
      </c>
      <c r="AT3" s="267">
        <v>0</v>
      </c>
      <c r="AU3" s="264" t="s">
        <v>176</v>
      </c>
      <c r="AV3" s="264">
        <v>0</v>
      </c>
      <c r="AW3" s="267">
        <v>0</v>
      </c>
      <c r="AX3" s="267">
        <v>0</v>
      </c>
      <c r="AY3" s="267">
        <v>0</v>
      </c>
      <c r="AZ3" s="267">
        <v>0</v>
      </c>
      <c r="BA3" s="264" t="s">
        <v>176</v>
      </c>
      <c r="BB3" s="268">
        <v>0</v>
      </c>
      <c r="BC3" s="268">
        <v>0</v>
      </c>
      <c r="BD3" s="268">
        <v>0</v>
      </c>
      <c r="BE3" s="268">
        <v>0</v>
      </c>
      <c r="BF3" s="268">
        <v>0</v>
      </c>
      <c r="BG3" s="269">
        <v>0</v>
      </c>
      <c r="BH3" s="268">
        <v>0</v>
      </c>
      <c r="BI3" s="268">
        <v>0</v>
      </c>
      <c r="BJ3" s="268">
        <v>0</v>
      </c>
      <c r="BK3" s="268">
        <v>0</v>
      </c>
      <c r="BL3" s="268">
        <v>0</v>
      </c>
      <c r="BM3" s="269">
        <v>0</v>
      </c>
      <c r="BN3" s="268">
        <v>0</v>
      </c>
      <c r="BO3" s="268">
        <v>0</v>
      </c>
      <c r="BP3" s="268">
        <v>0</v>
      </c>
      <c r="BQ3" s="268" t="s">
        <v>176</v>
      </c>
      <c r="BR3" s="268">
        <v>0</v>
      </c>
      <c r="BS3" s="269">
        <v>0</v>
      </c>
      <c r="BT3" s="264" t="s">
        <v>409</v>
      </c>
      <c r="BU3" s="267" t="s">
        <v>406</v>
      </c>
      <c r="BV3" s="264">
        <v>0</v>
      </c>
      <c r="BW3" s="264">
        <v>0</v>
      </c>
      <c r="BX3" s="264">
        <v>0</v>
      </c>
      <c r="BY3" s="267" t="s">
        <v>176</v>
      </c>
      <c r="BZ3" s="264">
        <v>0</v>
      </c>
      <c r="CA3" s="264">
        <v>0</v>
      </c>
      <c r="CB3" s="264">
        <v>0</v>
      </c>
      <c r="CC3" s="267" t="s">
        <v>176</v>
      </c>
      <c r="CD3" s="264">
        <v>0</v>
      </c>
      <c r="CE3" s="264">
        <v>0</v>
      </c>
      <c r="CF3" s="264">
        <v>0</v>
      </c>
      <c r="CG3" s="267" t="s">
        <v>176</v>
      </c>
      <c r="CH3" s="264">
        <v>0</v>
      </c>
      <c r="CI3" s="264">
        <v>0</v>
      </c>
      <c r="CJ3" s="264">
        <v>0</v>
      </c>
      <c r="CK3" s="267" t="s">
        <v>176</v>
      </c>
      <c r="CL3" s="264">
        <v>0</v>
      </c>
      <c r="CM3" s="264">
        <v>0</v>
      </c>
      <c r="CN3" s="264">
        <v>0</v>
      </c>
      <c r="CO3" s="267" t="s">
        <v>176</v>
      </c>
      <c r="CP3" s="264">
        <v>0</v>
      </c>
      <c r="CQ3" s="264">
        <v>0</v>
      </c>
      <c r="CR3" s="264" t="s">
        <v>230</v>
      </c>
      <c r="CS3" s="267">
        <v>20</v>
      </c>
      <c r="CT3" s="264" t="s">
        <v>432</v>
      </c>
      <c r="CU3" s="264" t="s">
        <v>409</v>
      </c>
      <c r="CV3" s="264">
        <v>0</v>
      </c>
      <c r="CW3" s="270" t="s">
        <v>396</v>
      </c>
      <c r="CX3" s="267">
        <v>25</v>
      </c>
      <c r="CY3" s="264" t="s">
        <v>426</v>
      </c>
      <c r="CZ3" s="264" t="s">
        <v>409</v>
      </c>
      <c r="DA3" s="264">
        <v>0</v>
      </c>
      <c r="DB3" s="270">
        <v>0</v>
      </c>
      <c r="DC3" s="267">
        <v>0</v>
      </c>
      <c r="DD3" s="264">
        <v>0</v>
      </c>
      <c r="DE3" s="264">
        <v>0</v>
      </c>
      <c r="DF3" s="264">
        <v>0</v>
      </c>
      <c r="DG3" s="264">
        <v>0</v>
      </c>
      <c r="DH3" s="267">
        <v>0</v>
      </c>
      <c r="DI3" s="264">
        <v>0</v>
      </c>
      <c r="DJ3" s="264">
        <v>0</v>
      </c>
      <c r="DK3" s="264">
        <v>0</v>
      </c>
      <c r="DL3" s="264">
        <v>0</v>
      </c>
      <c r="DM3" s="267">
        <v>0</v>
      </c>
      <c r="DN3" s="264">
        <v>0</v>
      </c>
      <c r="DO3" s="264">
        <v>0</v>
      </c>
      <c r="DP3" s="264">
        <v>0</v>
      </c>
      <c r="DQ3" s="264">
        <v>0</v>
      </c>
      <c r="DR3" s="267">
        <v>0</v>
      </c>
      <c r="DS3" s="264">
        <v>0</v>
      </c>
      <c r="DT3" s="264">
        <v>0</v>
      </c>
      <c r="DU3" s="264">
        <v>0</v>
      </c>
      <c r="DV3" s="264">
        <v>0</v>
      </c>
      <c r="DW3" s="267">
        <v>0</v>
      </c>
      <c r="DX3" s="264">
        <v>0</v>
      </c>
      <c r="DY3" s="264">
        <v>0</v>
      </c>
      <c r="DZ3" s="264">
        <v>0</v>
      </c>
      <c r="EA3" s="264">
        <v>0</v>
      </c>
      <c r="EB3" s="267">
        <v>0</v>
      </c>
      <c r="EC3" s="264">
        <v>0</v>
      </c>
      <c r="ED3" s="264">
        <v>0</v>
      </c>
      <c r="EE3" s="264">
        <v>0</v>
      </c>
      <c r="EF3" s="264">
        <v>0</v>
      </c>
      <c r="EG3" s="267">
        <v>0</v>
      </c>
      <c r="EH3" s="264">
        <v>0</v>
      </c>
      <c r="EI3" s="264">
        <v>0</v>
      </c>
      <c r="EJ3" s="264">
        <v>0</v>
      </c>
      <c r="EK3" s="264">
        <v>0</v>
      </c>
      <c r="EL3" s="267">
        <v>0</v>
      </c>
      <c r="EM3" s="264">
        <v>0</v>
      </c>
      <c r="EN3" s="264">
        <v>0</v>
      </c>
      <c r="EO3" s="264">
        <v>0</v>
      </c>
      <c r="EP3" s="264">
        <v>0</v>
      </c>
      <c r="EQ3" s="267">
        <v>0</v>
      </c>
      <c r="ER3" s="264">
        <v>0</v>
      </c>
      <c r="ES3" s="264">
        <v>0</v>
      </c>
      <c r="ET3" s="264">
        <v>0</v>
      </c>
      <c r="EU3" s="264">
        <v>0</v>
      </c>
      <c r="EV3" s="267">
        <v>0</v>
      </c>
      <c r="EW3" s="264">
        <v>0</v>
      </c>
      <c r="EX3" s="264">
        <v>0</v>
      </c>
      <c r="EY3" s="264">
        <v>0</v>
      </c>
      <c r="EZ3" s="264" t="s">
        <v>409</v>
      </c>
      <c r="FA3" s="266">
        <v>0.52083333333333337</v>
      </c>
      <c r="FB3" s="266">
        <v>0.66666666666666663</v>
      </c>
      <c r="FC3" s="267">
        <v>45</v>
      </c>
      <c r="FD3" s="267">
        <v>120</v>
      </c>
      <c r="FE3" s="267">
        <v>180</v>
      </c>
      <c r="FF3" s="267">
        <v>44.999999999999915</v>
      </c>
      <c r="FG3" s="267">
        <v>43.2</v>
      </c>
      <c r="FH3" s="264">
        <v>0</v>
      </c>
      <c r="FI3" s="264" t="s">
        <v>176</v>
      </c>
      <c r="FJ3" s="266">
        <v>0</v>
      </c>
      <c r="FK3" s="266">
        <v>0</v>
      </c>
      <c r="FL3" s="267">
        <v>0</v>
      </c>
      <c r="FM3" s="267">
        <v>0</v>
      </c>
      <c r="FN3" s="267">
        <v>0</v>
      </c>
      <c r="FO3" s="267" t="s">
        <v>176</v>
      </c>
      <c r="FP3" s="267">
        <v>0</v>
      </c>
      <c r="FQ3" s="264">
        <v>0</v>
      </c>
      <c r="FR3" s="264" t="s">
        <v>176</v>
      </c>
      <c r="FS3" s="266">
        <v>0</v>
      </c>
      <c r="FT3" s="266">
        <v>0</v>
      </c>
      <c r="FU3" s="267">
        <v>0</v>
      </c>
      <c r="FV3" s="267">
        <v>0</v>
      </c>
      <c r="FW3" s="267">
        <v>0</v>
      </c>
      <c r="FX3" s="267" t="s">
        <v>176</v>
      </c>
      <c r="FY3" s="267">
        <v>0</v>
      </c>
      <c r="FZ3" s="264">
        <v>0</v>
      </c>
      <c r="GA3" s="264" t="s">
        <v>176</v>
      </c>
      <c r="GB3" s="266">
        <v>0</v>
      </c>
      <c r="GC3" s="266">
        <v>0</v>
      </c>
      <c r="GD3" s="267">
        <v>0</v>
      </c>
      <c r="GE3" s="267">
        <v>0</v>
      </c>
      <c r="GF3" s="267">
        <v>0</v>
      </c>
      <c r="GG3" s="267" t="s">
        <v>176</v>
      </c>
      <c r="GH3" s="267">
        <v>0</v>
      </c>
      <c r="GI3" s="264">
        <v>0</v>
      </c>
      <c r="GJ3" s="264" t="s">
        <v>176</v>
      </c>
      <c r="GK3" s="266">
        <v>0</v>
      </c>
      <c r="GL3" s="266">
        <v>0</v>
      </c>
      <c r="GM3" s="267">
        <v>0</v>
      </c>
      <c r="GN3" s="267">
        <v>0</v>
      </c>
      <c r="GO3" s="267">
        <v>0</v>
      </c>
      <c r="GP3" s="267" t="s">
        <v>176</v>
      </c>
      <c r="GQ3" s="267">
        <v>0</v>
      </c>
      <c r="GR3" s="264">
        <v>0</v>
      </c>
      <c r="GS3" s="264" t="s">
        <v>176</v>
      </c>
      <c r="GT3" s="266">
        <v>0</v>
      </c>
      <c r="GU3" s="266">
        <v>0</v>
      </c>
      <c r="GV3" s="267">
        <v>0</v>
      </c>
      <c r="GW3" s="267">
        <v>0</v>
      </c>
      <c r="GX3" s="267">
        <v>0</v>
      </c>
      <c r="GY3" s="267" t="s">
        <v>176</v>
      </c>
      <c r="GZ3" s="267">
        <v>0</v>
      </c>
      <c r="HA3" s="264">
        <v>0</v>
      </c>
      <c r="HB3" s="264" t="s">
        <v>409</v>
      </c>
      <c r="HC3" s="264">
        <v>4320</v>
      </c>
      <c r="HD3" s="267">
        <v>4320</v>
      </c>
      <c r="HE3" s="267">
        <v>0</v>
      </c>
      <c r="HF3" s="267">
        <v>4320</v>
      </c>
      <c r="HG3" s="267">
        <v>43</v>
      </c>
      <c r="HH3" s="267">
        <v>4320</v>
      </c>
      <c r="HI3" s="267">
        <v>49</v>
      </c>
      <c r="HJ3" s="267">
        <v>180</v>
      </c>
      <c r="HK3" s="267">
        <v>9</v>
      </c>
      <c r="HL3" s="267">
        <v>180</v>
      </c>
      <c r="HM3" s="267">
        <v>0</v>
      </c>
      <c r="HN3" s="267">
        <v>180</v>
      </c>
      <c r="HO3" s="267">
        <v>0</v>
      </c>
      <c r="HP3" s="267" t="s">
        <v>176</v>
      </c>
      <c r="HQ3" s="267">
        <v>0</v>
      </c>
      <c r="HR3" s="267">
        <v>0</v>
      </c>
      <c r="HS3" s="267">
        <v>0</v>
      </c>
      <c r="HT3" s="267">
        <v>0</v>
      </c>
      <c r="HU3" s="267">
        <v>0</v>
      </c>
      <c r="HV3" s="267">
        <v>0</v>
      </c>
      <c r="HW3" s="267">
        <v>0</v>
      </c>
      <c r="HX3" s="267">
        <v>0</v>
      </c>
      <c r="HY3" s="267">
        <v>0</v>
      </c>
      <c r="HZ3" s="267">
        <v>0</v>
      </c>
      <c r="IA3" s="267">
        <v>0</v>
      </c>
      <c r="IB3" s="267">
        <v>0</v>
      </c>
      <c r="IC3" s="267">
        <v>0</v>
      </c>
      <c r="ID3" s="267" t="s">
        <v>176</v>
      </c>
      <c r="IE3" s="267">
        <v>0</v>
      </c>
      <c r="IF3" s="267">
        <v>0</v>
      </c>
      <c r="IG3" s="267">
        <v>0</v>
      </c>
      <c r="IH3" s="267">
        <v>0</v>
      </c>
      <c r="II3" s="267">
        <v>0</v>
      </c>
      <c r="IJ3" s="267">
        <v>0</v>
      </c>
      <c r="IK3" s="267">
        <v>0</v>
      </c>
      <c r="IL3" s="267">
        <v>0</v>
      </c>
      <c r="IM3" s="267">
        <v>0</v>
      </c>
      <c r="IN3" s="267">
        <v>0</v>
      </c>
      <c r="IO3" s="267">
        <v>0</v>
      </c>
      <c r="IP3" s="267">
        <v>0</v>
      </c>
      <c r="IQ3" s="267">
        <v>0</v>
      </c>
      <c r="IR3" s="267" t="s">
        <v>176</v>
      </c>
      <c r="IS3" s="267">
        <v>0</v>
      </c>
      <c r="IT3" s="272">
        <v>0</v>
      </c>
      <c r="IU3" s="272">
        <v>0</v>
      </c>
      <c r="IV3" s="272">
        <v>0</v>
      </c>
      <c r="IW3" s="272">
        <v>0</v>
      </c>
      <c r="IX3" s="272">
        <v>0</v>
      </c>
      <c r="IY3" s="272">
        <v>0</v>
      </c>
      <c r="IZ3" s="267">
        <v>0</v>
      </c>
      <c r="JA3" s="267">
        <v>0</v>
      </c>
      <c r="JB3" s="267">
        <v>0</v>
      </c>
      <c r="JC3" s="267">
        <v>0</v>
      </c>
      <c r="JD3" s="267">
        <v>0</v>
      </c>
      <c r="JE3" s="267">
        <v>0</v>
      </c>
      <c r="JF3" s="267" t="s">
        <v>176</v>
      </c>
      <c r="JG3" s="267">
        <v>0</v>
      </c>
      <c r="JH3" s="267">
        <v>0</v>
      </c>
      <c r="JI3" s="267">
        <v>0</v>
      </c>
      <c r="JJ3" s="267">
        <v>0</v>
      </c>
      <c r="JK3" s="267">
        <v>0</v>
      </c>
      <c r="JL3" s="267">
        <v>0</v>
      </c>
      <c r="JM3" s="267">
        <v>0</v>
      </c>
      <c r="JN3" s="267">
        <v>0</v>
      </c>
      <c r="JO3" s="267">
        <v>0</v>
      </c>
      <c r="JP3" s="267">
        <v>0</v>
      </c>
      <c r="JQ3" s="267">
        <v>0</v>
      </c>
      <c r="JR3" s="267">
        <v>0</v>
      </c>
      <c r="JS3" s="267">
        <v>0</v>
      </c>
      <c r="JT3" s="267" t="s">
        <v>176</v>
      </c>
      <c r="JU3" s="267">
        <v>0</v>
      </c>
      <c r="JV3" s="267">
        <v>0</v>
      </c>
      <c r="JW3" s="267">
        <v>0</v>
      </c>
      <c r="JX3" s="267">
        <v>0</v>
      </c>
      <c r="JY3" s="267">
        <v>0</v>
      </c>
      <c r="JZ3" s="267">
        <v>0</v>
      </c>
      <c r="KA3" s="267">
        <v>0</v>
      </c>
      <c r="KB3" s="267">
        <v>0</v>
      </c>
      <c r="KC3" s="267">
        <v>0</v>
      </c>
      <c r="KD3" s="267">
        <v>0</v>
      </c>
      <c r="KE3" s="267">
        <v>0</v>
      </c>
      <c r="KF3" s="267">
        <v>0</v>
      </c>
      <c r="KG3" s="267">
        <v>0</v>
      </c>
      <c r="KH3" s="266">
        <v>0.52083333333333337</v>
      </c>
      <c r="KI3" s="266">
        <v>0.66666666666666663</v>
      </c>
      <c r="KJ3" s="267">
        <v>120</v>
      </c>
      <c r="KK3" s="266">
        <v>0</v>
      </c>
      <c r="KL3" s="266">
        <v>0</v>
      </c>
      <c r="KM3" s="267">
        <v>0</v>
      </c>
      <c r="KN3" s="266">
        <v>0</v>
      </c>
      <c r="KO3" s="266">
        <v>0</v>
      </c>
      <c r="KP3" s="267">
        <v>0</v>
      </c>
      <c r="KQ3" s="266">
        <v>0</v>
      </c>
      <c r="KR3" s="266">
        <v>0</v>
      </c>
      <c r="KS3" s="267">
        <v>0</v>
      </c>
      <c r="KT3" s="266">
        <v>0</v>
      </c>
      <c r="KU3" s="266">
        <v>0</v>
      </c>
      <c r="KV3" s="267">
        <v>0</v>
      </c>
      <c r="KW3" s="266">
        <v>0</v>
      </c>
      <c r="KX3" s="266">
        <v>0</v>
      </c>
      <c r="KY3" s="267">
        <v>0</v>
      </c>
    </row>
    <row r="4" spans="1:311" ht="43.5">
      <c r="A4" s="263">
        <v>44295</v>
      </c>
      <c r="B4" s="264" t="s">
        <v>180</v>
      </c>
      <c r="C4" s="265">
        <v>0.67777777777777781</v>
      </c>
      <c r="D4" s="265">
        <v>0.48629508196721311</v>
      </c>
      <c r="E4" s="265">
        <v>0.97476340694006314</v>
      </c>
      <c r="F4" s="265">
        <v>0.32128201892744479</v>
      </c>
      <c r="G4" s="266">
        <v>0.66666666666666663</v>
      </c>
      <c r="H4" s="266">
        <v>1</v>
      </c>
      <c r="I4" s="264" t="s">
        <v>420</v>
      </c>
      <c r="J4" s="267">
        <v>480</v>
      </c>
      <c r="K4" s="267">
        <v>450</v>
      </c>
      <c r="L4" s="267">
        <v>145</v>
      </c>
      <c r="M4" s="267">
        <v>305</v>
      </c>
      <c r="N4" s="267">
        <v>148.32</v>
      </c>
      <c r="O4" s="267">
        <v>384</v>
      </c>
      <c r="P4" s="267">
        <v>0</v>
      </c>
      <c r="Q4" s="267">
        <v>14832</v>
      </c>
      <c r="R4" s="264" t="s">
        <v>212</v>
      </c>
      <c r="S4" s="267">
        <v>30</v>
      </c>
      <c r="T4" s="267">
        <v>30</v>
      </c>
      <c r="U4" s="267">
        <v>0</v>
      </c>
      <c r="V4" s="267" t="s">
        <v>409</v>
      </c>
      <c r="W4" s="264" t="s">
        <v>176</v>
      </c>
      <c r="X4" s="264">
        <v>0</v>
      </c>
      <c r="Y4" s="267">
        <v>0</v>
      </c>
      <c r="Z4" s="267">
        <v>0</v>
      </c>
      <c r="AA4" s="267">
        <v>0</v>
      </c>
      <c r="AB4" s="267">
        <v>0</v>
      </c>
      <c r="AC4" s="264" t="s">
        <v>176</v>
      </c>
      <c r="AD4" s="264">
        <v>0</v>
      </c>
      <c r="AE4" s="267">
        <v>0</v>
      </c>
      <c r="AF4" s="267">
        <v>0</v>
      </c>
      <c r="AG4" s="267">
        <v>0</v>
      </c>
      <c r="AH4" s="267">
        <v>0</v>
      </c>
      <c r="AI4" s="264" t="s">
        <v>176</v>
      </c>
      <c r="AJ4" s="264">
        <v>0</v>
      </c>
      <c r="AK4" s="267">
        <v>0</v>
      </c>
      <c r="AL4" s="267">
        <v>0</v>
      </c>
      <c r="AM4" s="267">
        <v>0</v>
      </c>
      <c r="AN4" s="267">
        <v>0</v>
      </c>
      <c r="AO4" s="264" t="s">
        <v>176</v>
      </c>
      <c r="AP4" s="264">
        <v>0</v>
      </c>
      <c r="AQ4" s="267">
        <v>0</v>
      </c>
      <c r="AR4" s="267">
        <v>0</v>
      </c>
      <c r="AS4" s="267">
        <v>0</v>
      </c>
      <c r="AT4" s="267">
        <v>0</v>
      </c>
      <c r="AU4" s="264" t="s">
        <v>176</v>
      </c>
      <c r="AV4" s="264">
        <v>0</v>
      </c>
      <c r="AW4" s="267">
        <v>0</v>
      </c>
      <c r="AX4" s="267">
        <v>0</v>
      </c>
      <c r="AY4" s="267">
        <v>0</v>
      </c>
      <c r="AZ4" s="267">
        <v>0</v>
      </c>
      <c r="BA4" s="264" t="s">
        <v>176</v>
      </c>
      <c r="BB4" s="268">
        <v>0</v>
      </c>
      <c r="BC4" s="268">
        <v>0</v>
      </c>
      <c r="BD4" s="268">
        <v>0</v>
      </c>
      <c r="BE4" s="268">
        <v>0</v>
      </c>
      <c r="BF4" s="268">
        <v>0</v>
      </c>
      <c r="BG4" s="269">
        <v>0</v>
      </c>
      <c r="BH4" s="268">
        <v>0</v>
      </c>
      <c r="BI4" s="268">
        <v>0</v>
      </c>
      <c r="BJ4" s="268">
        <v>0</v>
      </c>
      <c r="BK4" s="268">
        <v>0</v>
      </c>
      <c r="BL4" s="268">
        <v>0</v>
      </c>
      <c r="BM4" s="269">
        <v>0</v>
      </c>
      <c r="BN4" s="268">
        <v>0</v>
      </c>
      <c r="BO4" s="268">
        <v>0</v>
      </c>
      <c r="BP4" s="268">
        <v>0</v>
      </c>
      <c r="BQ4" s="268" t="s">
        <v>176</v>
      </c>
      <c r="BR4" s="268">
        <v>0</v>
      </c>
      <c r="BS4" s="269">
        <v>0</v>
      </c>
      <c r="BT4" s="264" t="s">
        <v>409</v>
      </c>
      <c r="BU4" s="267" t="s">
        <v>406</v>
      </c>
      <c r="BV4" s="264">
        <v>0</v>
      </c>
      <c r="BW4" s="264">
        <v>0</v>
      </c>
      <c r="BX4" s="264">
        <v>0</v>
      </c>
      <c r="BY4" s="267" t="s">
        <v>176</v>
      </c>
      <c r="BZ4" s="264">
        <v>0</v>
      </c>
      <c r="CA4" s="264">
        <v>0</v>
      </c>
      <c r="CB4" s="264">
        <v>0</v>
      </c>
      <c r="CC4" s="267" t="s">
        <v>176</v>
      </c>
      <c r="CD4" s="264">
        <v>0</v>
      </c>
      <c r="CE4" s="264">
        <v>0</v>
      </c>
      <c r="CF4" s="264">
        <v>0</v>
      </c>
      <c r="CG4" s="267" t="s">
        <v>176</v>
      </c>
      <c r="CH4" s="264">
        <v>0</v>
      </c>
      <c r="CI4" s="264">
        <v>0</v>
      </c>
      <c r="CJ4" s="264">
        <v>0</v>
      </c>
      <c r="CK4" s="267" t="s">
        <v>176</v>
      </c>
      <c r="CL4" s="264">
        <v>0</v>
      </c>
      <c r="CM4" s="264">
        <v>0</v>
      </c>
      <c r="CN4" s="264">
        <v>0</v>
      </c>
      <c r="CO4" s="267" t="s">
        <v>176</v>
      </c>
      <c r="CP4" s="264">
        <v>0</v>
      </c>
      <c r="CQ4" s="264">
        <v>0</v>
      </c>
      <c r="CR4" s="264" t="s">
        <v>218</v>
      </c>
      <c r="CS4" s="267">
        <v>70</v>
      </c>
      <c r="CT4" s="264" t="s">
        <v>433</v>
      </c>
      <c r="CU4" s="264" t="s">
        <v>409</v>
      </c>
      <c r="CV4" s="264">
        <v>0</v>
      </c>
      <c r="CW4" s="270" t="s">
        <v>218</v>
      </c>
      <c r="CX4" s="267">
        <v>75</v>
      </c>
      <c r="CY4" s="264" t="s">
        <v>434</v>
      </c>
      <c r="CZ4" s="264" t="s">
        <v>409</v>
      </c>
      <c r="DA4" s="264">
        <v>0</v>
      </c>
      <c r="DB4" s="270">
        <v>0</v>
      </c>
      <c r="DC4" s="267">
        <v>0</v>
      </c>
      <c r="DD4" s="264">
        <v>0</v>
      </c>
      <c r="DE4" s="264">
        <v>0</v>
      </c>
      <c r="DF4" s="264">
        <v>0</v>
      </c>
      <c r="DG4" s="264">
        <v>0</v>
      </c>
      <c r="DH4" s="267">
        <v>0</v>
      </c>
      <c r="DI4" s="264">
        <v>0</v>
      </c>
      <c r="DJ4" s="264">
        <v>0</v>
      </c>
      <c r="DK4" s="264">
        <v>0</v>
      </c>
      <c r="DL4" s="264">
        <v>0</v>
      </c>
      <c r="DM4" s="267">
        <v>0</v>
      </c>
      <c r="DN4" s="264">
        <v>0</v>
      </c>
      <c r="DO4" s="264">
        <v>0</v>
      </c>
      <c r="DP4" s="264">
        <v>0</v>
      </c>
      <c r="DQ4" s="264">
        <v>0</v>
      </c>
      <c r="DR4" s="267">
        <v>0</v>
      </c>
      <c r="DS4" s="264">
        <v>0</v>
      </c>
      <c r="DT4" s="264">
        <v>0</v>
      </c>
      <c r="DU4" s="264">
        <v>0</v>
      </c>
      <c r="DV4" s="264">
        <v>0</v>
      </c>
      <c r="DW4" s="267">
        <v>0</v>
      </c>
      <c r="DX4" s="264">
        <v>0</v>
      </c>
      <c r="DY4" s="264">
        <v>0</v>
      </c>
      <c r="DZ4" s="264">
        <v>0</v>
      </c>
      <c r="EA4" s="264">
        <v>0</v>
      </c>
      <c r="EB4" s="267">
        <v>0</v>
      </c>
      <c r="EC4" s="264">
        <v>0</v>
      </c>
      <c r="ED4" s="264">
        <v>0</v>
      </c>
      <c r="EE4" s="264">
        <v>0</v>
      </c>
      <c r="EF4" s="264">
        <v>0</v>
      </c>
      <c r="EG4" s="267">
        <v>0</v>
      </c>
      <c r="EH4" s="264">
        <v>0</v>
      </c>
      <c r="EI4" s="264">
        <v>0</v>
      </c>
      <c r="EJ4" s="264">
        <v>0</v>
      </c>
      <c r="EK4" s="264">
        <v>0</v>
      </c>
      <c r="EL4" s="267">
        <v>0</v>
      </c>
      <c r="EM4" s="264">
        <v>0</v>
      </c>
      <c r="EN4" s="264">
        <v>0</v>
      </c>
      <c r="EO4" s="264">
        <v>0</v>
      </c>
      <c r="EP4" s="264">
        <v>0</v>
      </c>
      <c r="EQ4" s="267">
        <v>0</v>
      </c>
      <c r="ER4" s="264">
        <v>0</v>
      </c>
      <c r="ES4" s="264">
        <v>0</v>
      </c>
      <c r="ET4" s="264">
        <v>0</v>
      </c>
      <c r="EU4" s="264">
        <v>0</v>
      </c>
      <c r="EV4" s="267">
        <v>0</v>
      </c>
      <c r="EW4" s="264">
        <v>0</v>
      </c>
      <c r="EX4" s="264">
        <v>0</v>
      </c>
      <c r="EY4" s="264">
        <v>0</v>
      </c>
      <c r="EZ4" s="264" t="s">
        <v>409</v>
      </c>
      <c r="FA4" s="266">
        <v>0.66666666666666663</v>
      </c>
      <c r="FB4" s="266">
        <v>1</v>
      </c>
      <c r="FC4" s="267">
        <v>145</v>
      </c>
      <c r="FD4" s="267">
        <v>30</v>
      </c>
      <c r="FE4" s="267">
        <v>618</v>
      </c>
      <c r="FF4" s="267">
        <v>305.00000000000011</v>
      </c>
      <c r="FG4" s="267">
        <v>148.32</v>
      </c>
      <c r="FH4" s="264">
        <v>0</v>
      </c>
      <c r="FI4" s="264" t="s">
        <v>176</v>
      </c>
      <c r="FJ4" s="266">
        <v>0</v>
      </c>
      <c r="FK4" s="266">
        <v>0</v>
      </c>
      <c r="FL4" s="267">
        <v>0</v>
      </c>
      <c r="FM4" s="267">
        <v>0</v>
      </c>
      <c r="FN4" s="267">
        <v>0</v>
      </c>
      <c r="FO4" s="267" t="s">
        <v>176</v>
      </c>
      <c r="FP4" s="267">
        <v>0</v>
      </c>
      <c r="FQ4" s="264">
        <v>0</v>
      </c>
      <c r="FR4" s="264" t="s">
        <v>176</v>
      </c>
      <c r="FS4" s="266">
        <v>0</v>
      </c>
      <c r="FT4" s="266">
        <v>0</v>
      </c>
      <c r="FU4" s="267">
        <v>0</v>
      </c>
      <c r="FV4" s="267">
        <v>0</v>
      </c>
      <c r="FW4" s="267">
        <v>0</v>
      </c>
      <c r="FX4" s="267" t="s">
        <v>176</v>
      </c>
      <c r="FY4" s="267">
        <v>0</v>
      </c>
      <c r="FZ4" s="264">
        <v>0</v>
      </c>
      <c r="GA4" s="264" t="s">
        <v>176</v>
      </c>
      <c r="GB4" s="266">
        <v>0</v>
      </c>
      <c r="GC4" s="266">
        <v>0</v>
      </c>
      <c r="GD4" s="267">
        <v>0</v>
      </c>
      <c r="GE4" s="267">
        <v>0</v>
      </c>
      <c r="GF4" s="267">
        <v>0</v>
      </c>
      <c r="GG4" s="267" t="s">
        <v>176</v>
      </c>
      <c r="GH4" s="267">
        <v>0</v>
      </c>
      <c r="GI4" s="264">
        <v>0</v>
      </c>
      <c r="GJ4" s="264" t="s">
        <v>176</v>
      </c>
      <c r="GK4" s="266">
        <v>0</v>
      </c>
      <c r="GL4" s="266">
        <v>0</v>
      </c>
      <c r="GM4" s="267">
        <v>0</v>
      </c>
      <c r="GN4" s="267">
        <v>0</v>
      </c>
      <c r="GO4" s="267">
        <v>0</v>
      </c>
      <c r="GP4" s="267" t="s">
        <v>176</v>
      </c>
      <c r="GQ4" s="267">
        <v>0</v>
      </c>
      <c r="GR4" s="264">
        <v>0</v>
      </c>
      <c r="GS4" s="264" t="s">
        <v>176</v>
      </c>
      <c r="GT4" s="266">
        <v>0</v>
      </c>
      <c r="GU4" s="266">
        <v>0</v>
      </c>
      <c r="GV4" s="267">
        <v>0</v>
      </c>
      <c r="GW4" s="267">
        <v>0</v>
      </c>
      <c r="GX4" s="267">
        <v>0</v>
      </c>
      <c r="GY4" s="267" t="s">
        <v>176</v>
      </c>
      <c r="GZ4" s="267">
        <v>0</v>
      </c>
      <c r="HA4" s="264">
        <v>0</v>
      </c>
      <c r="HB4" s="264" t="s">
        <v>409</v>
      </c>
      <c r="HC4" s="264">
        <v>14832</v>
      </c>
      <c r="HD4" s="267">
        <v>14832</v>
      </c>
      <c r="HE4" s="267">
        <v>0</v>
      </c>
      <c r="HF4" s="267">
        <v>14832</v>
      </c>
      <c r="HG4" s="267">
        <v>112</v>
      </c>
      <c r="HH4" s="267">
        <v>14832</v>
      </c>
      <c r="HI4" s="267">
        <v>128</v>
      </c>
      <c r="HJ4" s="267">
        <v>618</v>
      </c>
      <c r="HK4" s="267">
        <v>6</v>
      </c>
      <c r="HL4" s="267">
        <v>618</v>
      </c>
      <c r="HM4" s="267">
        <v>0</v>
      </c>
      <c r="HN4" s="267">
        <v>618</v>
      </c>
      <c r="HO4" s="267">
        <v>0</v>
      </c>
      <c r="HP4" s="267" t="s">
        <v>176</v>
      </c>
      <c r="HQ4" s="267">
        <v>0</v>
      </c>
      <c r="HR4" s="267">
        <v>0</v>
      </c>
      <c r="HS4" s="267">
        <v>0</v>
      </c>
      <c r="HT4" s="267">
        <v>0</v>
      </c>
      <c r="HU4" s="267">
        <v>0</v>
      </c>
      <c r="HV4" s="267">
        <v>0</v>
      </c>
      <c r="HW4" s="267">
        <v>0</v>
      </c>
      <c r="HX4" s="267">
        <v>0</v>
      </c>
      <c r="HY4" s="267">
        <v>0</v>
      </c>
      <c r="HZ4" s="267">
        <v>0</v>
      </c>
      <c r="IA4" s="267">
        <v>0</v>
      </c>
      <c r="IB4" s="267">
        <v>0</v>
      </c>
      <c r="IC4" s="267">
        <v>0</v>
      </c>
      <c r="ID4" s="267" t="s">
        <v>176</v>
      </c>
      <c r="IE4" s="267">
        <v>0</v>
      </c>
      <c r="IF4" s="267">
        <v>0</v>
      </c>
      <c r="IG4" s="267">
        <v>0</v>
      </c>
      <c r="IH4" s="267">
        <v>0</v>
      </c>
      <c r="II4" s="267">
        <v>0</v>
      </c>
      <c r="IJ4" s="267">
        <v>0</v>
      </c>
      <c r="IK4" s="267">
        <v>0</v>
      </c>
      <c r="IL4" s="267">
        <v>0</v>
      </c>
      <c r="IM4" s="267">
        <v>0</v>
      </c>
      <c r="IN4" s="267">
        <v>0</v>
      </c>
      <c r="IO4" s="267">
        <v>0</v>
      </c>
      <c r="IP4" s="267">
        <v>0</v>
      </c>
      <c r="IQ4" s="267">
        <v>0</v>
      </c>
      <c r="IR4" s="267" t="s">
        <v>176</v>
      </c>
      <c r="IS4" s="267">
        <v>0</v>
      </c>
      <c r="IT4" s="272">
        <v>0</v>
      </c>
      <c r="IU4" s="272">
        <v>0</v>
      </c>
      <c r="IV4" s="272">
        <v>0</v>
      </c>
      <c r="IW4" s="272">
        <v>0</v>
      </c>
      <c r="IX4" s="272">
        <v>0</v>
      </c>
      <c r="IY4" s="272">
        <v>0</v>
      </c>
      <c r="IZ4" s="267">
        <v>0</v>
      </c>
      <c r="JA4" s="267">
        <v>0</v>
      </c>
      <c r="JB4" s="267">
        <v>0</v>
      </c>
      <c r="JC4" s="267">
        <v>0</v>
      </c>
      <c r="JD4" s="267">
        <v>0</v>
      </c>
      <c r="JE4" s="267">
        <v>0</v>
      </c>
      <c r="JF4" s="267" t="s">
        <v>176</v>
      </c>
      <c r="JG4" s="267">
        <v>0</v>
      </c>
      <c r="JH4" s="267">
        <v>0</v>
      </c>
      <c r="JI4" s="267">
        <v>0</v>
      </c>
      <c r="JJ4" s="267">
        <v>0</v>
      </c>
      <c r="JK4" s="267">
        <v>0</v>
      </c>
      <c r="JL4" s="267">
        <v>0</v>
      </c>
      <c r="JM4" s="267">
        <v>0</v>
      </c>
      <c r="JN4" s="267">
        <v>0</v>
      </c>
      <c r="JO4" s="267">
        <v>0</v>
      </c>
      <c r="JP4" s="267">
        <v>0</v>
      </c>
      <c r="JQ4" s="267">
        <v>0</v>
      </c>
      <c r="JR4" s="267">
        <v>0</v>
      </c>
      <c r="JS4" s="267">
        <v>0</v>
      </c>
      <c r="JT4" s="267" t="s">
        <v>176</v>
      </c>
      <c r="JU4" s="267">
        <v>0</v>
      </c>
      <c r="JV4" s="267">
        <v>0</v>
      </c>
      <c r="JW4" s="267">
        <v>0</v>
      </c>
      <c r="JX4" s="267">
        <v>0</v>
      </c>
      <c r="JY4" s="267">
        <v>0</v>
      </c>
      <c r="JZ4" s="267">
        <v>0</v>
      </c>
      <c r="KA4" s="267">
        <v>0</v>
      </c>
      <c r="KB4" s="267">
        <v>0</v>
      </c>
      <c r="KC4" s="267">
        <v>0</v>
      </c>
      <c r="KD4" s="267">
        <v>0</v>
      </c>
      <c r="KE4" s="267">
        <v>0</v>
      </c>
      <c r="KF4" s="267">
        <v>0</v>
      </c>
      <c r="KG4" s="267">
        <v>0</v>
      </c>
      <c r="KH4" s="266">
        <v>0.66666666666666663</v>
      </c>
      <c r="KI4" s="266">
        <v>1</v>
      </c>
      <c r="KJ4" s="267">
        <v>30</v>
      </c>
      <c r="KK4" s="266">
        <v>0</v>
      </c>
      <c r="KL4" s="266">
        <v>0</v>
      </c>
      <c r="KM4" s="267">
        <v>0</v>
      </c>
      <c r="KN4" s="266">
        <v>0</v>
      </c>
      <c r="KO4" s="266">
        <v>0</v>
      </c>
      <c r="KP4" s="267">
        <v>0</v>
      </c>
      <c r="KQ4" s="266">
        <v>0</v>
      </c>
      <c r="KR4" s="266">
        <v>0</v>
      </c>
      <c r="KS4" s="267">
        <v>0</v>
      </c>
      <c r="KT4" s="266">
        <v>0</v>
      </c>
      <c r="KU4" s="266">
        <v>0</v>
      </c>
      <c r="KV4" s="267">
        <v>0</v>
      </c>
      <c r="KW4" s="266">
        <v>0</v>
      </c>
      <c r="KX4" s="266">
        <v>0</v>
      </c>
      <c r="KY4" s="267">
        <v>0</v>
      </c>
    </row>
    <row r="5" spans="1:311" ht="43.5">
      <c r="A5" s="263">
        <v>44295</v>
      </c>
      <c r="B5" s="264" t="s">
        <v>211</v>
      </c>
      <c r="C5" s="265">
        <v>0.68333333333333335</v>
      </c>
      <c r="D5" s="265">
        <v>0.50592334494773517</v>
      </c>
      <c r="E5" s="265">
        <v>0.98207642881298618</v>
      </c>
      <c r="F5" s="265">
        <v>0.33951785110391808</v>
      </c>
      <c r="G5" s="266">
        <v>0</v>
      </c>
      <c r="H5" s="266">
        <v>0.33333333333333331</v>
      </c>
      <c r="I5" s="264" t="s">
        <v>419</v>
      </c>
      <c r="J5" s="267">
        <v>480</v>
      </c>
      <c r="K5" s="267">
        <v>420</v>
      </c>
      <c r="L5" s="267">
        <v>133</v>
      </c>
      <c r="M5" s="267">
        <v>287</v>
      </c>
      <c r="N5" s="267">
        <v>145.19999999999999</v>
      </c>
      <c r="O5" s="267">
        <v>265</v>
      </c>
      <c r="P5" s="267">
        <v>0</v>
      </c>
      <c r="Q5" s="267">
        <v>14520</v>
      </c>
      <c r="R5" s="264" t="s">
        <v>212</v>
      </c>
      <c r="S5" s="267">
        <v>30</v>
      </c>
      <c r="T5" s="267">
        <v>30</v>
      </c>
      <c r="U5" s="267">
        <v>0</v>
      </c>
      <c r="V5" s="267" t="s">
        <v>409</v>
      </c>
      <c r="W5" s="264" t="s">
        <v>435</v>
      </c>
      <c r="X5" s="264" t="s">
        <v>212</v>
      </c>
      <c r="Y5" s="267">
        <v>30</v>
      </c>
      <c r="Z5" s="267">
        <v>30</v>
      </c>
      <c r="AA5" s="267">
        <v>0</v>
      </c>
      <c r="AB5" s="267" t="s">
        <v>409</v>
      </c>
      <c r="AC5" s="264" t="s">
        <v>176</v>
      </c>
      <c r="AD5" s="264">
        <v>0</v>
      </c>
      <c r="AE5" s="267">
        <v>0</v>
      </c>
      <c r="AF5" s="267">
        <v>0</v>
      </c>
      <c r="AG5" s="267">
        <v>0</v>
      </c>
      <c r="AH5" s="267">
        <v>0</v>
      </c>
      <c r="AI5" s="264" t="s">
        <v>176</v>
      </c>
      <c r="AJ5" s="264">
        <v>0</v>
      </c>
      <c r="AK5" s="267">
        <v>0</v>
      </c>
      <c r="AL5" s="267">
        <v>0</v>
      </c>
      <c r="AM5" s="267">
        <v>0</v>
      </c>
      <c r="AN5" s="267">
        <v>0</v>
      </c>
      <c r="AO5" s="264" t="s">
        <v>176</v>
      </c>
      <c r="AP5" s="264">
        <v>0</v>
      </c>
      <c r="AQ5" s="267">
        <v>0</v>
      </c>
      <c r="AR5" s="267">
        <v>0</v>
      </c>
      <c r="AS5" s="267">
        <v>0</v>
      </c>
      <c r="AT5" s="267">
        <v>0</v>
      </c>
      <c r="AU5" s="264" t="s">
        <v>176</v>
      </c>
      <c r="AV5" s="264">
        <v>0</v>
      </c>
      <c r="AW5" s="267">
        <v>0</v>
      </c>
      <c r="AX5" s="267">
        <v>0</v>
      </c>
      <c r="AY5" s="267">
        <v>0</v>
      </c>
      <c r="AZ5" s="267">
        <v>0</v>
      </c>
      <c r="BA5" s="264" t="s">
        <v>176</v>
      </c>
      <c r="BB5" s="268">
        <v>0</v>
      </c>
      <c r="BC5" s="268">
        <v>0</v>
      </c>
      <c r="BD5" s="268">
        <v>0</v>
      </c>
      <c r="BE5" s="268">
        <v>0</v>
      </c>
      <c r="BF5" s="268">
        <v>0</v>
      </c>
      <c r="BG5" s="269">
        <v>0</v>
      </c>
      <c r="BH5" s="268">
        <v>0</v>
      </c>
      <c r="BI5" s="268">
        <v>0</v>
      </c>
      <c r="BJ5" s="268">
        <v>0</v>
      </c>
      <c r="BK5" s="268">
        <v>0</v>
      </c>
      <c r="BL5" s="268">
        <v>0</v>
      </c>
      <c r="BM5" s="269">
        <v>0</v>
      </c>
      <c r="BN5" s="268">
        <v>0</v>
      </c>
      <c r="BO5" s="268">
        <v>0</v>
      </c>
      <c r="BP5" s="268">
        <v>0</v>
      </c>
      <c r="BQ5" s="268" t="s">
        <v>176</v>
      </c>
      <c r="BR5" s="268">
        <v>0</v>
      </c>
      <c r="BS5" s="269">
        <v>0</v>
      </c>
      <c r="BT5" s="264" t="s">
        <v>409</v>
      </c>
      <c r="BU5" s="267" t="s">
        <v>406</v>
      </c>
      <c r="BV5" s="264">
        <v>0</v>
      </c>
      <c r="BW5" s="264">
        <v>0</v>
      </c>
      <c r="BX5" s="264">
        <v>0</v>
      </c>
      <c r="BY5" s="267" t="s">
        <v>176</v>
      </c>
      <c r="BZ5" s="264">
        <v>0</v>
      </c>
      <c r="CA5" s="264">
        <v>0</v>
      </c>
      <c r="CB5" s="264">
        <v>0</v>
      </c>
      <c r="CC5" s="267" t="s">
        <v>176</v>
      </c>
      <c r="CD5" s="264">
        <v>0</v>
      </c>
      <c r="CE5" s="264">
        <v>0</v>
      </c>
      <c r="CF5" s="264">
        <v>0</v>
      </c>
      <c r="CG5" s="267" t="s">
        <v>176</v>
      </c>
      <c r="CH5" s="264">
        <v>0</v>
      </c>
      <c r="CI5" s="264">
        <v>0</v>
      </c>
      <c r="CJ5" s="264">
        <v>0</v>
      </c>
      <c r="CK5" s="267" t="s">
        <v>176</v>
      </c>
      <c r="CL5" s="264">
        <v>0</v>
      </c>
      <c r="CM5" s="264">
        <v>0</v>
      </c>
      <c r="CN5" s="264">
        <v>0</v>
      </c>
      <c r="CO5" s="267" t="s">
        <v>176</v>
      </c>
      <c r="CP5" s="264">
        <v>0</v>
      </c>
      <c r="CQ5" s="264">
        <v>0</v>
      </c>
      <c r="CR5" s="264" t="s">
        <v>218</v>
      </c>
      <c r="CS5" s="267">
        <v>20</v>
      </c>
      <c r="CT5" s="264" t="s">
        <v>427</v>
      </c>
      <c r="CU5" s="264" t="s">
        <v>409</v>
      </c>
      <c r="CV5" s="264" t="s">
        <v>436</v>
      </c>
      <c r="CW5" s="270" t="s">
        <v>218</v>
      </c>
      <c r="CX5" s="267">
        <v>15</v>
      </c>
      <c r="CY5" s="264" t="s">
        <v>437</v>
      </c>
      <c r="CZ5" s="264" t="s">
        <v>409</v>
      </c>
      <c r="DA5" s="264" t="s">
        <v>438</v>
      </c>
      <c r="DB5" s="270" t="s">
        <v>218</v>
      </c>
      <c r="DC5" s="267">
        <v>98</v>
      </c>
      <c r="DD5" s="264" t="s">
        <v>439</v>
      </c>
      <c r="DE5" s="264" t="s">
        <v>409</v>
      </c>
      <c r="DF5" s="264" t="s">
        <v>438</v>
      </c>
      <c r="DG5" s="264">
        <v>0</v>
      </c>
      <c r="DH5" s="267">
        <v>0</v>
      </c>
      <c r="DI5" s="264">
        <v>0</v>
      </c>
      <c r="DJ5" s="264">
        <v>0</v>
      </c>
      <c r="DK5" s="264">
        <v>0</v>
      </c>
      <c r="DL5" s="264">
        <v>0</v>
      </c>
      <c r="DM5" s="267">
        <v>0</v>
      </c>
      <c r="DN5" s="264">
        <v>0</v>
      </c>
      <c r="DO5" s="264">
        <v>0</v>
      </c>
      <c r="DP5" s="264">
        <v>0</v>
      </c>
      <c r="DQ5" s="264">
        <v>0</v>
      </c>
      <c r="DR5" s="267">
        <v>0</v>
      </c>
      <c r="DS5" s="264">
        <v>0</v>
      </c>
      <c r="DT5" s="264">
        <v>0</v>
      </c>
      <c r="DU5" s="264">
        <v>0</v>
      </c>
      <c r="DV5" s="264">
        <v>0</v>
      </c>
      <c r="DW5" s="267">
        <v>0</v>
      </c>
      <c r="DX5" s="264">
        <v>0</v>
      </c>
      <c r="DY5" s="264">
        <v>0</v>
      </c>
      <c r="DZ5" s="264">
        <v>0</v>
      </c>
      <c r="EA5" s="264">
        <v>0</v>
      </c>
      <c r="EB5" s="267">
        <v>0</v>
      </c>
      <c r="EC5" s="264">
        <v>0</v>
      </c>
      <c r="ED5" s="264">
        <v>0</v>
      </c>
      <c r="EE5" s="264">
        <v>0</v>
      </c>
      <c r="EF5" s="264">
        <v>0</v>
      </c>
      <c r="EG5" s="267">
        <v>0</v>
      </c>
      <c r="EH5" s="264">
        <v>0</v>
      </c>
      <c r="EI5" s="264">
        <v>0</v>
      </c>
      <c r="EJ5" s="264">
        <v>0</v>
      </c>
      <c r="EK5" s="264">
        <v>0</v>
      </c>
      <c r="EL5" s="267">
        <v>0</v>
      </c>
      <c r="EM5" s="264">
        <v>0</v>
      </c>
      <c r="EN5" s="264">
        <v>0</v>
      </c>
      <c r="EO5" s="264">
        <v>0</v>
      </c>
      <c r="EP5" s="264">
        <v>0</v>
      </c>
      <c r="EQ5" s="267">
        <v>0</v>
      </c>
      <c r="ER5" s="264">
        <v>0</v>
      </c>
      <c r="ES5" s="264">
        <v>0</v>
      </c>
      <c r="ET5" s="264">
        <v>0</v>
      </c>
      <c r="EU5" s="264">
        <v>0</v>
      </c>
      <c r="EV5" s="267">
        <v>0</v>
      </c>
      <c r="EW5" s="264">
        <v>0</v>
      </c>
      <c r="EX5" s="264">
        <v>0</v>
      </c>
      <c r="EY5" s="264">
        <v>0</v>
      </c>
      <c r="EZ5" s="264" t="s">
        <v>409</v>
      </c>
      <c r="FA5" s="266">
        <v>0</v>
      </c>
      <c r="FB5" s="266">
        <v>0.33333333333333331</v>
      </c>
      <c r="FC5" s="267">
        <v>133</v>
      </c>
      <c r="FD5" s="267">
        <v>60</v>
      </c>
      <c r="FE5" s="267">
        <v>605</v>
      </c>
      <c r="FF5" s="267">
        <v>287</v>
      </c>
      <c r="FG5" s="267">
        <v>145.19999999999999</v>
      </c>
      <c r="FH5" s="264">
        <v>0</v>
      </c>
      <c r="FI5" s="264" t="s">
        <v>176</v>
      </c>
      <c r="FJ5" s="266">
        <v>0</v>
      </c>
      <c r="FK5" s="266">
        <v>0</v>
      </c>
      <c r="FL5" s="267">
        <v>0</v>
      </c>
      <c r="FM5" s="267">
        <v>0</v>
      </c>
      <c r="FN5" s="267">
        <v>0</v>
      </c>
      <c r="FO5" s="267" t="s">
        <v>176</v>
      </c>
      <c r="FP5" s="267">
        <v>0</v>
      </c>
      <c r="FQ5" s="264">
        <v>0</v>
      </c>
      <c r="FR5" s="264" t="s">
        <v>176</v>
      </c>
      <c r="FS5" s="266">
        <v>0</v>
      </c>
      <c r="FT5" s="266">
        <v>0</v>
      </c>
      <c r="FU5" s="267">
        <v>0</v>
      </c>
      <c r="FV5" s="267">
        <v>0</v>
      </c>
      <c r="FW5" s="267">
        <v>0</v>
      </c>
      <c r="FX5" s="267" t="s">
        <v>176</v>
      </c>
      <c r="FY5" s="267">
        <v>0</v>
      </c>
      <c r="FZ5" s="264">
        <v>0</v>
      </c>
      <c r="GA5" s="264" t="s">
        <v>176</v>
      </c>
      <c r="GB5" s="266">
        <v>0</v>
      </c>
      <c r="GC5" s="266">
        <v>0</v>
      </c>
      <c r="GD5" s="267">
        <v>0</v>
      </c>
      <c r="GE5" s="267">
        <v>0</v>
      </c>
      <c r="GF5" s="267">
        <v>0</v>
      </c>
      <c r="GG5" s="267" t="s">
        <v>176</v>
      </c>
      <c r="GH5" s="267">
        <v>0</v>
      </c>
      <c r="GI5" s="264">
        <v>0</v>
      </c>
      <c r="GJ5" s="264" t="s">
        <v>176</v>
      </c>
      <c r="GK5" s="266">
        <v>0</v>
      </c>
      <c r="GL5" s="266">
        <v>0</v>
      </c>
      <c r="GM5" s="267">
        <v>0</v>
      </c>
      <c r="GN5" s="267">
        <v>0</v>
      </c>
      <c r="GO5" s="267">
        <v>0</v>
      </c>
      <c r="GP5" s="267" t="s">
        <v>176</v>
      </c>
      <c r="GQ5" s="267">
        <v>0</v>
      </c>
      <c r="GR5" s="264">
        <v>0</v>
      </c>
      <c r="GS5" s="264" t="s">
        <v>176</v>
      </c>
      <c r="GT5" s="266">
        <v>0</v>
      </c>
      <c r="GU5" s="266">
        <v>0</v>
      </c>
      <c r="GV5" s="267">
        <v>0</v>
      </c>
      <c r="GW5" s="267">
        <v>0</v>
      </c>
      <c r="GX5" s="267">
        <v>0</v>
      </c>
      <c r="GY5" s="267" t="s">
        <v>176</v>
      </c>
      <c r="GZ5" s="267">
        <v>0</v>
      </c>
      <c r="HA5" s="264">
        <v>0</v>
      </c>
      <c r="HB5" s="264" t="s">
        <v>409</v>
      </c>
      <c r="HC5" s="264">
        <v>14520</v>
      </c>
      <c r="HD5" s="267">
        <v>14520</v>
      </c>
      <c r="HE5" s="267">
        <v>0</v>
      </c>
      <c r="HF5" s="267">
        <v>14520</v>
      </c>
      <c r="HG5" s="267">
        <v>80</v>
      </c>
      <c r="HH5" s="267">
        <v>14520</v>
      </c>
      <c r="HI5" s="267">
        <v>89</v>
      </c>
      <c r="HJ5" s="267">
        <v>605</v>
      </c>
      <c r="HK5" s="267">
        <v>4</v>
      </c>
      <c r="HL5" s="267">
        <v>605</v>
      </c>
      <c r="HM5" s="267">
        <v>0</v>
      </c>
      <c r="HN5" s="267">
        <v>605</v>
      </c>
      <c r="HO5" s="267">
        <v>0</v>
      </c>
      <c r="HP5" s="267" t="s">
        <v>176</v>
      </c>
      <c r="HQ5" s="267">
        <v>0</v>
      </c>
      <c r="HR5" s="267">
        <v>0</v>
      </c>
      <c r="HS5" s="267">
        <v>0</v>
      </c>
      <c r="HT5" s="267">
        <v>0</v>
      </c>
      <c r="HU5" s="267">
        <v>0</v>
      </c>
      <c r="HV5" s="267">
        <v>0</v>
      </c>
      <c r="HW5" s="267">
        <v>0</v>
      </c>
      <c r="HX5" s="267">
        <v>0</v>
      </c>
      <c r="HY5" s="267">
        <v>0</v>
      </c>
      <c r="HZ5" s="267">
        <v>0</v>
      </c>
      <c r="IA5" s="267">
        <v>0</v>
      </c>
      <c r="IB5" s="267">
        <v>0</v>
      </c>
      <c r="IC5" s="267">
        <v>0</v>
      </c>
      <c r="ID5" s="267" t="s">
        <v>176</v>
      </c>
      <c r="IE5" s="267">
        <v>0</v>
      </c>
      <c r="IF5" s="267">
        <v>0</v>
      </c>
      <c r="IG5" s="267">
        <v>0</v>
      </c>
      <c r="IH5" s="267">
        <v>0</v>
      </c>
      <c r="II5" s="267">
        <v>0</v>
      </c>
      <c r="IJ5" s="267">
        <v>0</v>
      </c>
      <c r="IK5" s="267">
        <v>0</v>
      </c>
      <c r="IL5" s="267">
        <v>0</v>
      </c>
      <c r="IM5" s="267">
        <v>0</v>
      </c>
      <c r="IN5" s="267">
        <v>0</v>
      </c>
      <c r="IO5" s="267">
        <v>0</v>
      </c>
      <c r="IP5" s="267">
        <v>0</v>
      </c>
      <c r="IQ5" s="267">
        <v>0</v>
      </c>
      <c r="IR5" s="267" t="s">
        <v>176</v>
      </c>
      <c r="IS5" s="267">
        <v>0</v>
      </c>
      <c r="IT5" s="272">
        <v>0</v>
      </c>
      <c r="IU5" s="272">
        <v>0</v>
      </c>
      <c r="IV5" s="272">
        <v>0</v>
      </c>
      <c r="IW5" s="272">
        <v>0</v>
      </c>
      <c r="IX5" s="272">
        <v>0</v>
      </c>
      <c r="IY5" s="272">
        <v>0</v>
      </c>
      <c r="IZ5" s="267">
        <v>0</v>
      </c>
      <c r="JA5" s="267">
        <v>0</v>
      </c>
      <c r="JB5" s="267">
        <v>0</v>
      </c>
      <c r="JC5" s="267">
        <v>0</v>
      </c>
      <c r="JD5" s="267">
        <v>0</v>
      </c>
      <c r="JE5" s="267">
        <v>0</v>
      </c>
      <c r="JF5" s="267" t="s">
        <v>176</v>
      </c>
      <c r="JG5" s="267">
        <v>0</v>
      </c>
      <c r="JH5" s="267">
        <v>0</v>
      </c>
      <c r="JI5" s="267">
        <v>0</v>
      </c>
      <c r="JJ5" s="267">
        <v>0</v>
      </c>
      <c r="JK5" s="267">
        <v>0</v>
      </c>
      <c r="JL5" s="267">
        <v>0</v>
      </c>
      <c r="JM5" s="267">
        <v>0</v>
      </c>
      <c r="JN5" s="267">
        <v>0</v>
      </c>
      <c r="JO5" s="267">
        <v>0</v>
      </c>
      <c r="JP5" s="267">
        <v>0</v>
      </c>
      <c r="JQ5" s="267">
        <v>0</v>
      </c>
      <c r="JR5" s="267">
        <v>0</v>
      </c>
      <c r="JS5" s="267">
        <v>0</v>
      </c>
      <c r="JT5" s="267" t="s">
        <v>176</v>
      </c>
      <c r="JU5" s="267">
        <v>0</v>
      </c>
      <c r="JV5" s="267">
        <v>0</v>
      </c>
      <c r="JW5" s="267">
        <v>0</v>
      </c>
      <c r="JX5" s="267">
        <v>0</v>
      </c>
      <c r="JY5" s="267">
        <v>0</v>
      </c>
      <c r="JZ5" s="267">
        <v>0</v>
      </c>
      <c r="KA5" s="267">
        <v>0</v>
      </c>
      <c r="KB5" s="267">
        <v>0</v>
      </c>
      <c r="KC5" s="267">
        <v>0</v>
      </c>
      <c r="KD5" s="267">
        <v>0</v>
      </c>
      <c r="KE5" s="267">
        <v>0</v>
      </c>
      <c r="KF5" s="267">
        <v>0</v>
      </c>
      <c r="KG5" s="267">
        <v>0</v>
      </c>
      <c r="KH5" s="266">
        <v>0</v>
      </c>
      <c r="KI5" s="266">
        <v>0.33333333333333331</v>
      </c>
      <c r="KJ5" s="267">
        <v>60</v>
      </c>
      <c r="KK5" s="266">
        <v>0</v>
      </c>
      <c r="KL5" s="266">
        <v>0</v>
      </c>
      <c r="KM5" s="267">
        <v>0</v>
      </c>
      <c r="KN5" s="266">
        <v>0</v>
      </c>
      <c r="KO5" s="266">
        <v>0</v>
      </c>
      <c r="KP5" s="267">
        <v>0</v>
      </c>
      <c r="KQ5" s="266">
        <v>0</v>
      </c>
      <c r="KR5" s="266">
        <v>0</v>
      </c>
      <c r="KS5" s="267">
        <v>0</v>
      </c>
      <c r="KT5" s="266">
        <v>0</v>
      </c>
      <c r="KU5" s="266">
        <v>0</v>
      </c>
      <c r="KV5" s="267">
        <v>0</v>
      </c>
      <c r="KW5" s="266">
        <v>0</v>
      </c>
      <c r="KX5" s="266">
        <v>0</v>
      </c>
      <c r="KY5" s="267">
        <v>0</v>
      </c>
    </row>
    <row r="6" spans="1:311" ht="43.5">
      <c r="A6" s="263">
        <v>44296</v>
      </c>
      <c r="B6" s="264" t="s">
        <v>210</v>
      </c>
      <c r="C6" s="265">
        <v>0.53333333333333333</v>
      </c>
      <c r="D6" s="265">
        <v>0.26400000000000001</v>
      </c>
      <c r="E6" s="265">
        <v>0.95898289692750116</v>
      </c>
      <c r="F6" s="265">
        <v>0.13502479188739216</v>
      </c>
      <c r="G6" s="266">
        <v>0.33333333333333331</v>
      </c>
      <c r="H6" s="266">
        <v>0.66666666666666663</v>
      </c>
      <c r="I6" s="264" t="s">
        <v>421</v>
      </c>
      <c r="J6" s="267">
        <v>480</v>
      </c>
      <c r="K6" s="267">
        <v>450</v>
      </c>
      <c r="L6" s="267">
        <v>210</v>
      </c>
      <c r="M6" s="267">
        <v>240</v>
      </c>
      <c r="N6" s="267">
        <v>63.36</v>
      </c>
      <c r="O6" s="267">
        <v>271</v>
      </c>
      <c r="P6" s="267">
        <v>0</v>
      </c>
      <c r="Q6" s="267">
        <v>6336</v>
      </c>
      <c r="R6" s="264" t="s">
        <v>212</v>
      </c>
      <c r="S6" s="267">
        <v>30</v>
      </c>
      <c r="T6" s="267">
        <v>30</v>
      </c>
      <c r="U6" s="267">
        <v>0</v>
      </c>
      <c r="V6" s="267" t="s">
        <v>409</v>
      </c>
      <c r="W6" s="264" t="s">
        <v>176</v>
      </c>
      <c r="X6" s="264">
        <v>0</v>
      </c>
      <c r="Y6" s="267">
        <v>0</v>
      </c>
      <c r="Z6" s="267">
        <v>0</v>
      </c>
      <c r="AA6" s="267">
        <v>0</v>
      </c>
      <c r="AB6" s="267">
        <v>0</v>
      </c>
      <c r="AC6" s="264" t="s">
        <v>176</v>
      </c>
      <c r="AD6" s="264">
        <v>0</v>
      </c>
      <c r="AE6" s="267">
        <v>0</v>
      </c>
      <c r="AF6" s="267">
        <v>0</v>
      </c>
      <c r="AG6" s="267">
        <v>0</v>
      </c>
      <c r="AH6" s="267">
        <v>0</v>
      </c>
      <c r="AI6" s="264" t="s">
        <v>176</v>
      </c>
      <c r="AJ6" s="264">
        <v>0</v>
      </c>
      <c r="AK6" s="267">
        <v>0</v>
      </c>
      <c r="AL6" s="267">
        <v>0</v>
      </c>
      <c r="AM6" s="267">
        <v>0</v>
      </c>
      <c r="AN6" s="267">
        <v>0</v>
      </c>
      <c r="AO6" s="264" t="s">
        <v>176</v>
      </c>
      <c r="AP6" s="264">
        <v>0</v>
      </c>
      <c r="AQ6" s="267">
        <v>0</v>
      </c>
      <c r="AR6" s="267">
        <v>0</v>
      </c>
      <c r="AS6" s="267">
        <v>0</v>
      </c>
      <c r="AT6" s="267">
        <v>0</v>
      </c>
      <c r="AU6" s="264" t="s">
        <v>176</v>
      </c>
      <c r="AV6" s="264">
        <v>0</v>
      </c>
      <c r="AW6" s="267">
        <v>0</v>
      </c>
      <c r="AX6" s="267">
        <v>0</v>
      </c>
      <c r="AY6" s="267">
        <v>0</v>
      </c>
      <c r="AZ6" s="267">
        <v>0</v>
      </c>
      <c r="BA6" s="264" t="s">
        <v>176</v>
      </c>
      <c r="BB6" s="268">
        <v>0</v>
      </c>
      <c r="BC6" s="268">
        <v>0</v>
      </c>
      <c r="BD6" s="268">
        <v>0</v>
      </c>
      <c r="BE6" s="268">
        <v>0</v>
      </c>
      <c r="BF6" s="268">
        <v>0</v>
      </c>
      <c r="BG6" s="269">
        <v>0</v>
      </c>
      <c r="BH6" s="268">
        <v>0</v>
      </c>
      <c r="BI6" s="268">
        <v>0</v>
      </c>
      <c r="BJ6" s="268">
        <v>0</v>
      </c>
      <c r="BK6" s="268">
        <v>0</v>
      </c>
      <c r="BL6" s="268">
        <v>0</v>
      </c>
      <c r="BM6" s="269">
        <v>0</v>
      </c>
      <c r="BN6" s="268">
        <v>0</v>
      </c>
      <c r="BO6" s="268">
        <v>0</v>
      </c>
      <c r="BP6" s="268">
        <v>0</v>
      </c>
      <c r="BQ6" s="268" t="s">
        <v>176</v>
      </c>
      <c r="BR6" s="268">
        <v>0</v>
      </c>
      <c r="BS6" s="269">
        <v>0</v>
      </c>
      <c r="BT6" s="264" t="s">
        <v>409</v>
      </c>
      <c r="BU6" s="267" t="s">
        <v>406</v>
      </c>
      <c r="BV6" s="264">
        <v>0</v>
      </c>
      <c r="BW6" s="264">
        <v>0</v>
      </c>
      <c r="BX6" s="264">
        <v>0</v>
      </c>
      <c r="BY6" s="267" t="s">
        <v>176</v>
      </c>
      <c r="BZ6" s="264">
        <v>0</v>
      </c>
      <c r="CA6" s="264">
        <v>0</v>
      </c>
      <c r="CB6" s="264">
        <v>0</v>
      </c>
      <c r="CC6" s="267" t="s">
        <v>176</v>
      </c>
      <c r="CD6" s="264">
        <v>0</v>
      </c>
      <c r="CE6" s="264">
        <v>0</v>
      </c>
      <c r="CF6" s="264">
        <v>0</v>
      </c>
      <c r="CG6" s="267" t="s">
        <v>176</v>
      </c>
      <c r="CH6" s="264">
        <v>0</v>
      </c>
      <c r="CI6" s="264">
        <v>0</v>
      </c>
      <c r="CJ6" s="264">
        <v>0</v>
      </c>
      <c r="CK6" s="267" t="s">
        <v>176</v>
      </c>
      <c r="CL6" s="264">
        <v>0</v>
      </c>
      <c r="CM6" s="264">
        <v>0</v>
      </c>
      <c r="CN6" s="264">
        <v>0</v>
      </c>
      <c r="CO6" s="267" t="s">
        <v>176</v>
      </c>
      <c r="CP6" s="264">
        <v>0</v>
      </c>
      <c r="CQ6" s="264">
        <v>0</v>
      </c>
      <c r="CR6" s="264" t="s">
        <v>219</v>
      </c>
      <c r="CS6" s="267">
        <v>90</v>
      </c>
      <c r="CT6" s="264" t="s">
        <v>440</v>
      </c>
      <c r="CU6" s="264" t="s">
        <v>409</v>
      </c>
      <c r="CV6" s="264" t="s">
        <v>442</v>
      </c>
      <c r="CW6" s="270" t="s">
        <v>218</v>
      </c>
      <c r="CX6" s="267">
        <v>30</v>
      </c>
      <c r="CY6" s="264" t="s">
        <v>441</v>
      </c>
      <c r="CZ6" s="264" t="s">
        <v>409</v>
      </c>
      <c r="DA6" s="264" t="s">
        <v>438</v>
      </c>
      <c r="DB6" s="270" t="s">
        <v>244</v>
      </c>
      <c r="DC6" s="267">
        <v>15</v>
      </c>
      <c r="DD6" s="264" t="s">
        <v>443</v>
      </c>
      <c r="DE6" s="264" t="s">
        <v>409</v>
      </c>
      <c r="DF6" s="264">
        <v>0</v>
      </c>
      <c r="DG6" s="264" t="s">
        <v>244</v>
      </c>
      <c r="DH6" s="267">
        <v>75</v>
      </c>
      <c r="DI6" s="264" t="s">
        <v>444</v>
      </c>
      <c r="DJ6" s="264" t="s">
        <v>409</v>
      </c>
      <c r="DK6" s="264">
        <v>0</v>
      </c>
      <c r="DL6" s="264">
        <v>0</v>
      </c>
      <c r="DM6" s="267">
        <v>0</v>
      </c>
      <c r="DN6" s="264">
        <v>0</v>
      </c>
      <c r="DO6" s="264">
        <v>0</v>
      </c>
      <c r="DP6" s="264">
        <v>0</v>
      </c>
      <c r="DQ6" s="264">
        <v>0</v>
      </c>
      <c r="DR6" s="267">
        <v>0</v>
      </c>
      <c r="DS6" s="264">
        <v>0</v>
      </c>
      <c r="DT6" s="264">
        <v>0</v>
      </c>
      <c r="DU6" s="264">
        <v>0</v>
      </c>
      <c r="DV6" s="264">
        <v>0</v>
      </c>
      <c r="DW6" s="267">
        <v>0</v>
      </c>
      <c r="DX6" s="264">
        <v>0</v>
      </c>
      <c r="DY6" s="264">
        <v>0</v>
      </c>
      <c r="DZ6" s="264">
        <v>0</v>
      </c>
      <c r="EA6" s="264">
        <v>0</v>
      </c>
      <c r="EB6" s="267">
        <v>0</v>
      </c>
      <c r="EC6" s="264">
        <v>0</v>
      </c>
      <c r="ED6" s="264">
        <v>0</v>
      </c>
      <c r="EE6" s="264">
        <v>0</v>
      </c>
      <c r="EF6" s="264">
        <v>0</v>
      </c>
      <c r="EG6" s="267">
        <v>0</v>
      </c>
      <c r="EH6" s="264">
        <v>0</v>
      </c>
      <c r="EI6" s="264">
        <v>0</v>
      </c>
      <c r="EJ6" s="264">
        <v>0</v>
      </c>
      <c r="EK6" s="264">
        <v>0</v>
      </c>
      <c r="EL6" s="267">
        <v>0</v>
      </c>
      <c r="EM6" s="264">
        <v>0</v>
      </c>
      <c r="EN6" s="264">
        <v>0</v>
      </c>
      <c r="EO6" s="264">
        <v>0</v>
      </c>
      <c r="EP6" s="264">
        <v>0</v>
      </c>
      <c r="EQ6" s="267">
        <v>0</v>
      </c>
      <c r="ER6" s="264">
        <v>0</v>
      </c>
      <c r="ES6" s="264">
        <v>0</v>
      </c>
      <c r="ET6" s="264">
        <v>0</v>
      </c>
      <c r="EU6" s="264">
        <v>0</v>
      </c>
      <c r="EV6" s="267">
        <v>0</v>
      </c>
      <c r="EW6" s="264">
        <v>0</v>
      </c>
      <c r="EX6" s="264">
        <v>0</v>
      </c>
      <c r="EY6" s="264">
        <v>0</v>
      </c>
      <c r="EZ6" s="264" t="s">
        <v>409</v>
      </c>
      <c r="FA6" s="266">
        <v>0.33333333333333331</v>
      </c>
      <c r="FB6" s="266">
        <v>0.66666666666666663</v>
      </c>
      <c r="FC6" s="267">
        <v>210</v>
      </c>
      <c r="FD6" s="267">
        <v>30</v>
      </c>
      <c r="FE6" s="267">
        <v>264</v>
      </c>
      <c r="FF6" s="267">
        <v>240</v>
      </c>
      <c r="FG6" s="267">
        <v>63.36</v>
      </c>
      <c r="FH6" s="264">
        <v>0</v>
      </c>
      <c r="FI6" s="264" t="s">
        <v>176</v>
      </c>
      <c r="FJ6" s="266">
        <v>0</v>
      </c>
      <c r="FK6" s="266">
        <v>0</v>
      </c>
      <c r="FL6" s="267">
        <v>0</v>
      </c>
      <c r="FM6" s="267">
        <v>0</v>
      </c>
      <c r="FN6" s="267">
        <v>0</v>
      </c>
      <c r="FO6" s="267" t="s">
        <v>176</v>
      </c>
      <c r="FP6" s="267">
        <v>0</v>
      </c>
      <c r="FQ6" s="264">
        <v>0</v>
      </c>
      <c r="FR6" s="264" t="s">
        <v>176</v>
      </c>
      <c r="FS6" s="266">
        <v>0</v>
      </c>
      <c r="FT6" s="266">
        <v>0</v>
      </c>
      <c r="FU6" s="267">
        <v>0</v>
      </c>
      <c r="FV6" s="267">
        <v>0</v>
      </c>
      <c r="FW6" s="267">
        <v>0</v>
      </c>
      <c r="FX6" s="267" t="s">
        <v>176</v>
      </c>
      <c r="FY6" s="267">
        <v>0</v>
      </c>
      <c r="FZ6" s="264">
        <v>0</v>
      </c>
      <c r="GA6" s="264" t="s">
        <v>176</v>
      </c>
      <c r="GB6" s="266">
        <v>0</v>
      </c>
      <c r="GC6" s="266">
        <v>0</v>
      </c>
      <c r="GD6" s="267">
        <v>0</v>
      </c>
      <c r="GE6" s="267">
        <v>0</v>
      </c>
      <c r="GF6" s="267">
        <v>0</v>
      </c>
      <c r="GG6" s="267" t="s">
        <v>176</v>
      </c>
      <c r="GH6" s="267">
        <v>0</v>
      </c>
      <c r="GI6" s="264">
        <v>0</v>
      </c>
      <c r="GJ6" s="264" t="s">
        <v>176</v>
      </c>
      <c r="GK6" s="266">
        <v>0</v>
      </c>
      <c r="GL6" s="266">
        <v>0</v>
      </c>
      <c r="GM6" s="267">
        <v>0</v>
      </c>
      <c r="GN6" s="267">
        <v>0</v>
      </c>
      <c r="GO6" s="267">
        <v>0</v>
      </c>
      <c r="GP6" s="267" t="s">
        <v>176</v>
      </c>
      <c r="GQ6" s="267">
        <v>0</v>
      </c>
      <c r="GR6" s="264">
        <v>0</v>
      </c>
      <c r="GS6" s="264" t="s">
        <v>176</v>
      </c>
      <c r="GT6" s="266">
        <v>0</v>
      </c>
      <c r="GU6" s="266">
        <v>0</v>
      </c>
      <c r="GV6" s="267">
        <v>0</v>
      </c>
      <c r="GW6" s="267">
        <v>0</v>
      </c>
      <c r="GX6" s="267">
        <v>0</v>
      </c>
      <c r="GY6" s="267" t="s">
        <v>176</v>
      </c>
      <c r="GZ6" s="267">
        <v>0</v>
      </c>
      <c r="HA6" s="264">
        <v>0</v>
      </c>
      <c r="HB6" s="264" t="s">
        <v>409</v>
      </c>
      <c r="HC6" s="264">
        <v>6336</v>
      </c>
      <c r="HD6" s="267">
        <v>6336</v>
      </c>
      <c r="HE6" s="267">
        <v>0</v>
      </c>
      <c r="HF6" s="267">
        <v>6336</v>
      </c>
      <c r="HG6" s="267">
        <v>80</v>
      </c>
      <c r="HH6" s="267">
        <v>6336</v>
      </c>
      <c r="HI6" s="267">
        <v>47</v>
      </c>
      <c r="HJ6" s="267">
        <v>264</v>
      </c>
      <c r="HK6" s="267">
        <v>6</v>
      </c>
      <c r="HL6" s="267">
        <v>264</v>
      </c>
      <c r="HM6" s="267">
        <v>0</v>
      </c>
      <c r="HN6" s="267">
        <v>264</v>
      </c>
      <c r="HO6" s="267">
        <v>0</v>
      </c>
      <c r="HP6" s="267" t="s">
        <v>176</v>
      </c>
      <c r="HQ6" s="267">
        <v>0</v>
      </c>
      <c r="HR6" s="267">
        <v>0</v>
      </c>
      <c r="HS6" s="267">
        <v>0</v>
      </c>
      <c r="HT6" s="267">
        <v>0</v>
      </c>
      <c r="HU6" s="267">
        <v>0</v>
      </c>
      <c r="HV6" s="267">
        <v>0</v>
      </c>
      <c r="HW6" s="267">
        <v>0</v>
      </c>
      <c r="HX6" s="267">
        <v>0</v>
      </c>
      <c r="HY6" s="267">
        <v>0</v>
      </c>
      <c r="HZ6" s="267">
        <v>0</v>
      </c>
      <c r="IA6" s="267">
        <v>0</v>
      </c>
      <c r="IB6" s="267">
        <v>0</v>
      </c>
      <c r="IC6" s="267">
        <v>0</v>
      </c>
      <c r="ID6" s="267" t="s">
        <v>176</v>
      </c>
      <c r="IE6" s="267">
        <v>0</v>
      </c>
      <c r="IF6" s="267">
        <v>0</v>
      </c>
      <c r="IG6" s="267">
        <v>0</v>
      </c>
      <c r="IH6" s="267">
        <v>0</v>
      </c>
      <c r="II6" s="267">
        <v>0</v>
      </c>
      <c r="IJ6" s="267">
        <v>0</v>
      </c>
      <c r="IK6" s="267">
        <v>0</v>
      </c>
      <c r="IL6" s="267">
        <v>0</v>
      </c>
      <c r="IM6" s="267">
        <v>0</v>
      </c>
      <c r="IN6" s="267">
        <v>0</v>
      </c>
      <c r="IO6" s="267">
        <v>0</v>
      </c>
      <c r="IP6" s="267">
        <v>0</v>
      </c>
      <c r="IQ6" s="267">
        <v>0</v>
      </c>
      <c r="IR6" s="267" t="s">
        <v>176</v>
      </c>
      <c r="IS6" s="267">
        <v>0</v>
      </c>
      <c r="IT6" s="272">
        <v>0</v>
      </c>
      <c r="IU6" s="272">
        <v>0</v>
      </c>
      <c r="IV6" s="272">
        <v>0</v>
      </c>
      <c r="IW6" s="272">
        <v>0</v>
      </c>
      <c r="IX6" s="272">
        <v>0</v>
      </c>
      <c r="IY6" s="272">
        <v>0</v>
      </c>
      <c r="IZ6" s="267">
        <v>0</v>
      </c>
      <c r="JA6" s="267">
        <v>0</v>
      </c>
      <c r="JB6" s="267">
        <v>0</v>
      </c>
      <c r="JC6" s="267">
        <v>0</v>
      </c>
      <c r="JD6" s="267">
        <v>0</v>
      </c>
      <c r="JE6" s="267">
        <v>0</v>
      </c>
      <c r="JF6" s="267" t="s">
        <v>176</v>
      </c>
      <c r="JG6" s="267">
        <v>0</v>
      </c>
      <c r="JH6" s="267">
        <v>0</v>
      </c>
      <c r="JI6" s="267">
        <v>0</v>
      </c>
      <c r="JJ6" s="267">
        <v>0</v>
      </c>
      <c r="JK6" s="267">
        <v>0</v>
      </c>
      <c r="JL6" s="267">
        <v>0</v>
      </c>
      <c r="JM6" s="267">
        <v>0</v>
      </c>
      <c r="JN6" s="267">
        <v>0</v>
      </c>
      <c r="JO6" s="267">
        <v>0</v>
      </c>
      <c r="JP6" s="267">
        <v>0</v>
      </c>
      <c r="JQ6" s="267">
        <v>0</v>
      </c>
      <c r="JR6" s="267">
        <v>0</v>
      </c>
      <c r="JS6" s="267">
        <v>0</v>
      </c>
      <c r="JT6" s="267" t="s">
        <v>176</v>
      </c>
      <c r="JU6" s="267">
        <v>0</v>
      </c>
      <c r="JV6" s="267">
        <v>0</v>
      </c>
      <c r="JW6" s="267">
        <v>0</v>
      </c>
      <c r="JX6" s="267">
        <v>0</v>
      </c>
      <c r="JY6" s="267">
        <v>0</v>
      </c>
      <c r="JZ6" s="267">
        <v>0</v>
      </c>
      <c r="KA6" s="267">
        <v>0</v>
      </c>
      <c r="KB6" s="267">
        <v>0</v>
      </c>
      <c r="KC6" s="267">
        <v>0</v>
      </c>
      <c r="KD6" s="267">
        <v>0</v>
      </c>
      <c r="KE6" s="267">
        <v>0</v>
      </c>
      <c r="KF6" s="267">
        <v>0</v>
      </c>
      <c r="KG6" s="267">
        <v>0</v>
      </c>
      <c r="KH6" s="266">
        <v>0.33333333333333331</v>
      </c>
      <c r="KI6" s="266">
        <v>0.66666666666666663</v>
      </c>
      <c r="KJ6" s="267">
        <v>30</v>
      </c>
      <c r="KK6" s="266">
        <v>0</v>
      </c>
      <c r="KL6" s="266">
        <v>0</v>
      </c>
      <c r="KM6" s="267">
        <v>0</v>
      </c>
      <c r="KN6" s="266">
        <v>0</v>
      </c>
      <c r="KO6" s="266">
        <v>0</v>
      </c>
      <c r="KP6" s="267">
        <v>0</v>
      </c>
      <c r="KQ6" s="266">
        <v>0</v>
      </c>
      <c r="KR6" s="266">
        <v>0</v>
      </c>
      <c r="KS6" s="267">
        <v>0</v>
      </c>
      <c r="KT6" s="266">
        <v>0</v>
      </c>
      <c r="KU6" s="266">
        <v>0</v>
      </c>
      <c r="KV6" s="267">
        <v>0</v>
      </c>
      <c r="KW6" s="266">
        <v>0</v>
      </c>
      <c r="KX6" s="266">
        <v>0</v>
      </c>
      <c r="KY6" s="267">
        <v>0</v>
      </c>
    </row>
    <row r="7" spans="1:311" ht="58">
      <c r="A7" s="263">
        <v>44302</v>
      </c>
      <c r="B7" s="264" t="s">
        <v>180</v>
      </c>
      <c r="C7" s="265">
        <v>0.64</v>
      </c>
      <c r="D7" s="265">
        <v>0.34118357487922707</v>
      </c>
      <c r="E7" s="265">
        <v>0.98992553657468241</v>
      </c>
      <c r="F7" s="265">
        <v>0.21615765339698378</v>
      </c>
      <c r="G7" s="266">
        <v>0.66666666666666663</v>
      </c>
      <c r="H7" s="266">
        <v>1</v>
      </c>
      <c r="I7" s="264" t="s">
        <v>419</v>
      </c>
      <c r="J7" s="267">
        <v>480</v>
      </c>
      <c r="K7" s="267">
        <v>450</v>
      </c>
      <c r="L7" s="267">
        <v>162</v>
      </c>
      <c r="M7" s="267">
        <v>288</v>
      </c>
      <c r="N7" s="267">
        <v>98.260869565217391</v>
      </c>
      <c r="O7" s="267">
        <v>115</v>
      </c>
      <c r="P7" s="267">
        <v>0</v>
      </c>
      <c r="Q7" s="267">
        <v>11300</v>
      </c>
      <c r="R7" s="264" t="s">
        <v>212</v>
      </c>
      <c r="S7" s="267">
        <v>30</v>
      </c>
      <c r="T7" s="267">
        <v>30</v>
      </c>
      <c r="U7" s="267">
        <v>0</v>
      </c>
      <c r="V7" s="267" t="s">
        <v>402</v>
      </c>
      <c r="W7" s="264" t="s">
        <v>176</v>
      </c>
      <c r="X7" s="264">
        <v>0</v>
      </c>
      <c r="Y7" s="267">
        <v>0</v>
      </c>
      <c r="Z7" s="267">
        <v>0</v>
      </c>
      <c r="AA7" s="267">
        <v>0</v>
      </c>
      <c r="AB7" s="267">
        <v>0</v>
      </c>
      <c r="AC7" s="264" t="s">
        <v>176</v>
      </c>
      <c r="AD7" s="264">
        <v>0</v>
      </c>
      <c r="AE7" s="267">
        <v>0</v>
      </c>
      <c r="AF7" s="267">
        <v>0</v>
      </c>
      <c r="AG7" s="267">
        <v>0</v>
      </c>
      <c r="AH7" s="267">
        <v>0</v>
      </c>
      <c r="AI7" s="264" t="s">
        <v>176</v>
      </c>
      <c r="AJ7" s="264">
        <v>0</v>
      </c>
      <c r="AK7" s="267">
        <v>0</v>
      </c>
      <c r="AL7" s="267">
        <v>0</v>
      </c>
      <c r="AM7" s="267">
        <v>0</v>
      </c>
      <c r="AN7" s="267">
        <v>0</v>
      </c>
      <c r="AO7" s="264" t="s">
        <v>176</v>
      </c>
      <c r="AP7" s="264">
        <v>0</v>
      </c>
      <c r="AQ7" s="267">
        <v>0</v>
      </c>
      <c r="AR7" s="267">
        <v>0</v>
      </c>
      <c r="AS7" s="267">
        <v>0</v>
      </c>
      <c r="AT7" s="267">
        <v>0</v>
      </c>
      <c r="AU7" s="264" t="s">
        <v>176</v>
      </c>
      <c r="AV7" s="264">
        <v>0</v>
      </c>
      <c r="AW7" s="267">
        <v>0</v>
      </c>
      <c r="AX7" s="267">
        <v>0</v>
      </c>
      <c r="AY7" s="267">
        <v>0</v>
      </c>
      <c r="AZ7" s="267">
        <v>0</v>
      </c>
      <c r="BA7" s="264" t="s">
        <v>176</v>
      </c>
      <c r="BB7" s="268">
        <v>0</v>
      </c>
      <c r="BC7" s="268">
        <v>0</v>
      </c>
      <c r="BD7" s="268">
        <v>0</v>
      </c>
      <c r="BE7" s="268">
        <v>0</v>
      </c>
      <c r="BF7" s="268">
        <v>0</v>
      </c>
      <c r="BG7" s="269">
        <v>0</v>
      </c>
      <c r="BH7" s="268">
        <v>0</v>
      </c>
      <c r="BI7" s="268">
        <v>0</v>
      </c>
      <c r="BJ7" s="268">
        <v>0</v>
      </c>
      <c r="BK7" s="268">
        <v>0</v>
      </c>
      <c r="BL7" s="268">
        <v>0</v>
      </c>
      <c r="BM7" s="269">
        <v>0</v>
      </c>
      <c r="BN7" s="268">
        <v>0</v>
      </c>
      <c r="BO7" s="268">
        <v>0</v>
      </c>
      <c r="BP7" s="268">
        <v>0</v>
      </c>
      <c r="BQ7" s="268" t="s">
        <v>176</v>
      </c>
      <c r="BR7" s="268">
        <v>0</v>
      </c>
      <c r="BS7" s="269">
        <v>0</v>
      </c>
      <c r="BT7" s="264" t="s">
        <v>402</v>
      </c>
      <c r="BU7" s="267" t="s">
        <v>399</v>
      </c>
      <c r="BV7" s="264">
        <v>0</v>
      </c>
      <c r="BW7" s="264">
        <v>0</v>
      </c>
      <c r="BX7" s="264">
        <v>0</v>
      </c>
      <c r="BY7" s="267" t="s">
        <v>176</v>
      </c>
      <c r="BZ7" s="264">
        <v>0</v>
      </c>
      <c r="CA7" s="264">
        <v>0</v>
      </c>
      <c r="CB7" s="264">
        <v>0</v>
      </c>
      <c r="CC7" s="267" t="s">
        <v>176</v>
      </c>
      <c r="CD7" s="264">
        <v>0</v>
      </c>
      <c r="CE7" s="264">
        <v>0</v>
      </c>
      <c r="CF7" s="264">
        <v>0</v>
      </c>
      <c r="CG7" s="267" t="s">
        <v>176</v>
      </c>
      <c r="CH7" s="264">
        <v>0</v>
      </c>
      <c r="CI7" s="264">
        <v>0</v>
      </c>
      <c r="CJ7" s="264">
        <v>0</v>
      </c>
      <c r="CK7" s="267" t="s">
        <v>176</v>
      </c>
      <c r="CL7" s="264">
        <v>0</v>
      </c>
      <c r="CM7" s="264">
        <v>0</v>
      </c>
      <c r="CN7" s="264">
        <v>0</v>
      </c>
      <c r="CO7" s="267" t="s">
        <v>176</v>
      </c>
      <c r="CP7" s="264">
        <v>0</v>
      </c>
      <c r="CQ7" s="264">
        <v>0</v>
      </c>
      <c r="CR7" s="264" t="s">
        <v>237</v>
      </c>
      <c r="CS7" s="267">
        <v>90</v>
      </c>
      <c r="CT7" s="264" t="s">
        <v>445</v>
      </c>
      <c r="CU7" s="264" t="s">
        <v>402</v>
      </c>
      <c r="CV7" s="264" t="s">
        <v>446</v>
      </c>
      <c r="CW7" s="270" t="s">
        <v>218</v>
      </c>
      <c r="CX7" s="267">
        <v>72</v>
      </c>
      <c r="CY7" s="264" t="s">
        <v>447</v>
      </c>
      <c r="CZ7" s="264" t="s">
        <v>402</v>
      </c>
      <c r="DA7" s="264" t="s">
        <v>438</v>
      </c>
      <c r="DB7" s="270">
        <v>0</v>
      </c>
      <c r="DC7" s="267">
        <v>0</v>
      </c>
      <c r="DD7" s="264">
        <v>0</v>
      </c>
      <c r="DE7" s="264">
        <v>0</v>
      </c>
      <c r="DF7" s="264">
        <v>0</v>
      </c>
      <c r="DG7" s="264">
        <v>0</v>
      </c>
      <c r="DH7" s="267">
        <v>0</v>
      </c>
      <c r="DI7" s="264">
        <v>0</v>
      </c>
      <c r="DJ7" s="264">
        <v>0</v>
      </c>
      <c r="DK7" s="264">
        <v>0</v>
      </c>
      <c r="DL7" s="264">
        <v>0</v>
      </c>
      <c r="DM7" s="267">
        <v>0</v>
      </c>
      <c r="DN7" s="264">
        <v>0</v>
      </c>
      <c r="DO7" s="264">
        <v>0</v>
      </c>
      <c r="DP7" s="264">
        <v>0</v>
      </c>
      <c r="DQ7" s="264">
        <v>0</v>
      </c>
      <c r="DR7" s="267">
        <v>0</v>
      </c>
      <c r="DS7" s="264">
        <v>0</v>
      </c>
      <c r="DT7" s="264">
        <v>0</v>
      </c>
      <c r="DU7" s="264">
        <v>0</v>
      </c>
      <c r="DV7" s="264">
        <v>0</v>
      </c>
      <c r="DW7" s="267">
        <v>0</v>
      </c>
      <c r="DX7" s="264">
        <v>0</v>
      </c>
      <c r="DY7" s="264">
        <v>0</v>
      </c>
      <c r="DZ7" s="264">
        <v>0</v>
      </c>
      <c r="EA7" s="264">
        <v>0</v>
      </c>
      <c r="EB7" s="267">
        <v>0</v>
      </c>
      <c r="EC7" s="264">
        <v>0</v>
      </c>
      <c r="ED7" s="264">
        <v>0</v>
      </c>
      <c r="EE7" s="264">
        <v>0</v>
      </c>
      <c r="EF7" s="264">
        <v>0</v>
      </c>
      <c r="EG7" s="267">
        <v>0</v>
      </c>
      <c r="EH7" s="264">
        <v>0</v>
      </c>
      <c r="EI7" s="264">
        <v>0</v>
      </c>
      <c r="EJ7" s="264">
        <v>0</v>
      </c>
      <c r="EK7" s="264">
        <v>0</v>
      </c>
      <c r="EL7" s="267">
        <v>0</v>
      </c>
      <c r="EM7" s="264">
        <v>0</v>
      </c>
      <c r="EN7" s="264">
        <v>0</v>
      </c>
      <c r="EO7" s="264">
        <v>0</v>
      </c>
      <c r="EP7" s="264">
        <v>0</v>
      </c>
      <c r="EQ7" s="267">
        <v>0</v>
      </c>
      <c r="ER7" s="264">
        <v>0</v>
      </c>
      <c r="ES7" s="264">
        <v>0</v>
      </c>
      <c r="ET7" s="264">
        <v>0</v>
      </c>
      <c r="EU7" s="264">
        <v>0</v>
      </c>
      <c r="EV7" s="267">
        <v>0</v>
      </c>
      <c r="EW7" s="264">
        <v>0</v>
      </c>
      <c r="EX7" s="264">
        <v>0</v>
      </c>
      <c r="EY7" s="264">
        <v>0</v>
      </c>
      <c r="EZ7" s="264" t="s">
        <v>402</v>
      </c>
      <c r="FA7" s="266">
        <v>0.66666666666666663</v>
      </c>
      <c r="FB7" s="266">
        <v>1</v>
      </c>
      <c r="FC7" s="267">
        <v>162</v>
      </c>
      <c r="FD7" s="267">
        <v>30</v>
      </c>
      <c r="FE7" s="267">
        <v>226</v>
      </c>
      <c r="FF7" s="267">
        <v>288.00000000000011</v>
      </c>
      <c r="FG7" s="267">
        <v>98.260869565217391</v>
      </c>
      <c r="FH7" s="264">
        <v>0</v>
      </c>
      <c r="FI7" s="264" t="s">
        <v>176</v>
      </c>
      <c r="FJ7" s="266">
        <v>0</v>
      </c>
      <c r="FK7" s="266">
        <v>0</v>
      </c>
      <c r="FL7" s="267">
        <v>0</v>
      </c>
      <c r="FM7" s="267">
        <v>0</v>
      </c>
      <c r="FN7" s="267">
        <v>0</v>
      </c>
      <c r="FO7" s="267" t="s">
        <v>176</v>
      </c>
      <c r="FP7" s="267">
        <v>0</v>
      </c>
      <c r="FQ7" s="264">
        <v>0</v>
      </c>
      <c r="FR7" s="264" t="s">
        <v>176</v>
      </c>
      <c r="FS7" s="266">
        <v>0</v>
      </c>
      <c r="FT7" s="266">
        <v>0</v>
      </c>
      <c r="FU7" s="267">
        <v>0</v>
      </c>
      <c r="FV7" s="267">
        <v>0</v>
      </c>
      <c r="FW7" s="267">
        <v>0</v>
      </c>
      <c r="FX7" s="267" t="s">
        <v>176</v>
      </c>
      <c r="FY7" s="267">
        <v>0</v>
      </c>
      <c r="FZ7" s="264">
        <v>0</v>
      </c>
      <c r="GA7" s="264" t="s">
        <v>176</v>
      </c>
      <c r="GB7" s="266">
        <v>0</v>
      </c>
      <c r="GC7" s="266">
        <v>0</v>
      </c>
      <c r="GD7" s="267">
        <v>0</v>
      </c>
      <c r="GE7" s="267">
        <v>0</v>
      </c>
      <c r="GF7" s="267">
        <v>0</v>
      </c>
      <c r="GG7" s="267" t="s">
        <v>176</v>
      </c>
      <c r="GH7" s="267">
        <v>0</v>
      </c>
      <c r="GI7" s="264">
        <v>0</v>
      </c>
      <c r="GJ7" s="264" t="s">
        <v>176</v>
      </c>
      <c r="GK7" s="266">
        <v>0</v>
      </c>
      <c r="GL7" s="266">
        <v>0</v>
      </c>
      <c r="GM7" s="267">
        <v>0</v>
      </c>
      <c r="GN7" s="267">
        <v>0</v>
      </c>
      <c r="GO7" s="267">
        <v>0</v>
      </c>
      <c r="GP7" s="267" t="s">
        <v>176</v>
      </c>
      <c r="GQ7" s="267">
        <v>0</v>
      </c>
      <c r="GR7" s="264">
        <v>0</v>
      </c>
      <c r="GS7" s="264" t="s">
        <v>176</v>
      </c>
      <c r="GT7" s="266">
        <v>0</v>
      </c>
      <c r="GU7" s="266">
        <v>0</v>
      </c>
      <c r="GV7" s="267">
        <v>0</v>
      </c>
      <c r="GW7" s="267">
        <v>0</v>
      </c>
      <c r="GX7" s="267">
        <v>0</v>
      </c>
      <c r="GY7" s="267" t="s">
        <v>176</v>
      </c>
      <c r="GZ7" s="267">
        <v>0</v>
      </c>
      <c r="HA7" s="264">
        <v>0</v>
      </c>
      <c r="HB7" s="264" t="s">
        <v>402</v>
      </c>
      <c r="HC7" s="264">
        <v>11300</v>
      </c>
      <c r="HD7" s="267">
        <v>11300</v>
      </c>
      <c r="HE7" s="267">
        <v>0</v>
      </c>
      <c r="HF7" s="267">
        <v>11300</v>
      </c>
      <c r="HG7" s="267">
        <v>50</v>
      </c>
      <c r="HH7" s="267">
        <v>11300</v>
      </c>
      <c r="HI7" s="267">
        <v>65</v>
      </c>
      <c r="HJ7" s="267">
        <v>226</v>
      </c>
      <c r="HK7" s="267">
        <v>0</v>
      </c>
      <c r="HL7" s="267">
        <v>226</v>
      </c>
      <c r="HM7" s="267">
        <v>0</v>
      </c>
      <c r="HN7" s="267">
        <v>226</v>
      </c>
      <c r="HO7" s="267">
        <v>0</v>
      </c>
      <c r="HP7" s="267" t="s">
        <v>176</v>
      </c>
      <c r="HQ7" s="267">
        <v>0</v>
      </c>
      <c r="HR7" s="267">
        <v>0</v>
      </c>
      <c r="HS7" s="267">
        <v>0</v>
      </c>
      <c r="HT7" s="267">
        <v>0</v>
      </c>
      <c r="HU7" s="267">
        <v>0</v>
      </c>
      <c r="HV7" s="267">
        <v>0</v>
      </c>
      <c r="HW7" s="267">
        <v>0</v>
      </c>
      <c r="HX7" s="267">
        <v>0</v>
      </c>
      <c r="HY7" s="267">
        <v>0</v>
      </c>
      <c r="HZ7" s="267">
        <v>0</v>
      </c>
      <c r="IA7" s="267">
        <v>0</v>
      </c>
      <c r="IB7" s="267">
        <v>0</v>
      </c>
      <c r="IC7" s="267">
        <v>0</v>
      </c>
      <c r="ID7" s="267" t="s">
        <v>176</v>
      </c>
      <c r="IE7" s="267">
        <v>0</v>
      </c>
      <c r="IF7" s="267">
        <v>0</v>
      </c>
      <c r="IG7" s="267">
        <v>0</v>
      </c>
      <c r="IH7" s="267">
        <v>0</v>
      </c>
      <c r="II7" s="267">
        <v>0</v>
      </c>
      <c r="IJ7" s="267">
        <v>0</v>
      </c>
      <c r="IK7" s="267">
        <v>0</v>
      </c>
      <c r="IL7" s="267">
        <v>0</v>
      </c>
      <c r="IM7" s="267">
        <v>0</v>
      </c>
      <c r="IN7" s="267">
        <v>0</v>
      </c>
      <c r="IO7" s="267">
        <v>0</v>
      </c>
      <c r="IP7" s="267">
        <v>0</v>
      </c>
      <c r="IQ7" s="267">
        <v>0</v>
      </c>
      <c r="IR7" s="267" t="s">
        <v>176</v>
      </c>
      <c r="IS7" s="267">
        <v>0</v>
      </c>
      <c r="IT7" s="272">
        <v>0</v>
      </c>
      <c r="IU7" s="272">
        <v>0</v>
      </c>
      <c r="IV7" s="272">
        <v>0</v>
      </c>
      <c r="IW7" s="272">
        <v>0</v>
      </c>
      <c r="IX7" s="272">
        <v>0</v>
      </c>
      <c r="IY7" s="272">
        <v>0</v>
      </c>
      <c r="IZ7" s="267">
        <v>0</v>
      </c>
      <c r="JA7" s="267">
        <v>0</v>
      </c>
      <c r="JB7" s="267">
        <v>0</v>
      </c>
      <c r="JC7" s="267">
        <v>0</v>
      </c>
      <c r="JD7" s="267">
        <v>0</v>
      </c>
      <c r="JE7" s="267">
        <v>0</v>
      </c>
      <c r="JF7" s="267" t="s">
        <v>176</v>
      </c>
      <c r="JG7" s="267">
        <v>0</v>
      </c>
      <c r="JH7" s="267">
        <v>0</v>
      </c>
      <c r="JI7" s="267">
        <v>0</v>
      </c>
      <c r="JJ7" s="267">
        <v>0</v>
      </c>
      <c r="JK7" s="267">
        <v>0</v>
      </c>
      <c r="JL7" s="267">
        <v>0</v>
      </c>
      <c r="JM7" s="267">
        <v>0</v>
      </c>
      <c r="JN7" s="267">
        <v>0</v>
      </c>
      <c r="JO7" s="267">
        <v>0</v>
      </c>
      <c r="JP7" s="267">
        <v>0</v>
      </c>
      <c r="JQ7" s="267">
        <v>0</v>
      </c>
      <c r="JR7" s="267">
        <v>0</v>
      </c>
      <c r="JS7" s="267">
        <v>0</v>
      </c>
      <c r="JT7" s="267" t="s">
        <v>176</v>
      </c>
      <c r="JU7" s="267">
        <v>0</v>
      </c>
      <c r="JV7" s="267">
        <v>0</v>
      </c>
      <c r="JW7" s="267">
        <v>0</v>
      </c>
      <c r="JX7" s="267">
        <v>0</v>
      </c>
      <c r="JY7" s="267">
        <v>0</v>
      </c>
      <c r="JZ7" s="267">
        <v>0</v>
      </c>
      <c r="KA7" s="267">
        <v>0</v>
      </c>
      <c r="KB7" s="267">
        <v>0</v>
      </c>
      <c r="KC7" s="267">
        <v>0</v>
      </c>
      <c r="KD7" s="267">
        <v>0</v>
      </c>
      <c r="KE7" s="267">
        <v>0</v>
      </c>
      <c r="KF7" s="267">
        <v>0</v>
      </c>
      <c r="KG7" s="267">
        <v>0</v>
      </c>
      <c r="KH7" s="266">
        <v>0.66666666666666663</v>
      </c>
      <c r="KI7" s="266">
        <v>1</v>
      </c>
      <c r="KJ7" s="267">
        <v>30</v>
      </c>
      <c r="KK7" s="266">
        <v>0</v>
      </c>
      <c r="KL7" s="266">
        <v>0</v>
      </c>
      <c r="KM7" s="267">
        <v>0</v>
      </c>
      <c r="KN7" s="266">
        <v>0</v>
      </c>
      <c r="KO7" s="266">
        <v>0</v>
      </c>
      <c r="KP7" s="267">
        <v>0</v>
      </c>
      <c r="KQ7" s="266">
        <v>0</v>
      </c>
      <c r="KR7" s="266">
        <v>0</v>
      </c>
      <c r="KS7" s="267">
        <v>0</v>
      </c>
      <c r="KT7" s="266">
        <v>0</v>
      </c>
      <c r="KU7" s="266">
        <v>0</v>
      </c>
      <c r="KV7" s="267">
        <v>0</v>
      </c>
      <c r="KW7" s="266">
        <v>0</v>
      </c>
      <c r="KX7" s="266">
        <v>0</v>
      </c>
      <c r="KY7" s="267">
        <v>0</v>
      </c>
    </row>
    <row r="8" spans="1:311" ht="58">
      <c r="A8" s="263">
        <v>44302</v>
      </c>
      <c r="B8" s="264" t="s">
        <v>211</v>
      </c>
      <c r="C8" s="265">
        <v>0.69047619047619047</v>
      </c>
      <c r="D8" s="265">
        <v>0.41379310344827586</v>
      </c>
      <c r="E8" s="265">
        <v>0.97176255193296246</v>
      </c>
      <c r="F8" s="265">
        <v>0.27764644340941785</v>
      </c>
      <c r="G8" s="266">
        <v>0</v>
      </c>
      <c r="H8" s="266">
        <v>0.33333333333333331</v>
      </c>
      <c r="I8" s="264" t="s">
        <v>421</v>
      </c>
      <c r="J8" s="267">
        <v>480</v>
      </c>
      <c r="K8" s="267">
        <v>420</v>
      </c>
      <c r="L8" s="267">
        <v>130</v>
      </c>
      <c r="M8" s="267">
        <v>290</v>
      </c>
      <c r="N8" s="267">
        <v>120</v>
      </c>
      <c r="O8" s="267">
        <v>401</v>
      </c>
      <c r="P8" s="267">
        <v>0</v>
      </c>
      <c r="Q8" s="267">
        <v>13800</v>
      </c>
      <c r="R8" s="264" t="s">
        <v>212</v>
      </c>
      <c r="S8" s="267">
        <v>30</v>
      </c>
      <c r="T8" s="267">
        <v>30</v>
      </c>
      <c r="U8" s="267">
        <v>0</v>
      </c>
      <c r="V8" s="267" t="s">
        <v>402</v>
      </c>
      <c r="W8" s="264" t="s">
        <v>448</v>
      </c>
      <c r="X8" s="264" t="s">
        <v>212</v>
      </c>
      <c r="Y8" s="267">
        <v>30</v>
      </c>
      <c r="Z8" s="267">
        <v>30</v>
      </c>
      <c r="AA8" s="267">
        <v>0</v>
      </c>
      <c r="AB8" s="267" t="s">
        <v>402</v>
      </c>
      <c r="AC8" s="264" t="s">
        <v>176</v>
      </c>
      <c r="AD8" s="264">
        <v>0</v>
      </c>
      <c r="AE8" s="267">
        <v>0</v>
      </c>
      <c r="AF8" s="267">
        <v>0</v>
      </c>
      <c r="AG8" s="267">
        <v>0</v>
      </c>
      <c r="AH8" s="267">
        <v>0</v>
      </c>
      <c r="AI8" s="264" t="s">
        <v>176</v>
      </c>
      <c r="AJ8" s="264">
        <v>0</v>
      </c>
      <c r="AK8" s="267">
        <v>0</v>
      </c>
      <c r="AL8" s="267">
        <v>0</v>
      </c>
      <c r="AM8" s="267">
        <v>0</v>
      </c>
      <c r="AN8" s="267">
        <v>0</v>
      </c>
      <c r="AO8" s="264" t="s">
        <v>176</v>
      </c>
      <c r="AP8" s="264">
        <v>0</v>
      </c>
      <c r="AQ8" s="267">
        <v>0</v>
      </c>
      <c r="AR8" s="267">
        <v>0</v>
      </c>
      <c r="AS8" s="267">
        <v>0</v>
      </c>
      <c r="AT8" s="267">
        <v>0</v>
      </c>
      <c r="AU8" s="264" t="s">
        <v>176</v>
      </c>
      <c r="AV8" s="264">
        <v>0</v>
      </c>
      <c r="AW8" s="267">
        <v>0</v>
      </c>
      <c r="AX8" s="267">
        <v>0</v>
      </c>
      <c r="AY8" s="267">
        <v>0</v>
      </c>
      <c r="AZ8" s="267">
        <v>0</v>
      </c>
      <c r="BA8" s="264" t="s">
        <v>176</v>
      </c>
      <c r="BB8" s="268">
        <v>0</v>
      </c>
      <c r="BC8" s="268">
        <v>0</v>
      </c>
      <c r="BD8" s="268">
        <v>0</v>
      </c>
      <c r="BE8" s="268">
        <v>0</v>
      </c>
      <c r="BF8" s="268">
        <v>0</v>
      </c>
      <c r="BG8" s="269">
        <v>0</v>
      </c>
      <c r="BH8" s="268">
        <v>0</v>
      </c>
      <c r="BI8" s="268">
        <v>0</v>
      </c>
      <c r="BJ8" s="268">
        <v>0</v>
      </c>
      <c r="BK8" s="268">
        <v>0</v>
      </c>
      <c r="BL8" s="268">
        <v>0</v>
      </c>
      <c r="BM8" s="269">
        <v>0</v>
      </c>
      <c r="BN8" s="268">
        <v>0</v>
      </c>
      <c r="BO8" s="268">
        <v>0</v>
      </c>
      <c r="BP8" s="268">
        <v>0</v>
      </c>
      <c r="BQ8" s="268" t="s">
        <v>176</v>
      </c>
      <c r="BR8" s="268">
        <v>0</v>
      </c>
      <c r="BS8" s="269">
        <v>0</v>
      </c>
      <c r="BT8" s="264" t="s">
        <v>402</v>
      </c>
      <c r="BU8" s="267" t="s">
        <v>399</v>
      </c>
      <c r="BV8" s="264">
        <v>0</v>
      </c>
      <c r="BW8" s="264">
        <v>0</v>
      </c>
      <c r="BX8" s="264">
        <v>0</v>
      </c>
      <c r="BY8" s="267" t="s">
        <v>176</v>
      </c>
      <c r="BZ8" s="264">
        <v>0</v>
      </c>
      <c r="CA8" s="264">
        <v>0</v>
      </c>
      <c r="CB8" s="264">
        <v>0</v>
      </c>
      <c r="CC8" s="267" t="s">
        <v>176</v>
      </c>
      <c r="CD8" s="264">
        <v>0</v>
      </c>
      <c r="CE8" s="264">
        <v>0</v>
      </c>
      <c r="CF8" s="264">
        <v>0</v>
      </c>
      <c r="CG8" s="267" t="s">
        <v>176</v>
      </c>
      <c r="CH8" s="264">
        <v>0</v>
      </c>
      <c r="CI8" s="264">
        <v>0</v>
      </c>
      <c r="CJ8" s="264">
        <v>0</v>
      </c>
      <c r="CK8" s="267" t="s">
        <v>176</v>
      </c>
      <c r="CL8" s="264">
        <v>0</v>
      </c>
      <c r="CM8" s="264">
        <v>0</v>
      </c>
      <c r="CN8" s="264">
        <v>0</v>
      </c>
      <c r="CO8" s="267" t="s">
        <v>176</v>
      </c>
      <c r="CP8" s="264">
        <v>0</v>
      </c>
      <c r="CQ8" s="264">
        <v>0</v>
      </c>
      <c r="CR8" s="264" t="s">
        <v>239</v>
      </c>
      <c r="CS8" s="267">
        <v>35</v>
      </c>
      <c r="CT8" s="264" t="s">
        <v>449</v>
      </c>
      <c r="CU8" s="264" t="s">
        <v>402</v>
      </c>
      <c r="CV8" s="264" t="s">
        <v>450</v>
      </c>
      <c r="CW8" s="270" t="s">
        <v>218</v>
      </c>
      <c r="CX8" s="267">
        <v>15</v>
      </c>
      <c r="CY8" s="264" t="s">
        <v>437</v>
      </c>
      <c r="CZ8" s="264" t="s">
        <v>402</v>
      </c>
      <c r="DA8" s="264" t="s">
        <v>438</v>
      </c>
      <c r="DB8" s="270" t="s">
        <v>218</v>
      </c>
      <c r="DC8" s="267">
        <v>80</v>
      </c>
      <c r="DD8" s="264" t="s">
        <v>451</v>
      </c>
      <c r="DE8" s="264" t="s">
        <v>402</v>
      </c>
      <c r="DF8" s="264" t="s">
        <v>438</v>
      </c>
      <c r="DG8" s="264">
        <v>0</v>
      </c>
      <c r="DH8" s="267">
        <v>0</v>
      </c>
      <c r="DI8" s="264">
        <v>0</v>
      </c>
      <c r="DJ8" s="264">
        <v>0</v>
      </c>
      <c r="DK8" s="264">
        <v>0</v>
      </c>
      <c r="DL8" s="264">
        <v>0</v>
      </c>
      <c r="DM8" s="267">
        <v>0</v>
      </c>
      <c r="DN8" s="264">
        <v>0</v>
      </c>
      <c r="DO8" s="264">
        <v>0</v>
      </c>
      <c r="DP8" s="264">
        <v>0</v>
      </c>
      <c r="DQ8" s="264">
        <v>0</v>
      </c>
      <c r="DR8" s="267">
        <v>0</v>
      </c>
      <c r="DS8" s="264">
        <v>0</v>
      </c>
      <c r="DT8" s="264">
        <v>0</v>
      </c>
      <c r="DU8" s="264">
        <v>0</v>
      </c>
      <c r="DV8" s="264">
        <v>0</v>
      </c>
      <c r="DW8" s="267">
        <v>0</v>
      </c>
      <c r="DX8" s="264">
        <v>0</v>
      </c>
      <c r="DY8" s="264">
        <v>0</v>
      </c>
      <c r="DZ8" s="264">
        <v>0</v>
      </c>
      <c r="EA8" s="264">
        <v>0</v>
      </c>
      <c r="EB8" s="267">
        <v>0</v>
      </c>
      <c r="EC8" s="264">
        <v>0</v>
      </c>
      <c r="ED8" s="264">
        <v>0</v>
      </c>
      <c r="EE8" s="264">
        <v>0</v>
      </c>
      <c r="EF8" s="264">
        <v>0</v>
      </c>
      <c r="EG8" s="267">
        <v>0</v>
      </c>
      <c r="EH8" s="264">
        <v>0</v>
      </c>
      <c r="EI8" s="264">
        <v>0</v>
      </c>
      <c r="EJ8" s="264">
        <v>0</v>
      </c>
      <c r="EK8" s="264">
        <v>0</v>
      </c>
      <c r="EL8" s="267">
        <v>0</v>
      </c>
      <c r="EM8" s="264">
        <v>0</v>
      </c>
      <c r="EN8" s="264">
        <v>0</v>
      </c>
      <c r="EO8" s="264">
        <v>0</v>
      </c>
      <c r="EP8" s="264">
        <v>0</v>
      </c>
      <c r="EQ8" s="267">
        <v>0</v>
      </c>
      <c r="ER8" s="264">
        <v>0</v>
      </c>
      <c r="ES8" s="264">
        <v>0</v>
      </c>
      <c r="ET8" s="264">
        <v>0</v>
      </c>
      <c r="EU8" s="264">
        <v>0</v>
      </c>
      <c r="EV8" s="267">
        <v>0</v>
      </c>
      <c r="EW8" s="264">
        <v>0</v>
      </c>
      <c r="EX8" s="264">
        <v>0</v>
      </c>
      <c r="EY8" s="264">
        <v>0</v>
      </c>
      <c r="EZ8" s="264" t="s">
        <v>402</v>
      </c>
      <c r="FA8" s="266">
        <v>0</v>
      </c>
      <c r="FB8" s="266">
        <v>0.33333333333333331</v>
      </c>
      <c r="FC8" s="267">
        <v>130</v>
      </c>
      <c r="FD8" s="267">
        <v>60</v>
      </c>
      <c r="FE8" s="267">
        <v>276</v>
      </c>
      <c r="FF8" s="267">
        <v>290</v>
      </c>
      <c r="FG8" s="267">
        <v>120</v>
      </c>
      <c r="FH8" s="264">
        <v>0</v>
      </c>
      <c r="FI8" s="264" t="s">
        <v>176</v>
      </c>
      <c r="FJ8" s="266">
        <v>0</v>
      </c>
      <c r="FK8" s="266">
        <v>0</v>
      </c>
      <c r="FL8" s="267">
        <v>0</v>
      </c>
      <c r="FM8" s="267">
        <v>0</v>
      </c>
      <c r="FN8" s="267">
        <v>0</v>
      </c>
      <c r="FO8" s="267" t="s">
        <v>176</v>
      </c>
      <c r="FP8" s="267">
        <v>0</v>
      </c>
      <c r="FQ8" s="264">
        <v>0</v>
      </c>
      <c r="FR8" s="264" t="s">
        <v>176</v>
      </c>
      <c r="FS8" s="266">
        <v>0</v>
      </c>
      <c r="FT8" s="266">
        <v>0</v>
      </c>
      <c r="FU8" s="267">
        <v>0</v>
      </c>
      <c r="FV8" s="267">
        <v>0</v>
      </c>
      <c r="FW8" s="267">
        <v>0</v>
      </c>
      <c r="FX8" s="267" t="s">
        <v>176</v>
      </c>
      <c r="FY8" s="267">
        <v>0</v>
      </c>
      <c r="FZ8" s="264">
        <v>0</v>
      </c>
      <c r="GA8" s="264" t="s">
        <v>176</v>
      </c>
      <c r="GB8" s="266">
        <v>0</v>
      </c>
      <c r="GC8" s="266">
        <v>0</v>
      </c>
      <c r="GD8" s="267">
        <v>0</v>
      </c>
      <c r="GE8" s="267">
        <v>0</v>
      </c>
      <c r="GF8" s="267">
        <v>0</v>
      </c>
      <c r="GG8" s="267" t="s">
        <v>176</v>
      </c>
      <c r="GH8" s="267">
        <v>0</v>
      </c>
      <c r="GI8" s="264">
        <v>0</v>
      </c>
      <c r="GJ8" s="264" t="s">
        <v>176</v>
      </c>
      <c r="GK8" s="266">
        <v>0</v>
      </c>
      <c r="GL8" s="266">
        <v>0</v>
      </c>
      <c r="GM8" s="267">
        <v>0</v>
      </c>
      <c r="GN8" s="267">
        <v>0</v>
      </c>
      <c r="GO8" s="267">
        <v>0</v>
      </c>
      <c r="GP8" s="267" t="s">
        <v>176</v>
      </c>
      <c r="GQ8" s="267">
        <v>0</v>
      </c>
      <c r="GR8" s="264">
        <v>0</v>
      </c>
      <c r="GS8" s="264" t="s">
        <v>176</v>
      </c>
      <c r="GT8" s="266">
        <v>0</v>
      </c>
      <c r="GU8" s="266">
        <v>0</v>
      </c>
      <c r="GV8" s="267">
        <v>0</v>
      </c>
      <c r="GW8" s="267">
        <v>0</v>
      </c>
      <c r="GX8" s="267">
        <v>0</v>
      </c>
      <c r="GY8" s="267" t="s">
        <v>176</v>
      </c>
      <c r="GZ8" s="267">
        <v>0</v>
      </c>
      <c r="HA8" s="264">
        <v>0</v>
      </c>
      <c r="HB8" s="264" t="s">
        <v>402</v>
      </c>
      <c r="HC8" s="264">
        <v>13800</v>
      </c>
      <c r="HD8" s="267">
        <v>13800</v>
      </c>
      <c r="HE8" s="267">
        <v>0</v>
      </c>
      <c r="HF8" s="267">
        <v>13800</v>
      </c>
      <c r="HG8" s="267">
        <v>121</v>
      </c>
      <c r="HH8" s="267">
        <v>13800</v>
      </c>
      <c r="HI8" s="267">
        <v>130</v>
      </c>
      <c r="HJ8" s="267">
        <v>276</v>
      </c>
      <c r="HK8" s="267">
        <v>3</v>
      </c>
      <c r="HL8" s="267">
        <v>276</v>
      </c>
      <c r="HM8" s="267">
        <v>0</v>
      </c>
      <c r="HN8" s="267">
        <v>276</v>
      </c>
      <c r="HO8" s="267">
        <v>0</v>
      </c>
      <c r="HP8" s="267" t="s">
        <v>176</v>
      </c>
      <c r="HQ8" s="267">
        <v>0</v>
      </c>
      <c r="HR8" s="267">
        <v>0</v>
      </c>
      <c r="HS8" s="267">
        <v>0</v>
      </c>
      <c r="HT8" s="267">
        <v>0</v>
      </c>
      <c r="HU8" s="267">
        <v>0</v>
      </c>
      <c r="HV8" s="267">
        <v>0</v>
      </c>
      <c r="HW8" s="267">
        <v>0</v>
      </c>
      <c r="HX8" s="267">
        <v>0</v>
      </c>
      <c r="HY8" s="267">
        <v>0</v>
      </c>
      <c r="HZ8" s="267">
        <v>0</v>
      </c>
      <c r="IA8" s="267">
        <v>0</v>
      </c>
      <c r="IB8" s="267">
        <v>0</v>
      </c>
      <c r="IC8" s="267">
        <v>0</v>
      </c>
      <c r="ID8" s="267" t="s">
        <v>176</v>
      </c>
      <c r="IE8" s="267">
        <v>0</v>
      </c>
      <c r="IF8" s="267">
        <v>0</v>
      </c>
      <c r="IG8" s="267">
        <v>0</v>
      </c>
      <c r="IH8" s="267">
        <v>0</v>
      </c>
      <c r="II8" s="267">
        <v>0</v>
      </c>
      <c r="IJ8" s="267">
        <v>0</v>
      </c>
      <c r="IK8" s="267">
        <v>0</v>
      </c>
      <c r="IL8" s="267">
        <v>0</v>
      </c>
      <c r="IM8" s="267">
        <v>0</v>
      </c>
      <c r="IN8" s="267">
        <v>0</v>
      </c>
      <c r="IO8" s="267">
        <v>0</v>
      </c>
      <c r="IP8" s="267">
        <v>0</v>
      </c>
      <c r="IQ8" s="267">
        <v>0</v>
      </c>
      <c r="IR8" s="267" t="s">
        <v>176</v>
      </c>
      <c r="IS8" s="267">
        <v>0</v>
      </c>
      <c r="IT8" s="272">
        <v>0</v>
      </c>
      <c r="IU8" s="272">
        <v>0</v>
      </c>
      <c r="IV8" s="272">
        <v>0</v>
      </c>
      <c r="IW8" s="272">
        <v>0</v>
      </c>
      <c r="IX8" s="272">
        <v>0</v>
      </c>
      <c r="IY8" s="272">
        <v>0</v>
      </c>
      <c r="IZ8" s="267">
        <v>0</v>
      </c>
      <c r="JA8" s="267">
        <v>0</v>
      </c>
      <c r="JB8" s="267">
        <v>0</v>
      </c>
      <c r="JC8" s="267">
        <v>0</v>
      </c>
      <c r="JD8" s="267">
        <v>0</v>
      </c>
      <c r="JE8" s="267">
        <v>0</v>
      </c>
      <c r="JF8" s="267" t="s">
        <v>176</v>
      </c>
      <c r="JG8" s="267">
        <v>0</v>
      </c>
      <c r="JH8" s="267">
        <v>0</v>
      </c>
      <c r="JI8" s="267">
        <v>0</v>
      </c>
      <c r="JJ8" s="267">
        <v>0</v>
      </c>
      <c r="JK8" s="267">
        <v>0</v>
      </c>
      <c r="JL8" s="267">
        <v>0</v>
      </c>
      <c r="JM8" s="267">
        <v>0</v>
      </c>
      <c r="JN8" s="267">
        <v>0</v>
      </c>
      <c r="JO8" s="267">
        <v>0</v>
      </c>
      <c r="JP8" s="267">
        <v>0</v>
      </c>
      <c r="JQ8" s="267">
        <v>0</v>
      </c>
      <c r="JR8" s="267">
        <v>0</v>
      </c>
      <c r="JS8" s="267">
        <v>0</v>
      </c>
      <c r="JT8" s="267" t="s">
        <v>176</v>
      </c>
      <c r="JU8" s="267">
        <v>0</v>
      </c>
      <c r="JV8" s="267">
        <v>0</v>
      </c>
      <c r="JW8" s="267">
        <v>0</v>
      </c>
      <c r="JX8" s="267">
        <v>0</v>
      </c>
      <c r="JY8" s="267">
        <v>0</v>
      </c>
      <c r="JZ8" s="267">
        <v>0</v>
      </c>
      <c r="KA8" s="267">
        <v>0</v>
      </c>
      <c r="KB8" s="267">
        <v>0</v>
      </c>
      <c r="KC8" s="267">
        <v>0</v>
      </c>
      <c r="KD8" s="267">
        <v>0</v>
      </c>
      <c r="KE8" s="267">
        <v>0</v>
      </c>
      <c r="KF8" s="267">
        <v>0</v>
      </c>
      <c r="KG8" s="267">
        <v>0</v>
      </c>
      <c r="KH8" s="266">
        <v>0</v>
      </c>
      <c r="KI8" s="266">
        <v>0.33333333333333331</v>
      </c>
      <c r="KJ8" s="267">
        <v>60</v>
      </c>
      <c r="KK8" s="266">
        <v>0</v>
      </c>
      <c r="KL8" s="266">
        <v>0</v>
      </c>
      <c r="KM8" s="267">
        <v>0</v>
      </c>
      <c r="KN8" s="266">
        <v>0</v>
      </c>
      <c r="KO8" s="266">
        <v>0</v>
      </c>
      <c r="KP8" s="267">
        <v>0</v>
      </c>
      <c r="KQ8" s="266">
        <v>0</v>
      </c>
      <c r="KR8" s="266">
        <v>0</v>
      </c>
      <c r="KS8" s="267">
        <v>0</v>
      </c>
      <c r="KT8" s="266">
        <v>0</v>
      </c>
      <c r="KU8" s="266">
        <v>0</v>
      </c>
      <c r="KV8" s="267">
        <v>0</v>
      </c>
      <c r="KW8" s="266">
        <v>0</v>
      </c>
      <c r="KX8" s="266">
        <v>0</v>
      </c>
      <c r="KY8" s="267">
        <v>0</v>
      </c>
    </row>
    <row r="9" spans="1:311" ht="58">
      <c r="A9" s="263">
        <v>44303</v>
      </c>
      <c r="B9" s="264" t="s">
        <v>210</v>
      </c>
      <c r="C9" s="265">
        <v>0.8</v>
      </c>
      <c r="D9" s="265">
        <v>0.42995169082125606</v>
      </c>
      <c r="E9" s="265">
        <v>0.99463567277603937</v>
      </c>
      <c r="F9" s="265">
        <v>0.34211623140895658</v>
      </c>
      <c r="G9" s="266">
        <v>0.33333333333333331</v>
      </c>
      <c r="H9" s="266">
        <v>0.66666666666666663</v>
      </c>
      <c r="I9" s="264" t="s">
        <v>419</v>
      </c>
      <c r="J9" s="267">
        <v>480</v>
      </c>
      <c r="K9" s="267">
        <v>450</v>
      </c>
      <c r="L9" s="267">
        <v>90</v>
      </c>
      <c r="M9" s="267">
        <v>360</v>
      </c>
      <c r="N9" s="267">
        <v>154.78260869565219</v>
      </c>
      <c r="O9" s="267">
        <v>96</v>
      </c>
      <c r="P9" s="267">
        <v>0</v>
      </c>
      <c r="Q9" s="267">
        <v>17800</v>
      </c>
      <c r="R9" s="264" t="s">
        <v>212</v>
      </c>
      <c r="S9" s="267">
        <v>30</v>
      </c>
      <c r="T9" s="267">
        <v>30</v>
      </c>
      <c r="U9" s="267">
        <v>0</v>
      </c>
      <c r="V9" s="267" t="s">
        <v>402</v>
      </c>
      <c r="W9" s="264" t="s">
        <v>176</v>
      </c>
      <c r="X9" s="264">
        <v>0</v>
      </c>
      <c r="Y9" s="267">
        <v>0</v>
      </c>
      <c r="Z9" s="267">
        <v>0</v>
      </c>
      <c r="AA9" s="267">
        <v>0</v>
      </c>
      <c r="AB9" s="267">
        <v>0</v>
      </c>
      <c r="AC9" s="264" t="s">
        <v>176</v>
      </c>
      <c r="AD9" s="264">
        <v>0</v>
      </c>
      <c r="AE9" s="267">
        <v>0</v>
      </c>
      <c r="AF9" s="267">
        <v>0</v>
      </c>
      <c r="AG9" s="267">
        <v>0</v>
      </c>
      <c r="AH9" s="267">
        <v>0</v>
      </c>
      <c r="AI9" s="264" t="s">
        <v>176</v>
      </c>
      <c r="AJ9" s="264">
        <v>0</v>
      </c>
      <c r="AK9" s="267">
        <v>0</v>
      </c>
      <c r="AL9" s="267">
        <v>0</v>
      </c>
      <c r="AM9" s="267">
        <v>0</v>
      </c>
      <c r="AN9" s="267">
        <v>0</v>
      </c>
      <c r="AO9" s="264" t="s">
        <v>176</v>
      </c>
      <c r="AP9" s="264">
        <v>0</v>
      </c>
      <c r="AQ9" s="267">
        <v>0</v>
      </c>
      <c r="AR9" s="267">
        <v>0</v>
      </c>
      <c r="AS9" s="267">
        <v>0</v>
      </c>
      <c r="AT9" s="267">
        <v>0</v>
      </c>
      <c r="AU9" s="264" t="s">
        <v>176</v>
      </c>
      <c r="AV9" s="264">
        <v>0</v>
      </c>
      <c r="AW9" s="267">
        <v>0</v>
      </c>
      <c r="AX9" s="267">
        <v>0</v>
      </c>
      <c r="AY9" s="267">
        <v>0</v>
      </c>
      <c r="AZ9" s="267">
        <v>0</v>
      </c>
      <c r="BA9" s="264" t="s">
        <v>176</v>
      </c>
      <c r="BB9" s="268">
        <v>0</v>
      </c>
      <c r="BC9" s="268">
        <v>0</v>
      </c>
      <c r="BD9" s="268">
        <v>0</v>
      </c>
      <c r="BE9" s="268">
        <v>0</v>
      </c>
      <c r="BF9" s="268">
        <v>0</v>
      </c>
      <c r="BG9" s="269">
        <v>0</v>
      </c>
      <c r="BH9" s="268">
        <v>0</v>
      </c>
      <c r="BI9" s="268">
        <v>0</v>
      </c>
      <c r="BJ9" s="268">
        <v>0</v>
      </c>
      <c r="BK9" s="268">
        <v>0</v>
      </c>
      <c r="BL9" s="268">
        <v>0</v>
      </c>
      <c r="BM9" s="269">
        <v>0</v>
      </c>
      <c r="BN9" s="268">
        <v>0</v>
      </c>
      <c r="BO9" s="268">
        <v>0</v>
      </c>
      <c r="BP9" s="268">
        <v>0</v>
      </c>
      <c r="BQ9" s="268" t="s">
        <v>176</v>
      </c>
      <c r="BR9" s="268">
        <v>0</v>
      </c>
      <c r="BS9" s="269">
        <v>0</v>
      </c>
      <c r="BT9" s="264" t="s">
        <v>402</v>
      </c>
      <c r="BU9" s="267" t="s">
        <v>399</v>
      </c>
      <c r="BV9" s="264">
        <v>0</v>
      </c>
      <c r="BW9" s="264">
        <v>0</v>
      </c>
      <c r="BX9" s="264">
        <v>0</v>
      </c>
      <c r="BY9" s="267" t="s">
        <v>176</v>
      </c>
      <c r="BZ9" s="264">
        <v>0</v>
      </c>
      <c r="CA9" s="264">
        <v>0</v>
      </c>
      <c r="CB9" s="264">
        <v>0</v>
      </c>
      <c r="CC9" s="267" t="s">
        <v>176</v>
      </c>
      <c r="CD9" s="264">
        <v>0</v>
      </c>
      <c r="CE9" s="264">
        <v>0</v>
      </c>
      <c r="CF9" s="264">
        <v>0</v>
      </c>
      <c r="CG9" s="267" t="s">
        <v>176</v>
      </c>
      <c r="CH9" s="264">
        <v>0</v>
      </c>
      <c r="CI9" s="264">
        <v>0</v>
      </c>
      <c r="CJ9" s="264">
        <v>0</v>
      </c>
      <c r="CK9" s="267" t="s">
        <v>176</v>
      </c>
      <c r="CL9" s="264">
        <v>0</v>
      </c>
      <c r="CM9" s="264">
        <v>0</v>
      </c>
      <c r="CN9" s="264">
        <v>0</v>
      </c>
      <c r="CO9" s="267" t="s">
        <v>176</v>
      </c>
      <c r="CP9" s="264">
        <v>0</v>
      </c>
      <c r="CQ9" s="264">
        <v>0</v>
      </c>
      <c r="CR9" s="264" t="s">
        <v>239</v>
      </c>
      <c r="CS9" s="267">
        <v>30</v>
      </c>
      <c r="CT9" s="264" t="s">
        <v>452</v>
      </c>
      <c r="CU9" s="264" t="s">
        <v>402</v>
      </c>
      <c r="CV9" s="264" t="s">
        <v>453</v>
      </c>
      <c r="CW9" s="270" t="s">
        <v>218</v>
      </c>
      <c r="CX9" s="267">
        <v>40</v>
      </c>
      <c r="CY9" s="264" t="s">
        <v>454</v>
      </c>
      <c r="CZ9" s="264" t="s">
        <v>402</v>
      </c>
      <c r="DA9" s="264" t="s">
        <v>438</v>
      </c>
      <c r="DB9" s="270" t="s">
        <v>239</v>
      </c>
      <c r="DC9" s="267">
        <v>20</v>
      </c>
      <c r="DD9" s="264" t="s">
        <v>456</v>
      </c>
      <c r="DE9" s="264" t="s">
        <v>402</v>
      </c>
      <c r="DF9" s="264" t="s">
        <v>455</v>
      </c>
      <c r="DG9" s="264">
        <v>0</v>
      </c>
      <c r="DH9" s="267">
        <v>0</v>
      </c>
      <c r="DI9" s="264">
        <v>0</v>
      </c>
      <c r="DJ9" s="264">
        <v>0</v>
      </c>
      <c r="DK9" s="264">
        <v>0</v>
      </c>
      <c r="DL9" s="264">
        <v>0</v>
      </c>
      <c r="DM9" s="267">
        <v>0</v>
      </c>
      <c r="DN9" s="264">
        <v>0</v>
      </c>
      <c r="DO9" s="264">
        <v>0</v>
      </c>
      <c r="DP9" s="264">
        <v>0</v>
      </c>
      <c r="DQ9" s="264">
        <v>0</v>
      </c>
      <c r="DR9" s="267">
        <v>0</v>
      </c>
      <c r="DS9" s="264">
        <v>0</v>
      </c>
      <c r="DT9" s="264">
        <v>0</v>
      </c>
      <c r="DU9" s="264">
        <v>0</v>
      </c>
      <c r="DV9" s="264">
        <v>0</v>
      </c>
      <c r="DW9" s="267">
        <v>0</v>
      </c>
      <c r="DX9" s="264">
        <v>0</v>
      </c>
      <c r="DY9" s="264">
        <v>0</v>
      </c>
      <c r="DZ9" s="264">
        <v>0</v>
      </c>
      <c r="EA9" s="264">
        <v>0</v>
      </c>
      <c r="EB9" s="267">
        <v>0</v>
      </c>
      <c r="EC9" s="264">
        <v>0</v>
      </c>
      <c r="ED9" s="264">
        <v>0</v>
      </c>
      <c r="EE9" s="264">
        <v>0</v>
      </c>
      <c r="EF9" s="264">
        <v>0</v>
      </c>
      <c r="EG9" s="267">
        <v>0</v>
      </c>
      <c r="EH9" s="264">
        <v>0</v>
      </c>
      <c r="EI9" s="264">
        <v>0</v>
      </c>
      <c r="EJ9" s="264">
        <v>0</v>
      </c>
      <c r="EK9" s="264">
        <v>0</v>
      </c>
      <c r="EL9" s="267">
        <v>0</v>
      </c>
      <c r="EM9" s="264">
        <v>0</v>
      </c>
      <c r="EN9" s="264">
        <v>0</v>
      </c>
      <c r="EO9" s="264">
        <v>0</v>
      </c>
      <c r="EP9" s="264">
        <v>0</v>
      </c>
      <c r="EQ9" s="267">
        <v>0</v>
      </c>
      <c r="ER9" s="264">
        <v>0</v>
      </c>
      <c r="ES9" s="264">
        <v>0</v>
      </c>
      <c r="ET9" s="264">
        <v>0</v>
      </c>
      <c r="EU9" s="264">
        <v>0</v>
      </c>
      <c r="EV9" s="267">
        <v>0</v>
      </c>
      <c r="EW9" s="264">
        <v>0</v>
      </c>
      <c r="EX9" s="264">
        <v>0</v>
      </c>
      <c r="EY9" s="264">
        <v>0</v>
      </c>
      <c r="EZ9" s="264" t="s">
        <v>402</v>
      </c>
      <c r="FA9" s="266">
        <v>0.33333333333333331</v>
      </c>
      <c r="FB9" s="266">
        <v>0.66666666666666663</v>
      </c>
      <c r="FC9" s="267">
        <v>90</v>
      </c>
      <c r="FD9" s="267">
        <v>30</v>
      </c>
      <c r="FE9" s="267">
        <v>356</v>
      </c>
      <c r="FF9" s="267">
        <v>360</v>
      </c>
      <c r="FG9" s="267">
        <v>154.78260869565219</v>
      </c>
      <c r="FH9" s="264">
        <v>0</v>
      </c>
      <c r="FI9" s="264" t="s">
        <v>176</v>
      </c>
      <c r="FJ9" s="266">
        <v>0</v>
      </c>
      <c r="FK9" s="266">
        <v>0</v>
      </c>
      <c r="FL9" s="267">
        <v>0</v>
      </c>
      <c r="FM9" s="267">
        <v>0</v>
      </c>
      <c r="FN9" s="267">
        <v>0</v>
      </c>
      <c r="FO9" s="267" t="s">
        <v>176</v>
      </c>
      <c r="FP9" s="267">
        <v>0</v>
      </c>
      <c r="FQ9" s="264">
        <v>0</v>
      </c>
      <c r="FR9" s="264" t="s">
        <v>176</v>
      </c>
      <c r="FS9" s="266">
        <v>0</v>
      </c>
      <c r="FT9" s="266">
        <v>0</v>
      </c>
      <c r="FU9" s="267">
        <v>0</v>
      </c>
      <c r="FV9" s="267">
        <v>0</v>
      </c>
      <c r="FW9" s="267">
        <v>0</v>
      </c>
      <c r="FX9" s="267" t="s">
        <v>176</v>
      </c>
      <c r="FY9" s="267">
        <v>0</v>
      </c>
      <c r="FZ9" s="264">
        <v>0</v>
      </c>
      <c r="GA9" s="264" t="s">
        <v>176</v>
      </c>
      <c r="GB9" s="266">
        <v>0</v>
      </c>
      <c r="GC9" s="266">
        <v>0</v>
      </c>
      <c r="GD9" s="267">
        <v>0</v>
      </c>
      <c r="GE9" s="267">
        <v>0</v>
      </c>
      <c r="GF9" s="267">
        <v>0</v>
      </c>
      <c r="GG9" s="267" t="s">
        <v>176</v>
      </c>
      <c r="GH9" s="267">
        <v>0</v>
      </c>
      <c r="GI9" s="264">
        <v>0</v>
      </c>
      <c r="GJ9" s="264" t="s">
        <v>176</v>
      </c>
      <c r="GK9" s="266">
        <v>0</v>
      </c>
      <c r="GL9" s="266">
        <v>0</v>
      </c>
      <c r="GM9" s="267">
        <v>0</v>
      </c>
      <c r="GN9" s="267">
        <v>0</v>
      </c>
      <c r="GO9" s="267">
        <v>0</v>
      </c>
      <c r="GP9" s="267" t="s">
        <v>176</v>
      </c>
      <c r="GQ9" s="267">
        <v>0</v>
      </c>
      <c r="GR9" s="264">
        <v>0</v>
      </c>
      <c r="GS9" s="264" t="s">
        <v>176</v>
      </c>
      <c r="GT9" s="266">
        <v>0</v>
      </c>
      <c r="GU9" s="266">
        <v>0</v>
      </c>
      <c r="GV9" s="267">
        <v>0</v>
      </c>
      <c r="GW9" s="267">
        <v>0</v>
      </c>
      <c r="GX9" s="267">
        <v>0</v>
      </c>
      <c r="GY9" s="267" t="s">
        <v>176</v>
      </c>
      <c r="GZ9" s="267">
        <v>0</v>
      </c>
      <c r="HA9" s="264">
        <v>0</v>
      </c>
      <c r="HB9" s="264" t="s">
        <v>402</v>
      </c>
      <c r="HC9" s="264">
        <v>17800</v>
      </c>
      <c r="HD9" s="267">
        <v>17800</v>
      </c>
      <c r="HE9" s="267">
        <v>0</v>
      </c>
      <c r="HF9" s="267">
        <v>17800</v>
      </c>
      <c r="HG9" s="267">
        <v>50</v>
      </c>
      <c r="HH9" s="267">
        <v>17800</v>
      </c>
      <c r="HI9" s="267">
        <v>46</v>
      </c>
      <c r="HJ9" s="267">
        <v>356</v>
      </c>
      <c r="HK9" s="267">
        <v>0</v>
      </c>
      <c r="HL9" s="267">
        <v>356</v>
      </c>
      <c r="HM9" s="267">
        <v>0</v>
      </c>
      <c r="HN9" s="267">
        <v>356</v>
      </c>
      <c r="HO9" s="267">
        <v>0</v>
      </c>
      <c r="HP9" s="267" t="s">
        <v>176</v>
      </c>
      <c r="HQ9" s="267">
        <v>0</v>
      </c>
      <c r="HR9" s="267">
        <v>0</v>
      </c>
      <c r="HS9" s="267">
        <v>0</v>
      </c>
      <c r="HT9" s="267">
        <v>0</v>
      </c>
      <c r="HU9" s="267">
        <v>0</v>
      </c>
      <c r="HV9" s="267">
        <v>0</v>
      </c>
      <c r="HW9" s="267">
        <v>0</v>
      </c>
      <c r="HX9" s="267">
        <v>0</v>
      </c>
      <c r="HY9" s="267">
        <v>0</v>
      </c>
      <c r="HZ9" s="267">
        <v>0</v>
      </c>
      <c r="IA9" s="267">
        <v>0</v>
      </c>
      <c r="IB9" s="267">
        <v>0</v>
      </c>
      <c r="IC9" s="267">
        <v>0</v>
      </c>
      <c r="ID9" s="267" t="s">
        <v>176</v>
      </c>
      <c r="IE9" s="267">
        <v>0</v>
      </c>
      <c r="IF9" s="267">
        <v>0</v>
      </c>
      <c r="IG9" s="267">
        <v>0</v>
      </c>
      <c r="IH9" s="267">
        <v>0</v>
      </c>
      <c r="II9" s="267">
        <v>0</v>
      </c>
      <c r="IJ9" s="267">
        <v>0</v>
      </c>
      <c r="IK9" s="267">
        <v>0</v>
      </c>
      <c r="IL9" s="267">
        <v>0</v>
      </c>
      <c r="IM9" s="267">
        <v>0</v>
      </c>
      <c r="IN9" s="267">
        <v>0</v>
      </c>
      <c r="IO9" s="267">
        <v>0</v>
      </c>
      <c r="IP9" s="267">
        <v>0</v>
      </c>
      <c r="IQ9" s="267">
        <v>0</v>
      </c>
      <c r="IR9" s="267" t="s">
        <v>176</v>
      </c>
      <c r="IS9" s="267">
        <v>0</v>
      </c>
      <c r="IT9" s="272">
        <v>0</v>
      </c>
      <c r="IU9" s="272">
        <v>0</v>
      </c>
      <c r="IV9" s="272">
        <v>0</v>
      </c>
      <c r="IW9" s="272">
        <v>0</v>
      </c>
      <c r="IX9" s="272">
        <v>0</v>
      </c>
      <c r="IY9" s="272">
        <v>0</v>
      </c>
      <c r="IZ9" s="267">
        <v>0</v>
      </c>
      <c r="JA9" s="267">
        <v>0</v>
      </c>
      <c r="JB9" s="267">
        <v>0</v>
      </c>
      <c r="JC9" s="267">
        <v>0</v>
      </c>
      <c r="JD9" s="267">
        <v>0</v>
      </c>
      <c r="JE9" s="267">
        <v>0</v>
      </c>
      <c r="JF9" s="267" t="s">
        <v>176</v>
      </c>
      <c r="JG9" s="267">
        <v>0</v>
      </c>
      <c r="JH9" s="267">
        <v>0</v>
      </c>
      <c r="JI9" s="267">
        <v>0</v>
      </c>
      <c r="JJ9" s="267">
        <v>0</v>
      </c>
      <c r="JK9" s="267">
        <v>0</v>
      </c>
      <c r="JL9" s="267">
        <v>0</v>
      </c>
      <c r="JM9" s="267">
        <v>0</v>
      </c>
      <c r="JN9" s="267">
        <v>0</v>
      </c>
      <c r="JO9" s="267">
        <v>0</v>
      </c>
      <c r="JP9" s="267">
        <v>0</v>
      </c>
      <c r="JQ9" s="267">
        <v>0</v>
      </c>
      <c r="JR9" s="267">
        <v>0</v>
      </c>
      <c r="JS9" s="267">
        <v>0</v>
      </c>
      <c r="JT9" s="267" t="s">
        <v>176</v>
      </c>
      <c r="JU9" s="267">
        <v>0</v>
      </c>
      <c r="JV9" s="267">
        <v>0</v>
      </c>
      <c r="JW9" s="267">
        <v>0</v>
      </c>
      <c r="JX9" s="267">
        <v>0</v>
      </c>
      <c r="JY9" s="267">
        <v>0</v>
      </c>
      <c r="JZ9" s="267">
        <v>0</v>
      </c>
      <c r="KA9" s="267">
        <v>0</v>
      </c>
      <c r="KB9" s="267">
        <v>0</v>
      </c>
      <c r="KC9" s="267">
        <v>0</v>
      </c>
      <c r="KD9" s="267">
        <v>0</v>
      </c>
      <c r="KE9" s="267">
        <v>0</v>
      </c>
      <c r="KF9" s="267">
        <v>0</v>
      </c>
      <c r="KG9" s="267">
        <v>0</v>
      </c>
      <c r="KH9" s="266">
        <v>0.33333333333333331</v>
      </c>
      <c r="KI9" s="266">
        <v>0.66666666666666663</v>
      </c>
      <c r="KJ9" s="267">
        <v>30</v>
      </c>
      <c r="KK9" s="266">
        <v>0</v>
      </c>
      <c r="KL9" s="266">
        <v>0</v>
      </c>
      <c r="KM9" s="267">
        <v>0</v>
      </c>
      <c r="KN9" s="266">
        <v>0</v>
      </c>
      <c r="KO9" s="266">
        <v>0</v>
      </c>
      <c r="KP9" s="267">
        <v>0</v>
      </c>
      <c r="KQ9" s="266">
        <v>0</v>
      </c>
      <c r="KR9" s="266">
        <v>0</v>
      </c>
      <c r="KS9" s="267">
        <v>0</v>
      </c>
      <c r="KT9" s="266">
        <v>0</v>
      </c>
      <c r="KU9" s="266">
        <v>0</v>
      </c>
      <c r="KV9" s="267">
        <v>0</v>
      </c>
      <c r="KW9" s="266">
        <v>0</v>
      </c>
      <c r="KX9" s="266">
        <v>0</v>
      </c>
      <c r="KY9" s="267">
        <v>0</v>
      </c>
    </row>
    <row r="10" spans="1:311" ht="58">
      <c r="A10" s="263">
        <v>44303</v>
      </c>
      <c r="B10" s="264" t="s">
        <v>180</v>
      </c>
      <c r="C10" s="265">
        <v>0.93333333333333335</v>
      </c>
      <c r="D10" s="265">
        <v>0.32919254658385094</v>
      </c>
      <c r="E10" s="265">
        <v>0.99406064395123472</v>
      </c>
      <c r="F10" s="265">
        <v>0.30542153118501708</v>
      </c>
      <c r="G10" s="266">
        <v>0.66666666666666663</v>
      </c>
      <c r="H10" s="266">
        <v>1</v>
      </c>
      <c r="I10" s="264" t="s">
        <v>419</v>
      </c>
      <c r="J10" s="267">
        <v>480</v>
      </c>
      <c r="K10" s="267">
        <v>450</v>
      </c>
      <c r="L10" s="267">
        <v>30</v>
      </c>
      <c r="M10" s="267">
        <v>420</v>
      </c>
      <c r="N10" s="267">
        <v>138.2608695652174</v>
      </c>
      <c r="O10" s="267">
        <v>95</v>
      </c>
      <c r="P10" s="267">
        <v>0</v>
      </c>
      <c r="Q10" s="267">
        <v>15900</v>
      </c>
      <c r="R10" s="264" t="s">
        <v>212</v>
      </c>
      <c r="S10" s="267">
        <v>30</v>
      </c>
      <c r="T10" s="267">
        <v>30</v>
      </c>
      <c r="U10" s="267">
        <v>0</v>
      </c>
      <c r="V10" s="267" t="s">
        <v>402</v>
      </c>
      <c r="W10" s="264" t="s">
        <v>176</v>
      </c>
      <c r="X10" s="264">
        <v>0</v>
      </c>
      <c r="Y10" s="267">
        <v>0</v>
      </c>
      <c r="Z10" s="267">
        <v>0</v>
      </c>
      <c r="AA10" s="267">
        <v>0</v>
      </c>
      <c r="AB10" s="267">
        <v>0</v>
      </c>
      <c r="AC10" s="264" t="s">
        <v>176</v>
      </c>
      <c r="AD10" s="264">
        <v>0</v>
      </c>
      <c r="AE10" s="267">
        <v>0</v>
      </c>
      <c r="AF10" s="267">
        <v>0</v>
      </c>
      <c r="AG10" s="267">
        <v>0</v>
      </c>
      <c r="AH10" s="267">
        <v>0</v>
      </c>
      <c r="AI10" s="264" t="s">
        <v>176</v>
      </c>
      <c r="AJ10" s="264">
        <v>0</v>
      </c>
      <c r="AK10" s="267">
        <v>0</v>
      </c>
      <c r="AL10" s="267">
        <v>0</v>
      </c>
      <c r="AM10" s="267">
        <v>0</v>
      </c>
      <c r="AN10" s="267">
        <v>0</v>
      </c>
      <c r="AO10" s="264" t="s">
        <v>176</v>
      </c>
      <c r="AP10" s="264">
        <v>0</v>
      </c>
      <c r="AQ10" s="267">
        <v>0</v>
      </c>
      <c r="AR10" s="267">
        <v>0</v>
      </c>
      <c r="AS10" s="267">
        <v>0</v>
      </c>
      <c r="AT10" s="267">
        <v>0</v>
      </c>
      <c r="AU10" s="264" t="s">
        <v>176</v>
      </c>
      <c r="AV10" s="264">
        <v>0</v>
      </c>
      <c r="AW10" s="267">
        <v>0</v>
      </c>
      <c r="AX10" s="267">
        <v>0</v>
      </c>
      <c r="AY10" s="267">
        <v>0</v>
      </c>
      <c r="AZ10" s="267">
        <v>0</v>
      </c>
      <c r="BA10" s="264" t="s">
        <v>176</v>
      </c>
      <c r="BB10" s="268">
        <v>0</v>
      </c>
      <c r="BC10" s="268">
        <v>0</v>
      </c>
      <c r="BD10" s="268">
        <v>0</v>
      </c>
      <c r="BE10" s="268">
        <v>0</v>
      </c>
      <c r="BF10" s="268">
        <v>0</v>
      </c>
      <c r="BG10" s="269">
        <v>0</v>
      </c>
      <c r="BH10" s="268">
        <v>0</v>
      </c>
      <c r="BI10" s="268">
        <v>0</v>
      </c>
      <c r="BJ10" s="268">
        <v>0</v>
      </c>
      <c r="BK10" s="268">
        <v>0</v>
      </c>
      <c r="BL10" s="268">
        <v>0</v>
      </c>
      <c r="BM10" s="269">
        <v>0</v>
      </c>
      <c r="BN10" s="268">
        <v>0</v>
      </c>
      <c r="BO10" s="268">
        <v>0</v>
      </c>
      <c r="BP10" s="268">
        <v>0</v>
      </c>
      <c r="BQ10" s="268" t="s">
        <v>176</v>
      </c>
      <c r="BR10" s="268">
        <v>0</v>
      </c>
      <c r="BS10" s="269">
        <v>0</v>
      </c>
      <c r="BT10" s="264" t="s">
        <v>402</v>
      </c>
      <c r="BU10" s="267" t="s">
        <v>399</v>
      </c>
      <c r="BV10" s="264">
        <v>0</v>
      </c>
      <c r="BW10" s="264">
        <v>0</v>
      </c>
      <c r="BX10" s="264">
        <v>0</v>
      </c>
      <c r="BY10" s="267" t="s">
        <v>176</v>
      </c>
      <c r="BZ10" s="264">
        <v>0</v>
      </c>
      <c r="CA10" s="264">
        <v>0</v>
      </c>
      <c r="CB10" s="264">
        <v>0</v>
      </c>
      <c r="CC10" s="267" t="s">
        <v>176</v>
      </c>
      <c r="CD10" s="264">
        <v>0</v>
      </c>
      <c r="CE10" s="264">
        <v>0</v>
      </c>
      <c r="CF10" s="264">
        <v>0</v>
      </c>
      <c r="CG10" s="267" t="s">
        <v>176</v>
      </c>
      <c r="CH10" s="264">
        <v>0</v>
      </c>
      <c r="CI10" s="264">
        <v>0</v>
      </c>
      <c r="CJ10" s="264">
        <v>0</v>
      </c>
      <c r="CK10" s="267" t="s">
        <v>176</v>
      </c>
      <c r="CL10" s="264">
        <v>0</v>
      </c>
      <c r="CM10" s="264">
        <v>0</v>
      </c>
      <c r="CN10" s="264">
        <v>0</v>
      </c>
      <c r="CO10" s="267" t="s">
        <v>176</v>
      </c>
      <c r="CP10" s="264">
        <v>0</v>
      </c>
      <c r="CQ10" s="264">
        <v>0</v>
      </c>
      <c r="CR10" s="264" t="s">
        <v>218</v>
      </c>
      <c r="CS10" s="267">
        <v>30</v>
      </c>
      <c r="CT10" s="264" t="s">
        <v>428</v>
      </c>
      <c r="CU10" s="264" t="s">
        <v>402</v>
      </c>
      <c r="CV10" s="264" t="s">
        <v>438</v>
      </c>
      <c r="CW10" s="270">
        <v>0</v>
      </c>
      <c r="CX10" s="267">
        <v>0</v>
      </c>
      <c r="CY10" s="264">
        <v>0</v>
      </c>
      <c r="CZ10" s="264">
        <v>0</v>
      </c>
      <c r="DA10" s="264">
        <v>0</v>
      </c>
      <c r="DB10" s="270">
        <v>0</v>
      </c>
      <c r="DC10" s="267">
        <v>0</v>
      </c>
      <c r="DD10" s="264">
        <v>0</v>
      </c>
      <c r="DE10" s="264">
        <v>0</v>
      </c>
      <c r="DF10" s="264">
        <v>0</v>
      </c>
      <c r="DG10" s="264">
        <v>0</v>
      </c>
      <c r="DH10" s="267">
        <v>0</v>
      </c>
      <c r="DI10" s="264">
        <v>0</v>
      </c>
      <c r="DJ10" s="264">
        <v>0</v>
      </c>
      <c r="DK10" s="264">
        <v>0</v>
      </c>
      <c r="DL10" s="264">
        <v>0</v>
      </c>
      <c r="DM10" s="267">
        <v>0</v>
      </c>
      <c r="DN10" s="264">
        <v>0</v>
      </c>
      <c r="DO10" s="264">
        <v>0</v>
      </c>
      <c r="DP10" s="264">
        <v>0</v>
      </c>
      <c r="DQ10" s="264">
        <v>0</v>
      </c>
      <c r="DR10" s="267">
        <v>0</v>
      </c>
      <c r="DS10" s="264">
        <v>0</v>
      </c>
      <c r="DT10" s="264">
        <v>0</v>
      </c>
      <c r="DU10" s="264">
        <v>0</v>
      </c>
      <c r="DV10" s="264">
        <v>0</v>
      </c>
      <c r="DW10" s="267">
        <v>0</v>
      </c>
      <c r="DX10" s="264">
        <v>0</v>
      </c>
      <c r="DY10" s="264">
        <v>0</v>
      </c>
      <c r="DZ10" s="264">
        <v>0</v>
      </c>
      <c r="EA10" s="264">
        <v>0</v>
      </c>
      <c r="EB10" s="267">
        <v>0</v>
      </c>
      <c r="EC10" s="264">
        <v>0</v>
      </c>
      <c r="ED10" s="264">
        <v>0</v>
      </c>
      <c r="EE10" s="264">
        <v>0</v>
      </c>
      <c r="EF10" s="264">
        <v>0</v>
      </c>
      <c r="EG10" s="267">
        <v>0</v>
      </c>
      <c r="EH10" s="264">
        <v>0</v>
      </c>
      <c r="EI10" s="264">
        <v>0</v>
      </c>
      <c r="EJ10" s="264">
        <v>0</v>
      </c>
      <c r="EK10" s="264">
        <v>0</v>
      </c>
      <c r="EL10" s="267">
        <v>0</v>
      </c>
      <c r="EM10" s="264">
        <v>0</v>
      </c>
      <c r="EN10" s="264">
        <v>0</v>
      </c>
      <c r="EO10" s="264">
        <v>0</v>
      </c>
      <c r="EP10" s="264">
        <v>0</v>
      </c>
      <c r="EQ10" s="267">
        <v>0</v>
      </c>
      <c r="ER10" s="264">
        <v>0</v>
      </c>
      <c r="ES10" s="264">
        <v>0</v>
      </c>
      <c r="ET10" s="264">
        <v>0</v>
      </c>
      <c r="EU10" s="264">
        <v>0</v>
      </c>
      <c r="EV10" s="267">
        <v>0</v>
      </c>
      <c r="EW10" s="264">
        <v>0</v>
      </c>
      <c r="EX10" s="264">
        <v>0</v>
      </c>
      <c r="EY10" s="264">
        <v>0</v>
      </c>
      <c r="EZ10" s="264" t="s">
        <v>402</v>
      </c>
      <c r="FA10" s="266">
        <v>0.66666666666666663</v>
      </c>
      <c r="FB10" s="266">
        <v>1</v>
      </c>
      <c r="FC10" s="267">
        <v>30</v>
      </c>
      <c r="FD10" s="267">
        <v>30</v>
      </c>
      <c r="FE10" s="267">
        <v>318</v>
      </c>
      <c r="FF10" s="267">
        <v>420.00000000000011</v>
      </c>
      <c r="FG10" s="267">
        <v>138.2608695652174</v>
      </c>
      <c r="FH10" s="264">
        <v>0</v>
      </c>
      <c r="FI10" s="264" t="s">
        <v>176</v>
      </c>
      <c r="FJ10" s="266">
        <v>0</v>
      </c>
      <c r="FK10" s="266">
        <v>0</v>
      </c>
      <c r="FL10" s="267">
        <v>0</v>
      </c>
      <c r="FM10" s="267">
        <v>0</v>
      </c>
      <c r="FN10" s="267">
        <v>0</v>
      </c>
      <c r="FO10" s="267" t="s">
        <v>176</v>
      </c>
      <c r="FP10" s="267">
        <v>0</v>
      </c>
      <c r="FQ10" s="264">
        <v>0</v>
      </c>
      <c r="FR10" s="264" t="s">
        <v>176</v>
      </c>
      <c r="FS10" s="266">
        <v>0</v>
      </c>
      <c r="FT10" s="266">
        <v>0</v>
      </c>
      <c r="FU10" s="267">
        <v>0</v>
      </c>
      <c r="FV10" s="267">
        <v>0</v>
      </c>
      <c r="FW10" s="267">
        <v>0</v>
      </c>
      <c r="FX10" s="267" t="s">
        <v>176</v>
      </c>
      <c r="FY10" s="267">
        <v>0</v>
      </c>
      <c r="FZ10" s="264">
        <v>0</v>
      </c>
      <c r="GA10" s="264" t="s">
        <v>176</v>
      </c>
      <c r="GB10" s="266">
        <v>0</v>
      </c>
      <c r="GC10" s="266">
        <v>0</v>
      </c>
      <c r="GD10" s="267">
        <v>0</v>
      </c>
      <c r="GE10" s="267">
        <v>0</v>
      </c>
      <c r="GF10" s="267">
        <v>0</v>
      </c>
      <c r="GG10" s="267" t="s">
        <v>176</v>
      </c>
      <c r="GH10" s="267">
        <v>0</v>
      </c>
      <c r="GI10" s="264">
        <v>0</v>
      </c>
      <c r="GJ10" s="264" t="s">
        <v>176</v>
      </c>
      <c r="GK10" s="266">
        <v>0</v>
      </c>
      <c r="GL10" s="266">
        <v>0</v>
      </c>
      <c r="GM10" s="267">
        <v>0</v>
      </c>
      <c r="GN10" s="267">
        <v>0</v>
      </c>
      <c r="GO10" s="267">
        <v>0</v>
      </c>
      <c r="GP10" s="267" t="s">
        <v>176</v>
      </c>
      <c r="GQ10" s="267">
        <v>0</v>
      </c>
      <c r="GR10" s="264">
        <v>0</v>
      </c>
      <c r="GS10" s="264" t="s">
        <v>176</v>
      </c>
      <c r="GT10" s="266">
        <v>0</v>
      </c>
      <c r="GU10" s="266">
        <v>0</v>
      </c>
      <c r="GV10" s="267">
        <v>0</v>
      </c>
      <c r="GW10" s="267">
        <v>0</v>
      </c>
      <c r="GX10" s="267">
        <v>0</v>
      </c>
      <c r="GY10" s="267" t="s">
        <v>176</v>
      </c>
      <c r="GZ10" s="267">
        <v>0</v>
      </c>
      <c r="HA10" s="264">
        <v>0</v>
      </c>
      <c r="HB10" s="264" t="s">
        <v>402</v>
      </c>
      <c r="HC10" s="264">
        <v>15900</v>
      </c>
      <c r="HD10" s="267">
        <v>15900</v>
      </c>
      <c r="HE10" s="267">
        <v>0</v>
      </c>
      <c r="HF10" s="267">
        <v>15900</v>
      </c>
      <c r="HG10" s="267">
        <v>35</v>
      </c>
      <c r="HH10" s="267">
        <v>15900</v>
      </c>
      <c r="HI10" s="267">
        <v>60</v>
      </c>
      <c r="HJ10" s="267">
        <v>318</v>
      </c>
      <c r="HK10" s="267">
        <v>0</v>
      </c>
      <c r="HL10" s="267">
        <v>318</v>
      </c>
      <c r="HM10" s="267">
        <v>0</v>
      </c>
      <c r="HN10" s="267">
        <v>318</v>
      </c>
      <c r="HO10" s="267">
        <v>0</v>
      </c>
      <c r="HP10" s="267" t="s">
        <v>176</v>
      </c>
      <c r="HQ10" s="267">
        <v>0</v>
      </c>
      <c r="HR10" s="267">
        <v>0</v>
      </c>
      <c r="HS10" s="267">
        <v>0</v>
      </c>
      <c r="HT10" s="267">
        <v>0</v>
      </c>
      <c r="HU10" s="267">
        <v>0</v>
      </c>
      <c r="HV10" s="267">
        <v>0</v>
      </c>
      <c r="HW10" s="267">
        <v>0</v>
      </c>
      <c r="HX10" s="267">
        <v>0</v>
      </c>
      <c r="HY10" s="267">
        <v>0</v>
      </c>
      <c r="HZ10" s="267">
        <v>0</v>
      </c>
      <c r="IA10" s="267">
        <v>0</v>
      </c>
      <c r="IB10" s="267">
        <v>0</v>
      </c>
      <c r="IC10" s="267">
        <v>0</v>
      </c>
      <c r="ID10" s="267" t="s">
        <v>176</v>
      </c>
      <c r="IE10" s="267">
        <v>0</v>
      </c>
      <c r="IF10" s="267">
        <v>0</v>
      </c>
      <c r="IG10" s="267">
        <v>0</v>
      </c>
      <c r="IH10" s="267">
        <v>0</v>
      </c>
      <c r="II10" s="267">
        <v>0</v>
      </c>
      <c r="IJ10" s="267">
        <v>0</v>
      </c>
      <c r="IK10" s="267">
        <v>0</v>
      </c>
      <c r="IL10" s="267">
        <v>0</v>
      </c>
      <c r="IM10" s="267">
        <v>0</v>
      </c>
      <c r="IN10" s="267">
        <v>0</v>
      </c>
      <c r="IO10" s="267">
        <v>0</v>
      </c>
      <c r="IP10" s="267">
        <v>0</v>
      </c>
      <c r="IQ10" s="267">
        <v>0</v>
      </c>
      <c r="IR10" s="267" t="s">
        <v>176</v>
      </c>
      <c r="IS10" s="267">
        <v>0</v>
      </c>
      <c r="IT10" s="272">
        <v>0</v>
      </c>
      <c r="IU10" s="272">
        <v>0</v>
      </c>
      <c r="IV10" s="272">
        <v>0</v>
      </c>
      <c r="IW10" s="272">
        <v>0</v>
      </c>
      <c r="IX10" s="272">
        <v>0</v>
      </c>
      <c r="IY10" s="272">
        <v>0</v>
      </c>
      <c r="IZ10" s="267">
        <v>0</v>
      </c>
      <c r="JA10" s="267">
        <v>0</v>
      </c>
      <c r="JB10" s="267">
        <v>0</v>
      </c>
      <c r="JC10" s="267">
        <v>0</v>
      </c>
      <c r="JD10" s="267">
        <v>0</v>
      </c>
      <c r="JE10" s="267">
        <v>0</v>
      </c>
      <c r="JF10" s="267" t="s">
        <v>176</v>
      </c>
      <c r="JG10" s="267">
        <v>0</v>
      </c>
      <c r="JH10" s="267">
        <v>0</v>
      </c>
      <c r="JI10" s="267">
        <v>0</v>
      </c>
      <c r="JJ10" s="267">
        <v>0</v>
      </c>
      <c r="JK10" s="267">
        <v>0</v>
      </c>
      <c r="JL10" s="267">
        <v>0</v>
      </c>
      <c r="JM10" s="267">
        <v>0</v>
      </c>
      <c r="JN10" s="267">
        <v>0</v>
      </c>
      <c r="JO10" s="267">
        <v>0</v>
      </c>
      <c r="JP10" s="267">
        <v>0</v>
      </c>
      <c r="JQ10" s="267">
        <v>0</v>
      </c>
      <c r="JR10" s="267">
        <v>0</v>
      </c>
      <c r="JS10" s="267">
        <v>0</v>
      </c>
      <c r="JT10" s="267" t="s">
        <v>176</v>
      </c>
      <c r="JU10" s="267">
        <v>0</v>
      </c>
      <c r="JV10" s="267">
        <v>0</v>
      </c>
      <c r="JW10" s="267">
        <v>0</v>
      </c>
      <c r="JX10" s="267">
        <v>0</v>
      </c>
      <c r="JY10" s="267">
        <v>0</v>
      </c>
      <c r="JZ10" s="267">
        <v>0</v>
      </c>
      <c r="KA10" s="267">
        <v>0</v>
      </c>
      <c r="KB10" s="267">
        <v>0</v>
      </c>
      <c r="KC10" s="267">
        <v>0</v>
      </c>
      <c r="KD10" s="267">
        <v>0</v>
      </c>
      <c r="KE10" s="267">
        <v>0</v>
      </c>
      <c r="KF10" s="267">
        <v>0</v>
      </c>
      <c r="KG10" s="267">
        <v>0</v>
      </c>
      <c r="KH10" s="266">
        <v>0.66666666666666663</v>
      </c>
      <c r="KI10" s="266">
        <v>1</v>
      </c>
      <c r="KJ10" s="267">
        <v>30</v>
      </c>
      <c r="KK10" s="266">
        <v>0</v>
      </c>
      <c r="KL10" s="266">
        <v>0</v>
      </c>
      <c r="KM10" s="267">
        <v>0</v>
      </c>
      <c r="KN10" s="266">
        <v>0</v>
      </c>
      <c r="KO10" s="266">
        <v>0</v>
      </c>
      <c r="KP10" s="267">
        <v>0</v>
      </c>
      <c r="KQ10" s="266">
        <v>0</v>
      </c>
      <c r="KR10" s="266">
        <v>0</v>
      </c>
      <c r="KS10" s="267">
        <v>0</v>
      </c>
      <c r="KT10" s="266">
        <v>0</v>
      </c>
      <c r="KU10" s="266">
        <v>0</v>
      </c>
      <c r="KV10" s="267">
        <v>0</v>
      </c>
      <c r="KW10" s="266">
        <v>0</v>
      </c>
      <c r="KX10" s="266">
        <v>0</v>
      </c>
      <c r="KY10" s="267">
        <v>0</v>
      </c>
    </row>
    <row r="11" spans="1:311" ht="58">
      <c r="A11" s="472">
        <v>44303</v>
      </c>
      <c r="B11" s="473" t="s">
        <v>211</v>
      </c>
      <c r="C11" s="474">
        <v>0.98888888888888893</v>
      </c>
      <c r="D11" s="474">
        <v>0.20517830972154372</v>
      </c>
      <c r="E11" s="474">
        <v>0.96197892808062302</v>
      </c>
      <c r="F11" s="474">
        <v>0.19518413033519888</v>
      </c>
      <c r="G11" s="475">
        <v>1</v>
      </c>
      <c r="H11" s="475">
        <v>0.33333333333333331</v>
      </c>
      <c r="I11" s="473" t="s">
        <v>421</v>
      </c>
      <c r="J11" s="476">
        <v>480</v>
      </c>
      <c r="K11" s="476">
        <v>450</v>
      </c>
      <c r="L11" s="476">
        <v>5</v>
      </c>
      <c r="M11" s="476">
        <v>445</v>
      </c>
      <c r="N11" s="267">
        <v>91.304347826086953</v>
      </c>
      <c r="O11" s="267">
        <v>415</v>
      </c>
      <c r="P11" s="267">
        <v>0</v>
      </c>
      <c r="Q11" s="267">
        <v>10500</v>
      </c>
      <c r="R11" s="264" t="s">
        <v>212</v>
      </c>
      <c r="S11" s="267">
        <v>30</v>
      </c>
      <c r="T11" s="267">
        <v>30</v>
      </c>
      <c r="U11" s="267">
        <v>0</v>
      </c>
      <c r="V11" s="267" t="s">
        <v>402</v>
      </c>
      <c r="W11" s="264" t="s">
        <v>176</v>
      </c>
      <c r="X11" s="264">
        <v>0</v>
      </c>
      <c r="Y11" s="267">
        <v>0</v>
      </c>
      <c r="Z11" s="267">
        <v>0</v>
      </c>
      <c r="AA11" s="267">
        <v>0</v>
      </c>
      <c r="AB11" s="267">
        <v>0</v>
      </c>
      <c r="AC11" s="264" t="s">
        <v>176</v>
      </c>
      <c r="AD11" s="264">
        <v>0</v>
      </c>
      <c r="AE11" s="267">
        <v>0</v>
      </c>
      <c r="AF11" s="267">
        <v>0</v>
      </c>
      <c r="AG11" s="267">
        <v>0</v>
      </c>
      <c r="AH11" s="267">
        <v>0</v>
      </c>
      <c r="AI11" s="264" t="s">
        <v>176</v>
      </c>
      <c r="AJ11" s="264">
        <v>0</v>
      </c>
      <c r="AK11" s="267">
        <v>0</v>
      </c>
      <c r="AL11" s="267">
        <v>0</v>
      </c>
      <c r="AM11" s="267">
        <v>0</v>
      </c>
      <c r="AN11" s="267">
        <v>0</v>
      </c>
      <c r="AO11" s="264" t="s">
        <v>176</v>
      </c>
      <c r="AP11" s="264">
        <v>0</v>
      </c>
      <c r="AQ11" s="267">
        <v>0</v>
      </c>
      <c r="AR11" s="267">
        <v>0</v>
      </c>
      <c r="AS11" s="267">
        <v>0</v>
      </c>
      <c r="AT11" s="267">
        <v>0</v>
      </c>
      <c r="AU11" s="264" t="s">
        <v>176</v>
      </c>
      <c r="AV11" s="264">
        <v>0</v>
      </c>
      <c r="AW11" s="267">
        <v>0</v>
      </c>
      <c r="AX11" s="267">
        <v>0</v>
      </c>
      <c r="AY11" s="267">
        <v>0</v>
      </c>
      <c r="AZ11" s="267">
        <v>0</v>
      </c>
      <c r="BA11" s="264" t="s">
        <v>176</v>
      </c>
      <c r="BB11" s="268">
        <v>0</v>
      </c>
      <c r="BC11" s="268">
        <v>0</v>
      </c>
      <c r="BD11" s="268">
        <v>0</v>
      </c>
      <c r="BE11" s="268">
        <v>0</v>
      </c>
      <c r="BF11" s="268">
        <v>0</v>
      </c>
      <c r="BG11" s="269">
        <v>0</v>
      </c>
      <c r="BH11" s="268">
        <v>0</v>
      </c>
      <c r="BI11" s="268">
        <v>0</v>
      </c>
      <c r="BJ11" s="268">
        <v>0</v>
      </c>
      <c r="BK11" s="268">
        <v>0</v>
      </c>
      <c r="BL11" s="268">
        <v>0</v>
      </c>
      <c r="BM11" s="269">
        <v>0</v>
      </c>
      <c r="BN11" s="268">
        <v>0</v>
      </c>
      <c r="BO11" s="268">
        <v>0</v>
      </c>
      <c r="BP11" s="268">
        <v>0</v>
      </c>
      <c r="BQ11" s="268" t="s">
        <v>176</v>
      </c>
      <c r="BR11" s="268">
        <v>0</v>
      </c>
      <c r="BS11" s="269">
        <v>0</v>
      </c>
      <c r="BT11" s="264" t="s">
        <v>402</v>
      </c>
      <c r="BU11" s="267" t="s">
        <v>399</v>
      </c>
      <c r="BV11" s="264">
        <v>0</v>
      </c>
      <c r="BW11" s="264">
        <v>0</v>
      </c>
      <c r="BX11" s="264">
        <v>0</v>
      </c>
      <c r="BY11" s="267" t="s">
        <v>176</v>
      </c>
      <c r="BZ11" s="264">
        <v>0</v>
      </c>
      <c r="CA11" s="264">
        <v>0</v>
      </c>
      <c r="CB11" s="264">
        <v>0</v>
      </c>
      <c r="CC11" s="267" t="s">
        <v>176</v>
      </c>
      <c r="CD11" s="264">
        <v>0</v>
      </c>
      <c r="CE11" s="264">
        <v>0</v>
      </c>
      <c r="CF11" s="264">
        <v>0</v>
      </c>
      <c r="CG11" s="267" t="s">
        <v>176</v>
      </c>
      <c r="CH11" s="264">
        <v>0</v>
      </c>
      <c r="CI11" s="264">
        <v>0</v>
      </c>
      <c r="CJ11" s="264">
        <v>0</v>
      </c>
      <c r="CK11" s="267" t="s">
        <v>176</v>
      </c>
      <c r="CL11" s="264">
        <v>0</v>
      </c>
      <c r="CM11" s="264">
        <v>0</v>
      </c>
      <c r="CN11" s="264">
        <v>0</v>
      </c>
      <c r="CO11" s="267" t="s">
        <v>176</v>
      </c>
      <c r="CP11" s="264">
        <v>0</v>
      </c>
      <c r="CQ11" s="264">
        <v>0</v>
      </c>
      <c r="CR11" s="264" t="s">
        <v>396</v>
      </c>
      <c r="CS11" s="267">
        <v>5</v>
      </c>
      <c r="CT11" s="264" t="s">
        <v>457</v>
      </c>
      <c r="CU11" s="264" t="s">
        <v>402</v>
      </c>
      <c r="CV11" s="264" t="s">
        <v>458</v>
      </c>
      <c r="CW11" s="270">
        <v>0</v>
      </c>
      <c r="CX11" s="267">
        <v>0</v>
      </c>
      <c r="CY11" s="264">
        <v>0</v>
      </c>
      <c r="CZ11" s="264">
        <v>0</v>
      </c>
      <c r="DA11" s="264">
        <v>0</v>
      </c>
      <c r="DB11" s="270">
        <v>0</v>
      </c>
      <c r="DC11" s="267">
        <v>0</v>
      </c>
      <c r="DD11" s="264">
        <v>0</v>
      </c>
      <c r="DE11" s="264">
        <v>0</v>
      </c>
      <c r="DF11" s="264">
        <v>0</v>
      </c>
      <c r="DG11" s="264">
        <v>0</v>
      </c>
      <c r="DH11" s="267">
        <v>0</v>
      </c>
      <c r="DI11" s="264">
        <v>0</v>
      </c>
      <c r="DJ11" s="264">
        <v>0</v>
      </c>
      <c r="DK11" s="264">
        <v>0</v>
      </c>
      <c r="DL11" s="264">
        <v>0</v>
      </c>
      <c r="DM11" s="267">
        <v>0</v>
      </c>
      <c r="DN11" s="264">
        <v>0</v>
      </c>
      <c r="DO11" s="264">
        <v>0</v>
      </c>
      <c r="DP11" s="264">
        <v>0</v>
      </c>
      <c r="DQ11" s="264">
        <v>0</v>
      </c>
      <c r="DR11" s="267">
        <v>0</v>
      </c>
      <c r="DS11" s="264">
        <v>0</v>
      </c>
      <c r="DT11" s="264">
        <v>0</v>
      </c>
      <c r="DU11" s="264">
        <v>0</v>
      </c>
      <c r="DV11" s="264">
        <v>0</v>
      </c>
      <c r="DW11" s="267">
        <v>0</v>
      </c>
      <c r="DX11" s="264">
        <v>0</v>
      </c>
      <c r="DY11" s="264">
        <v>0</v>
      </c>
      <c r="DZ11" s="264">
        <v>0</v>
      </c>
      <c r="EA11" s="264">
        <v>0</v>
      </c>
      <c r="EB11" s="267">
        <v>0</v>
      </c>
      <c r="EC11" s="264">
        <v>0</v>
      </c>
      <c r="ED11" s="264">
        <v>0</v>
      </c>
      <c r="EE11" s="264">
        <v>0</v>
      </c>
      <c r="EF11" s="264">
        <v>0</v>
      </c>
      <c r="EG11" s="267">
        <v>0</v>
      </c>
      <c r="EH11" s="264">
        <v>0</v>
      </c>
      <c r="EI11" s="264">
        <v>0</v>
      </c>
      <c r="EJ11" s="264">
        <v>0</v>
      </c>
      <c r="EK11" s="264">
        <v>0</v>
      </c>
      <c r="EL11" s="267">
        <v>0</v>
      </c>
      <c r="EM11" s="264">
        <v>0</v>
      </c>
      <c r="EN11" s="264">
        <v>0</v>
      </c>
      <c r="EO11" s="264">
        <v>0</v>
      </c>
      <c r="EP11" s="264">
        <v>0</v>
      </c>
      <c r="EQ11" s="267">
        <v>0</v>
      </c>
      <c r="ER11" s="264">
        <v>0</v>
      </c>
      <c r="ES11" s="264">
        <v>0</v>
      </c>
      <c r="ET11" s="264">
        <v>0</v>
      </c>
      <c r="EU11" s="264">
        <v>0</v>
      </c>
      <c r="EV11" s="267">
        <v>0</v>
      </c>
      <c r="EW11" s="264">
        <v>0</v>
      </c>
      <c r="EX11" s="264">
        <v>0</v>
      </c>
      <c r="EY11" s="264">
        <v>0</v>
      </c>
      <c r="EZ11" s="264" t="s">
        <v>402</v>
      </c>
      <c r="FA11" s="266">
        <v>1</v>
      </c>
      <c r="FB11" s="266">
        <v>0.33333333333333331</v>
      </c>
      <c r="FC11" s="267">
        <v>5</v>
      </c>
      <c r="FD11" s="267">
        <v>30</v>
      </c>
      <c r="FE11" s="267">
        <v>210</v>
      </c>
      <c r="FF11" s="267">
        <v>444.99999999999994</v>
      </c>
      <c r="FG11" s="267">
        <v>91.304347826086953</v>
      </c>
      <c r="FH11" s="264">
        <v>0</v>
      </c>
      <c r="FI11" s="264" t="s">
        <v>176</v>
      </c>
      <c r="FJ11" s="266">
        <v>0</v>
      </c>
      <c r="FK11" s="266">
        <v>0</v>
      </c>
      <c r="FL11" s="267">
        <v>0</v>
      </c>
      <c r="FM11" s="267">
        <v>0</v>
      </c>
      <c r="FN11" s="267">
        <v>0</v>
      </c>
      <c r="FO11" s="267" t="s">
        <v>176</v>
      </c>
      <c r="FP11" s="267">
        <v>0</v>
      </c>
      <c r="FQ11" s="264">
        <v>0</v>
      </c>
      <c r="FR11" s="264" t="s">
        <v>176</v>
      </c>
      <c r="FS11" s="266">
        <v>0</v>
      </c>
      <c r="FT11" s="266">
        <v>0</v>
      </c>
      <c r="FU11" s="267">
        <v>0</v>
      </c>
      <c r="FV11" s="267">
        <v>0</v>
      </c>
      <c r="FW11" s="267">
        <v>0</v>
      </c>
      <c r="FX11" s="267" t="s">
        <v>176</v>
      </c>
      <c r="FY11" s="267">
        <v>0</v>
      </c>
      <c r="FZ11" s="264">
        <v>0</v>
      </c>
      <c r="GA11" s="264" t="s">
        <v>176</v>
      </c>
      <c r="GB11" s="266">
        <v>0</v>
      </c>
      <c r="GC11" s="266">
        <v>0</v>
      </c>
      <c r="GD11" s="267">
        <v>0</v>
      </c>
      <c r="GE11" s="267">
        <v>0</v>
      </c>
      <c r="GF11" s="267">
        <v>0</v>
      </c>
      <c r="GG11" s="267" t="s">
        <v>176</v>
      </c>
      <c r="GH11" s="267">
        <v>0</v>
      </c>
      <c r="GI11" s="264">
        <v>0</v>
      </c>
      <c r="GJ11" s="264" t="s">
        <v>176</v>
      </c>
      <c r="GK11" s="266">
        <v>0</v>
      </c>
      <c r="GL11" s="266">
        <v>0</v>
      </c>
      <c r="GM11" s="267">
        <v>0</v>
      </c>
      <c r="GN11" s="267">
        <v>0</v>
      </c>
      <c r="GO11" s="267">
        <v>0</v>
      </c>
      <c r="GP11" s="267" t="s">
        <v>176</v>
      </c>
      <c r="GQ11" s="267">
        <v>0</v>
      </c>
      <c r="GR11" s="264">
        <v>0</v>
      </c>
      <c r="GS11" s="264" t="s">
        <v>176</v>
      </c>
      <c r="GT11" s="266">
        <v>0</v>
      </c>
      <c r="GU11" s="266">
        <v>0</v>
      </c>
      <c r="GV11" s="267">
        <v>0</v>
      </c>
      <c r="GW11" s="267">
        <v>0</v>
      </c>
      <c r="GX11" s="267">
        <v>0</v>
      </c>
      <c r="GY11" s="267" t="s">
        <v>176</v>
      </c>
      <c r="GZ11" s="267">
        <v>0</v>
      </c>
      <c r="HA11" s="264">
        <v>0</v>
      </c>
      <c r="HB11" s="264" t="s">
        <v>402</v>
      </c>
      <c r="HC11" s="264">
        <v>10500</v>
      </c>
      <c r="HD11" s="267">
        <v>10500</v>
      </c>
      <c r="HE11" s="267">
        <v>0</v>
      </c>
      <c r="HF11" s="267">
        <v>10500</v>
      </c>
      <c r="HG11" s="267">
        <v>105</v>
      </c>
      <c r="HH11" s="267">
        <v>10500</v>
      </c>
      <c r="HI11" s="267">
        <v>110</v>
      </c>
      <c r="HJ11" s="267">
        <v>210</v>
      </c>
      <c r="HK11" s="267">
        <v>4</v>
      </c>
      <c r="HL11" s="267">
        <v>210</v>
      </c>
      <c r="HM11" s="267">
        <v>0</v>
      </c>
      <c r="HN11" s="267">
        <v>210</v>
      </c>
      <c r="HO11" s="267">
        <v>0</v>
      </c>
      <c r="HP11" s="267" t="s">
        <v>176</v>
      </c>
      <c r="HQ11" s="267">
        <v>0</v>
      </c>
      <c r="HR11" s="267">
        <v>0</v>
      </c>
      <c r="HS11" s="267">
        <v>0</v>
      </c>
      <c r="HT11" s="267">
        <v>0</v>
      </c>
      <c r="HU11" s="267">
        <v>0</v>
      </c>
      <c r="HV11" s="267">
        <v>0</v>
      </c>
      <c r="HW11" s="267">
        <v>0</v>
      </c>
      <c r="HX11" s="267">
        <v>0</v>
      </c>
      <c r="HY11" s="267">
        <v>0</v>
      </c>
      <c r="HZ11" s="267">
        <v>0</v>
      </c>
      <c r="IA11" s="267">
        <v>0</v>
      </c>
      <c r="IB11" s="267">
        <v>0</v>
      </c>
      <c r="IC11" s="267">
        <v>0</v>
      </c>
      <c r="ID11" s="267" t="s">
        <v>176</v>
      </c>
      <c r="IE11" s="267">
        <v>0</v>
      </c>
      <c r="IF11" s="267">
        <v>0</v>
      </c>
      <c r="IG11" s="267">
        <v>0</v>
      </c>
      <c r="IH11" s="267">
        <v>0</v>
      </c>
      <c r="II11" s="267">
        <v>0</v>
      </c>
      <c r="IJ11" s="267">
        <v>0</v>
      </c>
      <c r="IK11" s="267">
        <v>0</v>
      </c>
      <c r="IL11" s="267">
        <v>0</v>
      </c>
      <c r="IM11" s="267">
        <v>0</v>
      </c>
      <c r="IN11" s="267">
        <v>0</v>
      </c>
      <c r="IO11" s="267">
        <v>0</v>
      </c>
      <c r="IP11" s="267">
        <v>0</v>
      </c>
      <c r="IQ11" s="267">
        <v>0</v>
      </c>
      <c r="IR11" s="267" t="s">
        <v>176</v>
      </c>
      <c r="IS11" s="267">
        <v>0</v>
      </c>
      <c r="IT11" s="272">
        <v>0</v>
      </c>
      <c r="IU11" s="272">
        <v>0</v>
      </c>
      <c r="IV11" s="272">
        <v>0</v>
      </c>
      <c r="IW11" s="272">
        <v>0</v>
      </c>
      <c r="IX11" s="272">
        <v>0</v>
      </c>
      <c r="IY11" s="272">
        <v>0</v>
      </c>
      <c r="IZ11" s="267">
        <v>0</v>
      </c>
      <c r="JA11" s="267">
        <v>0</v>
      </c>
      <c r="JB11" s="267">
        <v>0</v>
      </c>
      <c r="JC11" s="267">
        <v>0</v>
      </c>
      <c r="JD11" s="267">
        <v>0</v>
      </c>
      <c r="JE11" s="267">
        <v>0</v>
      </c>
      <c r="JF11" s="267" t="s">
        <v>176</v>
      </c>
      <c r="JG11" s="267">
        <v>0</v>
      </c>
      <c r="JH11" s="267">
        <v>0</v>
      </c>
      <c r="JI11" s="267">
        <v>0</v>
      </c>
      <c r="JJ11" s="267">
        <v>0</v>
      </c>
      <c r="JK11" s="267">
        <v>0</v>
      </c>
      <c r="JL11" s="267">
        <v>0</v>
      </c>
      <c r="JM11" s="267">
        <v>0</v>
      </c>
      <c r="JN11" s="267">
        <v>0</v>
      </c>
      <c r="JO11" s="267">
        <v>0</v>
      </c>
      <c r="JP11" s="267">
        <v>0</v>
      </c>
      <c r="JQ11" s="267">
        <v>0</v>
      </c>
      <c r="JR11" s="267">
        <v>0</v>
      </c>
      <c r="JS11" s="267">
        <v>0</v>
      </c>
      <c r="JT11" s="267" t="s">
        <v>176</v>
      </c>
      <c r="JU11" s="267">
        <v>0</v>
      </c>
      <c r="JV11" s="267">
        <v>0</v>
      </c>
      <c r="JW11" s="267">
        <v>0</v>
      </c>
      <c r="JX11" s="267">
        <v>0</v>
      </c>
      <c r="JY11" s="267">
        <v>0</v>
      </c>
      <c r="JZ11" s="267">
        <v>0</v>
      </c>
      <c r="KA11" s="267">
        <v>0</v>
      </c>
      <c r="KB11" s="267">
        <v>0</v>
      </c>
      <c r="KC11" s="267">
        <v>0</v>
      </c>
      <c r="KD11" s="267">
        <v>0</v>
      </c>
      <c r="KE11" s="267">
        <v>0</v>
      </c>
      <c r="KF11" s="267">
        <v>0</v>
      </c>
      <c r="KG11" s="267">
        <v>0</v>
      </c>
      <c r="KH11" s="266">
        <v>1</v>
      </c>
      <c r="KI11" s="266">
        <v>0.33333333333333331</v>
      </c>
      <c r="KJ11" s="267">
        <v>30</v>
      </c>
      <c r="KK11" s="266">
        <v>0</v>
      </c>
      <c r="KL11" s="266">
        <v>0</v>
      </c>
      <c r="KM11" s="267">
        <v>0</v>
      </c>
      <c r="KN11" s="266">
        <v>0</v>
      </c>
      <c r="KO11" s="266">
        <v>0</v>
      </c>
      <c r="KP11" s="267">
        <v>0</v>
      </c>
      <c r="KQ11" s="266">
        <v>0</v>
      </c>
      <c r="KR11" s="266">
        <v>0</v>
      </c>
      <c r="KS11" s="267">
        <v>0</v>
      </c>
      <c r="KT11" s="266">
        <v>0</v>
      </c>
      <c r="KU11" s="266">
        <v>0</v>
      </c>
      <c r="KV11" s="267">
        <v>0</v>
      </c>
      <c r="KW11" s="266">
        <v>0</v>
      </c>
      <c r="KX11" s="266">
        <v>0</v>
      </c>
      <c r="KY11" s="267">
        <v>0</v>
      </c>
    </row>
    <row r="12" spans="1:311" ht="58">
      <c r="A12" s="472">
        <v>44304</v>
      </c>
      <c r="B12" s="473" t="s">
        <v>210</v>
      </c>
      <c r="C12" s="474">
        <v>0.97777777777777775</v>
      </c>
      <c r="D12" s="474">
        <v>0.16798418972332016</v>
      </c>
      <c r="E12" s="474">
        <v>0.99917714823086867</v>
      </c>
      <c r="F12" s="474">
        <v>0.16411605333260645</v>
      </c>
      <c r="G12" s="475">
        <v>0.33333333333333331</v>
      </c>
      <c r="H12" s="475">
        <v>0.66666666666666663</v>
      </c>
      <c r="I12" s="473" t="s">
        <v>422</v>
      </c>
      <c r="J12" s="476">
        <v>480</v>
      </c>
      <c r="K12" s="476">
        <v>450</v>
      </c>
      <c r="L12" s="476">
        <v>10</v>
      </c>
      <c r="M12" s="476">
        <v>440</v>
      </c>
      <c r="N12" s="267">
        <v>73.913043478260875</v>
      </c>
      <c r="O12" s="267">
        <v>7</v>
      </c>
      <c r="P12" s="267">
        <v>0</v>
      </c>
      <c r="Q12" s="267">
        <v>8500</v>
      </c>
      <c r="R12" s="264" t="s">
        <v>212</v>
      </c>
      <c r="S12" s="267">
        <v>30</v>
      </c>
      <c r="T12" s="267">
        <v>30</v>
      </c>
      <c r="U12" s="267">
        <v>0</v>
      </c>
      <c r="V12" s="267" t="s">
        <v>402</v>
      </c>
      <c r="W12" s="264" t="s">
        <v>176</v>
      </c>
      <c r="X12" s="264">
        <v>0</v>
      </c>
      <c r="Y12" s="267">
        <v>0</v>
      </c>
      <c r="Z12" s="267">
        <v>0</v>
      </c>
      <c r="AA12" s="267">
        <v>0</v>
      </c>
      <c r="AB12" s="267">
        <v>0</v>
      </c>
      <c r="AC12" s="264" t="s">
        <v>176</v>
      </c>
      <c r="AD12" s="264">
        <v>0</v>
      </c>
      <c r="AE12" s="267">
        <v>0</v>
      </c>
      <c r="AF12" s="267">
        <v>0</v>
      </c>
      <c r="AG12" s="267">
        <v>0</v>
      </c>
      <c r="AH12" s="267">
        <v>0</v>
      </c>
      <c r="AI12" s="264" t="s">
        <v>176</v>
      </c>
      <c r="AJ12" s="264">
        <v>0</v>
      </c>
      <c r="AK12" s="267">
        <v>0</v>
      </c>
      <c r="AL12" s="267">
        <v>0</v>
      </c>
      <c r="AM12" s="267">
        <v>0</v>
      </c>
      <c r="AN12" s="267">
        <v>0</v>
      </c>
      <c r="AO12" s="264" t="s">
        <v>176</v>
      </c>
      <c r="AP12" s="264">
        <v>0</v>
      </c>
      <c r="AQ12" s="267">
        <v>0</v>
      </c>
      <c r="AR12" s="267">
        <v>0</v>
      </c>
      <c r="AS12" s="267">
        <v>0</v>
      </c>
      <c r="AT12" s="267">
        <v>0</v>
      </c>
      <c r="AU12" s="264" t="s">
        <v>176</v>
      </c>
      <c r="AV12" s="264">
        <v>0</v>
      </c>
      <c r="AW12" s="267">
        <v>0</v>
      </c>
      <c r="AX12" s="267">
        <v>0</v>
      </c>
      <c r="AY12" s="267">
        <v>0</v>
      </c>
      <c r="AZ12" s="267">
        <v>0</v>
      </c>
      <c r="BA12" s="264" t="s">
        <v>176</v>
      </c>
      <c r="BB12" s="268">
        <v>0</v>
      </c>
      <c r="BC12" s="268">
        <v>0</v>
      </c>
      <c r="BD12" s="268">
        <v>0</v>
      </c>
      <c r="BE12" s="268">
        <v>0</v>
      </c>
      <c r="BF12" s="268">
        <v>0</v>
      </c>
      <c r="BG12" s="269">
        <v>0</v>
      </c>
      <c r="BH12" s="268">
        <v>0</v>
      </c>
      <c r="BI12" s="268">
        <v>0</v>
      </c>
      <c r="BJ12" s="268">
        <v>0</v>
      </c>
      <c r="BK12" s="268">
        <v>0</v>
      </c>
      <c r="BL12" s="268">
        <v>0</v>
      </c>
      <c r="BM12" s="269">
        <v>0</v>
      </c>
      <c r="BN12" s="268">
        <v>0</v>
      </c>
      <c r="BO12" s="268">
        <v>0</v>
      </c>
      <c r="BP12" s="268">
        <v>0</v>
      </c>
      <c r="BQ12" s="268" t="s">
        <v>176</v>
      </c>
      <c r="BR12" s="268">
        <v>0</v>
      </c>
      <c r="BS12" s="269">
        <v>0</v>
      </c>
      <c r="BT12" s="264" t="s">
        <v>402</v>
      </c>
      <c r="BU12" s="267" t="s">
        <v>399</v>
      </c>
      <c r="BV12" s="264">
        <v>0</v>
      </c>
      <c r="BW12" s="264">
        <v>0</v>
      </c>
      <c r="BX12" s="264">
        <v>0</v>
      </c>
      <c r="BY12" s="267" t="s">
        <v>176</v>
      </c>
      <c r="BZ12" s="264">
        <v>0</v>
      </c>
      <c r="CA12" s="264">
        <v>0</v>
      </c>
      <c r="CB12" s="264">
        <v>0</v>
      </c>
      <c r="CC12" s="267" t="s">
        <v>176</v>
      </c>
      <c r="CD12" s="264">
        <v>0</v>
      </c>
      <c r="CE12" s="264">
        <v>0</v>
      </c>
      <c r="CF12" s="264">
        <v>0</v>
      </c>
      <c r="CG12" s="267" t="s">
        <v>176</v>
      </c>
      <c r="CH12" s="264">
        <v>0</v>
      </c>
      <c r="CI12" s="264">
        <v>0</v>
      </c>
      <c r="CJ12" s="264">
        <v>0</v>
      </c>
      <c r="CK12" s="267" t="s">
        <v>176</v>
      </c>
      <c r="CL12" s="264">
        <v>0</v>
      </c>
      <c r="CM12" s="264">
        <v>0</v>
      </c>
      <c r="CN12" s="264">
        <v>0</v>
      </c>
      <c r="CO12" s="267" t="s">
        <v>176</v>
      </c>
      <c r="CP12" s="264">
        <v>0</v>
      </c>
      <c r="CQ12" s="264">
        <v>0</v>
      </c>
      <c r="CR12" s="264" t="s">
        <v>218</v>
      </c>
      <c r="CS12" s="267">
        <v>10</v>
      </c>
      <c r="CT12" s="264" t="s">
        <v>437</v>
      </c>
      <c r="CU12" s="264" t="s">
        <v>402</v>
      </c>
      <c r="CV12" s="264" t="s">
        <v>438</v>
      </c>
      <c r="CW12" s="270">
        <v>0</v>
      </c>
      <c r="CX12" s="267">
        <v>0</v>
      </c>
      <c r="CY12" s="264">
        <v>0</v>
      </c>
      <c r="CZ12" s="264">
        <v>0</v>
      </c>
      <c r="DA12" s="264">
        <v>0</v>
      </c>
      <c r="DB12" s="270">
        <v>0</v>
      </c>
      <c r="DC12" s="267">
        <v>0</v>
      </c>
      <c r="DD12" s="264">
        <v>0</v>
      </c>
      <c r="DE12" s="264">
        <v>0</v>
      </c>
      <c r="DF12" s="264">
        <v>0</v>
      </c>
      <c r="DG12" s="264">
        <v>0</v>
      </c>
      <c r="DH12" s="267">
        <v>0</v>
      </c>
      <c r="DI12" s="264">
        <v>0</v>
      </c>
      <c r="DJ12" s="264">
        <v>0</v>
      </c>
      <c r="DK12" s="264">
        <v>0</v>
      </c>
      <c r="DL12" s="264">
        <v>0</v>
      </c>
      <c r="DM12" s="267">
        <v>0</v>
      </c>
      <c r="DN12" s="264">
        <v>0</v>
      </c>
      <c r="DO12" s="264">
        <v>0</v>
      </c>
      <c r="DP12" s="264">
        <v>0</v>
      </c>
      <c r="DQ12" s="264">
        <v>0</v>
      </c>
      <c r="DR12" s="267">
        <v>0</v>
      </c>
      <c r="DS12" s="264">
        <v>0</v>
      </c>
      <c r="DT12" s="264">
        <v>0</v>
      </c>
      <c r="DU12" s="264">
        <v>0</v>
      </c>
      <c r="DV12" s="264">
        <v>0</v>
      </c>
      <c r="DW12" s="267">
        <v>0</v>
      </c>
      <c r="DX12" s="264">
        <v>0</v>
      </c>
      <c r="DY12" s="264">
        <v>0</v>
      </c>
      <c r="DZ12" s="264">
        <v>0</v>
      </c>
      <c r="EA12" s="264">
        <v>0</v>
      </c>
      <c r="EB12" s="267">
        <v>0</v>
      </c>
      <c r="EC12" s="264">
        <v>0</v>
      </c>
      <c r="ED12" s="264">
        <v>0</v>
      </c>
      <c r="EE12" s="264">
        <v>0</v>
      </c>
      <c r="EF12" s="264">
        <v>0</v>
      </c>
      <c r="EG12" s="267">
        <v>0</v>
      </c>
      <c r="EH12" s="264">
        <v>0</v>
      </c>
      <c r="EI12" s="264">
        <v>0</v>
      </c>
      <c r="EJ12" s="264">
        <v>0</v>
      </c>
      <c r="EK12" s="264">
        <v>0</v>
      </c>
      <c r="EL12" s="267">
        <v>0</v>
      </c>
      <c r="EM12" s="264">
        <v>0</v>
      </c>
      <c r="EN12" s="264">
        <v>0</v>
      </c>
      <c r="EO12" s="264">
        <v>0</v>
      </c>
      <c r="EP12" s="264">
        <v>0</v>
      </c>
      <c r="EQ12" s="267">
        <v>0</v>
      </c>
      <c r="ER12" s="264">
        <v>0</v>
      </c>
      <c r="ES12" s="264">
        <v>0</v>
      </c>
      <c r="ET12" s="264">
        <v>0</v>
      </c>
      <c r="EU12" s="264">
        <v>0</v>
      </c>
      <c r="EV12" s="267">
        <v>0</v>
      </c>
      <c r="EW12" s="264">
        <v>0</v>
      </c>
      <c r="EX12" s="264">
        <v>0</v>
      </c>
      <c r="EY12" s="264">
        <v>0</v>
      </c>
      <c r="EZ12" s="264" t="s">
        <v>402</v>
      </c>
      <c r="FA12" s="266">
        <v>0.33333333333333331</v>
      </c>
      <c r="FB12" s="266">
        <v>0.66666666666666663</v>
      </c>
      <c r="FC12" s="267">
        <v>10</v>
      </c>
      <c r="FD12" s="267">
        <v>30</v>
      </c>
      <c r="FE12" s="267">
        <v>170</v>
      </c>
      <c r="FF12" s="267">
        <v>440.00000000000006</v>
      </c>
      <c r="FG12" s="267">
        <v>73.913043478260875</v>
      </c>
      <c r="FH12" s="264">
        <v>0</v>
      </c>
      <c r="FI12" s="264" t="s">
        <v>176</v>
      </c>
      <c r="FJ12" s="266">
        <v>0</v>
      </c>
      <c r="FK12" s="266">
        <v>0</v>
      </c>
      <c r="FL12" s="267">
        <v>0</v>
      </c>
      <c r="FM12" s="267">
        <v>0</v>
      </c>
      <c r="FN12" s="267">
        <v>0</v>
      </c>
      <c r="FO12" s="267" t="s">
        <v>176</v>
      </c>
      <c r="FP12" s="267">
        <v>0</v>
      </c>
      <c r="FQ12" s="264">
        <v>0</v>
      </c>
      <c r="FR12" s="264" t="s">
        <v>176</v>
      </c>
      <c r="FS12" s="266">
        <v>0</v>
      </c>
      <c r="FT12" s="266">
        <v>0</v>
      </c>
      <c r="FU12" s="267">
        <v>0</v>
      </c>
      <c r="FV12" s="267">
        <v>0</v>
      </c>
      <c r="FW12" s="267">
        <v>0</v>
      </c>
      <c r="FX12" s="267" t="s">
        <v>176</v>
      </c>
      <c r="FY12" s="267">
        <v>0</v>
      </c>
      <c r="FZ12" s="264">
        <v>0</v>
      </c>
      <c r="GA12" s="264" t="s">
        <v>176</v>
      </c>
      <c r="GB12" s="266">
        <v>0</v>
      </c>
      <c r="GC12" s="266">
        <v>0</v>
      </c>
      <c r="GD12" s="267">
        <v>0</v>
      </c>
      <c r="GE12" s="267">
        <v>0</v>
      </c>
      <c r="GF12" s="267">
        <v>0</v>
      </c>
      <c r="GG12" s="267" t="s">
        <v>176</v>
      </c>
      <c r="GH12" s="267">
        <v>0</v>
      </c>
      <c r="GI12" s="264">
        <v>0</v>
      </c>
      <c r="GJ12" s="264" t="s">
        <v>176</v>
      </c>
      <c r="GK12" s="266">
        <v>0</v>
      </c>
      <c r="GL12" s="266">
        <v>0</v>
      </c>
      <c r="GM12" s="267">
        <v>0</v>
      </c>
      <c r="GN12" s="267">
        <v>0</v>
      </c>
      <c r="GO12" s="267">
        <v>0</v>
      </c>
      <c r="GP12" s="267" t="s">
        <v>176</v>
      </c>
      <c r="GQ12" s="267">
        <v>0</v>
      </c>
      <c r="GR12" s="264">
        <v>0</v>
      </c>
      <c r="GS12" s="264" t="s">
        <v>176</v>
      </c>
      <c r="GT12" s="266">
        <v>0</v>
      </c>
      <c r="GU12" s="266">
        <v>0</v>
      </c>
      <c r="GV12" s="267">
        <v>0</v>
      </c>
      <c r="GW12" s="267">
        <v>0</v>
      </c>
      <c r="GX12" s="267">
        <v>0</v>
      </c>
      <c r="GY12" s="267" t="s">
        <v>176</v>
      </c>
      <c r="GZ12" s="267">
        <v>0</v>
      </c>
      <c r="HA12" s="264">
        <v>0</v>
      </c>
      <c r="HB12" s="264" t="s">
        <v>402</v>
      </c>
      <c r="HC12" s="264">
        <v>8500</v>
      </c>
      <c r="HD12" s="267">
        <v>8500</v>
      </c>
      <c r="HE12" s="267">
        <v>0</v>
      </c>
      <c r="HF12" s="267">
        <v>8500</v>
      </c>
      <c r="HG12" s="267">
        <v>2</v>
      </c>
      <c r="HH12" s="267">
        <v>8500</v>
      </c>
      <c r="HI12" s="267">
        <v>5</v>
      </c>
      <c r="HJ12" s="267">
        <v>170</v>
      </c>
      <c r="HK12" s="267">
        <v>0</v>
      </c>
      <c r="HL12" s="267">
        <v>170</v>
      </c>
      <c r="HM12" s="267">
        <v>0</v>
      </c>
      <c r="HN12" s="267">
        <v>170</v>
      </c>
      <c r="HO12" s="267">
        <v>0</v>
      </c>
      <c r="HP12" s="267" t="s">
        <v>176</v>
      </c>
      <c r="HQ12" s="267">
        <v>0</v>
      </c>
      <c r="HR12" s="267">
        <v>0</v>
      </c>
      <c r="HS12" s="267">
        <v>0</v>
      </c>
      <c r="HT12" s="267">
        <v>0</v>
      </c>
      <c r="HU12" s="267">
        <v>0</v>
      </c>
      <c r="HV12" s="267">
        <v>0</v>
      </c>
      <c r="HW12" s="267">
        <v>0</v>
      </c>
      <c r="HX12" s="267">
        <v>0</v>
      </c>
      <c r="HY12" s="267">
        <v>0</v>
      </c>
      <c r="HZ12" s="267">
        <v>0</v>
      </c>
      <c r="IA12" s="267">
        <v>0</v>
      </c>
      <c r="IB12" s="267">
        <v>0</v>
      </c>
      <c r="IC12" s="267">
        <v>0</v>
      </c>
      <c r="ID12" s="267" t="s">
        <v>176</v>
      </c>
      <c r="IE12" s="267">
        <v>0</v>
      </c>
      <c r="IF12" s="267">
        <v>0</v>
      </c>
      <c r="IG12" s="267">
        <v>0</v>
      </c>
      <c r="IH12" s="267">
        <v>0</v>
      </c>
      <c r="II12" s="267">
        <v>0</v>
      </c>
      <c r="IJ12" s="267">
        <v>0</v>
      </c>
      <c r="IK12" s="267">
        <v>0</v>
      </c>
      <c r="IL12" s="267">
        <v>0</v>
      </c>
      <c r="IM12" s="267">
        <v>0</v>
      </c>
      <c r="IN12" s="267">
        <v>0</v>
      </c>
      <c r="IO12" s="267">
        <v>0</v>
      </c>
      <c r="IP12" s="267">
        <v>0</v>
      </c>
      <c r="IQ12" s="267">
        <v>0</v>
      </c>
      <c r="IR12" s="267" t="s">
        <v>176</v>
      </c>
      <c r="IS12" s="267">
        <v>0</v>
      </c>
      <c r="IT12" s="272">
        <v>0</v>
      </c>
      <c r="IU12" s="272">
        <v>0</v>
      </c>
      <c r="IV12" s="272">
        <v>0</v>
      </c>
      <c r="IW12" s="272">
        <v>0</v>
      </c>
      <c r="IX12" s="272">
        <v>0</v>
      </c>
      <c r="IY12" s="272">
        <v>0</v>
      </c>
      <c r="IZ12" s="267">
        <v>0</v>
      </c>
      <c r="JA12" s="267">
        <v>0</v>
      </c>
      <c r="JB12" s="267">
        <v>0</v>
      </c>
      <c r="JC12" s="267">
        <v>0</v>
      </c>
      <c r="JD12" s="267">
        <v>0</v>
      </c>
      <c r="JE12" s="267">
        <v>0</v>
      </c>
      <c r="JF12" s="267" t="s">
        <v>176</v>
      </c>
      <c r="JG12" s="267">
        <v>0</v>
      </c>
      <c r="JH12" s="267">
        <v>0</v>
      </c>
      <c r="JI12" s="267">
        <v>0</v>
      </c>
      <c r="JJ12" s="267">
        <v>0</v>
      </c>
      <c r="JK12" s="267">
        <v>0</v>
      </c>
      <c r="JL12" s="267">
        <v>0</v>
      </c>
      <c r="JM12" s="267">
        <v>0</v>
      </c>
      <c r="JN12" s="267">
        <v>0</v>
      </c>
      <c r="JO12" s="267">
        <v>0</v>
      </c>
      <c r="JP12" s="267">
        <v>0</v>
      </c>
      <c r="JQ12" s="267">
        <v>0</v>
      </c>
      <c r="JR12" s="267">
        <v>0</v>
      </c>
      <c r="JS12" s="267">
        <v>0</v>
      </c>
      <c r="JT12" s="267" t="s">
        <v>176</v>
      </c>
      <c r="JU12" s="267">
        <v>0</v>
      </c>
      <c r="JV12" s="267">
        <v>0</v>
      </c>
      <c r="JW12" s="267">
        <v>0</v>
      </c>
      <c r="JX12" s="267">
        <v>0</v>
      </c>
      <c r="JY12" s="267">
        <v>0</v>
      </c>
      <c r="JZ12" s="267">
        <v>0</v>
      </c>
      <c r="KA12" s="267">
        <v>0</v>
      </c>
      <c r="KB12" s="267">
        <v>0</v>
      </c>
      <c r="KC12" s="267">
        <v>0</v>
      </c>
      <c r="KD12" s="267">
        <v>0</v>
      </c>
      <c r="KE12" s="267">
        <v>0</v>
      </c>
      <c r="KF12" s="267">
        <v>0</v>
      </c>
      <c r="KG12" s="267">
        <v>0</v>
      </c>
      <c r="KH12" s="266">
        <v>0.33333333333333331</v>
      </c>
      <c r="KI12" s="266">
        <v>0.66666666666666663</v>
      </c>
      <c r="KJ12" s="267">
        <v>30</v>
      </c>
      <c r="KK12" s="266">
        <v>0</v>
      </c>
      <c r="KL12" s="266">
        <v>0</v>
      </c>
      <c r="KM12" s="267">
        <v>0</v>
      </c>
      <c r="KN12" s="266">
        <v>0</v>
      </c>
      <c r="KO12" s="266">
        <v>0</v>
      </c>
      <c r="KP12" s="267">
        <v>0</v>
      </c>
      <c r="KQ12" s="266">
        <v>0</v>
      </c>
      <c r="KR12" s="266">
        <v>0</v>
      </c>
      <c r="KS12" s="267">
        <v>0</v>
      </c>
      <c r="KT12" s="266">
        <v>0</v>
      </c>
      <c r="KU12" s="266">
        <v>0</v>
      </c>
      <c r="KV12" s="267">
        <v>0</v>
      </c>
      <c r="KW12" s="266">
        <v>0</v>
      </c>
      <c r="KX12" s="266">
        <v>0</v>
      </c>
      <c r="KY12" s="267">
        <v>0</v>
      </c>
    </row>
    <row r="13" spans="1:311" ht="58">
      <c r="A13" s="472">
        <v>44304</v>
      </c>
      <c r="B13" s="473" t="s">
        <v>180</v>
      </c>
      <c r="C13" s="474">
        <v>0.80952380952380965</v>
      </c>
      <c r="D13" s="474">
        <v>0.43478260869565194</v>
      </c>
      <c r="E13" s="474">
        <v>0.98073151032652595</v>
      </c>
      <c r="F13" s="474">
        <v>0.34518500363459492</v>
      </c>
      <c r="G13" s="475">
        <v>0.66666666666666663</v>
      </c>
      <c r="H13" s="475">
        <v>0.83333333333333337</v>
      </c>
      <c r="I13" s="473" t="s">
        <v>419</v>
      </c>
      <c r="J13" s="476">
        <v>240.00000000000011</v>
      </c>
      <c r="K13" s="476">
        <v>210.00000000000011</v>
      </c>
      <c r="L13" s="476">
        <v>40</v>
      </c>
      <c r="M13" s="476">
        <v>170.00000000000011</v>
      </c>
      <c r="N13" s="267">
        <v>73.913043478260875</v>
      </c>
      <c r="O13" s="267">
        <v>167</v>
      </c>
      <c r="P13" s="267">
        <v>0</v>
      </c>
      <c r="Q13" s="267">
        <v>8500</v>
      </c>
      <c r="R13" s="264" t="s">
        <v>212</v>
      </c>
      <c r="S13" s="267">
        <v>30</v>
      </c>
      <c r="T13" s="267">
        <v>30</v>
      </c>
      <c r="U13" s="267">
        <v>0</v>
      </c>
      <c r="V13" s="267" t="s">
        <v>402</v>
      </c>
      <c r="W13" s="264" t="s">
        <v>176</v>
      </c>
      <c r="X13" s="264">
        <v>0</v>
      </c>
      <c r="Y13" s="267">
        <v>0</v>
      </c>
      <c r="Z13" s="267">
        <v>0</v>
      </c>
      <c r="AA13" s="267">
        <v>0</v>
      </c>
      <c r="AB13" s="267">
        <v>0</v>
      </c>
      <c r="AC13" s="264" t="s">
        <v>176</v>
      </c>
      <c r="AD13" s="264">
        <v>0</v>
      </c>
      <c r="AE13" s="267">
        <v>0</v>
      </c>
      <c r="AF13" s="267">
        <v>0</v>
      </c>
      <c r="AG13" s="267">
        <v>0</v>
      </c>
      <c r="AH13" s="267">
        <v>0</v>
      </c>
      <c r="AI13" s="264" t="s">
        <v>176</v>
      </c>
      <c r="AJ13" s="264">
        <v>0</v>
      </c>
      <c r="AK13" s="267">
        <v>0</v>
      </c>
      <c r="AL13" s="267">
        <v>0</v>
      </c>
      <c r="AM13" s="267">
        <v>0</v>
      </c>
      <c r="AN13" s="267">
        <v>0</v>
      </c>
      <c r="AO13" s="264" t="s">
        <v>176</v>
      </c>
      <c r="AP13" s="264">
        <v>0</v>
      </c>
      <c r="AQ13" s="267">
        <v>0</v>
      </c>
      <c r="AR13" s="267">
        <v>0</v>
      </c>
      <c r="AS13" s="267">
        <v>0</v>
      </c>
      <c r="AT13" s="267">
        <v>0</v>
      </c>
      <c r="AU13" s="264" t="s">
        <v>176</v>
      </c>
      <c r="AV13" s="264">
        <v>0</v>
      </c>
      <c r="AW13" s="267">
        <v>0</v>
      </c>
      <c r="AX13" s="267">
        <v>0</v>
      </c>
      <c r="AY13" s="267">
        <v>0</v>
      </c>
      <c r="AZ13" s="267">
        <v>0</v>
      </c>
      <c r="BA13" s="264" t="s">
        <v>176</v>
      </c>
      <c r="BB13" s="268">
        <v>0</v>
      </c>
      <c r="BC13" s="268">
        <v>0</v>
      </c>
      <c r="BD13" s="268">
        <v>0</v>
      </c>
      <c r="BE13" s="268">
        <v>0</v>
      </c>
      <c r="BF13" s="268">
        <v>0</v>
      </c>
      <c r="BG13" s="269">
        <v>0</v>
      </c>
      <c r="BH13" s="268">
        <v>0</v>
      </c>
      <c r="BI13" s="268">
        <v>0</v>
      </c>
      <c r="BJ13" s="268">
        <v>0</v>
      </c>
      <c r="BK13" s="268">
        <v>0</v>
      </c>
      <c r="BL13" s="268">
        <v>0</v>
      </c>
      <c r="BM13" s="269">
        <v>0</v>
      </c>
      <c r="BN13" s="268">
        <v>0</v>
      </c>
      <c r="BO13" s="268">
        <v>0</v>
      </c>
      <c r="BP13" s="268">
        <v>0</v>
      </c>
      <c r="BQ13" s="268" t="s">
        <v>176</v>
      </c>
      <c r="BR13" s="268">
        <v>0</v>
      </c>
      <c r="BS13" s="269">
        <v>0</v>
      </c>
      <c r="BT13" s="264" t="s">
        <v>402</v>
      </c>
      <c r="BU13" s="267" t="s">
        <v>399</v>
      </c>
      <c r="BV13" s="264">
        <v>0</v>
      </c>
      <c r="BW13" s="264">
        <v>0</v>
      </c>
      <c r="BX13" s="264">
        <v>0</v>
      </c>
      <c r="BY13" s="267" t="s">
        <v>176</v>
      </c>
      <c r="BZ13" s="264">
        <v>0</v>
      </c>
      <c r="CA13" s="264">
        <v>0</v>
      </c>
      <c r="CB13" s="264">
        <v>0</v>
      </c>
      <c r="CC13" s="267" t="s">
        <v>176</v>
      </c>
      <c r="CD13" s="264">
        <v>0</v>
      </c>
      <c r="CE13" s="264">
        <v>0</v>
      </c>
      <c r="CF13" s="264">
        <v>0</v>
      </c>
      <c r="CG13" s="267" t="s">
        <v>176</v>
      </c>
      <c r="CH13" s="264">
        <v>0</v>
      </c>
      <c r="CI13" s="264">
        <v>0</v>
      </c>
      <c r="CJ13" s="264">
        <v>0</v>
      </c>
      <c r="CK13" s="267" t="s">
        <v>176</v>
      </c>
      <c r="CL13" s="264">
        <v>0</v>
      </c>
      <c r="CM13" s="264">
        <v>0</v>
      </c>
      <c r="CN13" s="264">
        <v>0</v>
      </c>
      <c r="CO13" s="267" t="s">
        <v>176</v>
      </c>
      <c r="CP13" s="264">
        <v>0</v>
      </c>
      <c r="CQ13" s="264">
        <v>0</v>
      </c>
      <c r="CR13" s="264" t="s">
        <v>239</v>
      </c>
      <c r="CS13" s="267">
        <v>15</v>
      </c>
      <c r="CT13" s="264" t="s">
        <v>459</v>
      </c>
      <c r="CU13" s="264" t="s">
        <v>402</v>
      </c>
      <c r="CV13" s="264" t="s">
        <v>460</v>
      </c>
      <c r="CW13" s="270" t="s">
        <v>218</v>
      </c>
      <c r="CX13" s="267">
        <v>25</v>
      </c>
      <c r="CY13" s="264" t="s">
        <v>461</v>
      </c>
      <c r="CZ13" s="264" t="s">
        <v>402</v>
      </c>
      <c r="DA13" s="264" t="s">
        <v>438</v>
      </c>
      <c r="DB13" s="270">
        <v>0</v>
      </c>
      <c r="DC13" s="267">
        <v>0</v>
      </c>
      <c r="DD13" s="264">
        <v>0</v>
      </c>
      <c r="DE13" s="264">
        <v>0</v>
      </c>
      <c r="DF13" s="264">
        <v>0</v>
      </c>
      <c r="DG13" s="264">
        <v>0</v>
      </c>
      <c r="DH13" s="267">
        <v>0</v>
      </c>
      <c r="DI13" s="264">
        <v>0</v>
      </c>
      <c r="DJ13" s="264">
        <v>0</v>
      </c>
      <c r="DK13" s="264">
        <v>0</v>
      </c>
      <c r="DL13" s="264">
        <v>0</v>
      </c>
      <c r="DM13" s="267">
        <v>0</v>
      </c>
      <c r="DN13" s="264">
        <v>0</v>
      </c>
      <c r="DO13" s="264">
        <v>0</v>
      </c>
      <c r="DP13" s="264">
        <v>0</v>
      </c>
      <c r="DQ13" s="264">
        <v>0</v>
      </c>
      <c r="DR13" s="267">
        <v>0</v>
      </c>
      <c r="DS13" s="264">
        <v>0</v>
      </c>
      <c r="DT13" s="264">
        <v>0</v>
      </c>
      <c r="DU13" s="264">
        <v>0</v>
      </c>
      <c r="DV13" s="264">
        <v>0</v>
      </c>
      <c r="DW13" s="267">
        <v>0</v>
      </c>
      <c r="DX13" s="264">
        <v>0</v>
      </c>
      <c r="DY13" s="264">
        <v>0</v>
      </c>
      <c r="DZ13" s="264">
        <v>0</v>
      </c>
      <c r="EA13" s="264">
        <v>0</v>
      </c>
      <c r="EB13" s="267">
        <v>0</v>
      </c>
      <c r="EC13" s="264">
        <v>0</v>
      </c>
      <c r="ED13" s="264">
        <v>0</v>
      </c>
      <c r="EE13" s="264">
        <v>0</v>
      </c>
      <c r="EF13" s="264">
        <v>0</v>
      </c>
      <c r="EG13" s="267">
        <v>0</v>
      </c>
      <c r="EH13" s="264">
        <v>0</v>
      </c>
      <c r="EI13" s="264">
        <v>0</v>
      </c>
      <c r="EJ13" s="264">
        <v>0</v>
      </c>
      <c r="EK13" s="264">
        <v>0</v>
      </c>
      <c r="EL13" s="267">
        <v>0</v>
      </c>
      <c r="EM13" s="264">
        <v>0</v>
      </c>
      <c r="EN13" s="264">
        <v>0</v>
      </c>
      <c r="EO13" s="264">
        <v>0</v>
      </c>
      <c r="EP13" s="264">
        <v>0</v>
      </c>
      <c r="EQ13" s="267">
        <v>0</v>
      </c>
      <c r="ER13" s="264">
        <v>0</v>
      </c>
      <c r="ES13" s="264">
        <v>0</v>
      </c>
      <c r="ET13" s="264">
        <v>0</v>
      </c>
      <c r="EU13" s="264">
        <v>0</v>
      </c>
      <c r="EV13" s="267">
        <v>0</v>
      </c>
      <c r="EW13" s="264">
        <v>0</v>
      </c>
      <c r="EX13" s="264">
        <v>0</v>
      </c>
      <c r="EY13" s="264">
        <v>0</v>
      </c>
      <c r="EZ13" s="264" t="s">
        <v>402</v>
      </c>
      <c r="FA13" s="266">
        <v>0.66666666666666663</v>
      </c>
      <c r="FB13" s="266">
        <v>0.83333333333333337</v>
      </c>
      <c r="FC13" s="267">
        <v>40</v>
      </c>
      <c r="FD13" s="267">
        <v>30</v>
      </c>
      <c r="FE13" s="267">
        <v>170</v>
      </c>
      <c r="FF13" s="267">
        <v>170.00000000000009</v>
      </c>
      <c r="FG13" s="267">
        <v>73.913043478260875</v>
      </c>
      <c r="FH13" s="264">
        <v>0</v>
      </c>
      <c r="FI13" s="264" t="s">
        <v>176</v>
      </c>
      <c r="FJ13" s="266">
        <v>0</v>
      </c>
      <c r="FK13" s="266">
        <v>0</v>
      </c>
      <c r="FL13" s="267">
        <v>0</v>
      </c>
      <c r="FM13" s="267">
        <v>0</v>
      </c>
      <c r="FN13" s="267">
        <v>0</v>
      </c>
      <c r="FO13" s="267" t="s">
        <v>176</v>
      </c>
      <c r="FP13" s="267">
        <v>0</v>
      </c>
      <c r="FQ13" s="264">
        <v>0</v>
      </c>
      <c r="FR13" s="264" t="s">
        <v>176</v>
      </c>
      <c r="FS13" s="266">
        <v>0</v>
      </c>
      <c r="FT13" s="266">
        <v>0</v>
      </c>
      <c r="FU13" s="267">
        <v>0</v>
      </c>
      <c r="FV13" s="267">
        <v>0</v>
      </c>
      <c r="FW13" s="267">
        <v>0</v>
      </c>
      <c r="FX13" s="267" t="s">
        <v>176</v>
      </c>
      <c r="FY13" s="267">
        <v>0</v>
      </c>
      <c r="FZ13" s="264">
        <v>0</v>
      </c>
      <c r="GA13" s="264" t="s">
        <v>176</v>
      </c>
      <c r="GB13" s="266">
        <v>0</v>
      </c>
      <c r="GC13" s="266">
        <v>0</v>
      </c>
      <c r="GD13" s="267">
        <v>0</v>
      </c>
      <c r="GE13" s="267">
        <v>0</v>
      </c>
      <c r="GF13" s="267">
        <v>0</v>
      </c>
      <c r="GG13" s="267" t="s">
        <v>176</v>
      </c>
      <c r="GH13" s="267">
        <v>0</v>
      </c>
      <c r="GI13" s="264">
        <v>0</v>
      </c>
      <c r="GJ13" s="264" t="s">
        <v>176</v>
      </c>
      <c r="GK13" s="266">
        <v>0</v>
      </c>
      <c r="GL13" s="266">
        <v>0</v>
      </c>
      <c r="GM13" s="267">
        <v>0</v>
      </c>
      <c r="GN13" s="267">
        <v>0</v>
      </c>
      <c r="GO13" s="267">
        <v>0</v>
      </c>
      <c r="GP13" s="267" t="s">
        <v>176</v>
      </c>
      <c r="GQ13" s="267">
        <v>0</v>
      </c>
      <c r="GR13" s="264">
        <v>0</v>
      </c>
      <c r="GS13" s="264" t="s">
        <v>176</v>
      </c>
      <c r="GT13" s="266">
        <v>0</v>
      </c>
      <c r="GU13" s="266">
        <v>0</v>
      </c>
      <c r="GV13" s="267">
        <v>0</v>
      </c>
      <c r="GW13" s="267">
        <v>0</v>
      </c>
      <c r="GX13" s="267">
        <v>0</v>
      </c>
      <c r="GY13" s="267" t="s">
        <v>176</v>
      </c>
      <c r="GZ13" s="267">
        <v>0</v>
      </c>
      <c r="HA13" s="264">
        <v>0</v>
      </c>
      <c r="HB13" s="264" t="s">
        <v>402</v>
      </c>
      <c r="HC13" s="264">
        <v>8500</v>
      </c>
      <c r="HD13" s="267">
        <v>8500</v>
      </c>
      <c r="HE13" s="267">
        <v>0</v>
      </c>
      <c r="HF13" s="267">
        <v>8500</v>
      </c>
      <c r="HG13" s="267">
        <v>22</v>
      </c>
      <c r="HH13" s="267">
        <v>8500</v>
      </c>
      <c r="HI13" s="267">
        <v>45</v>
      </c>
      <c r="HJ13" s="267">
        <v>170</v>
      </c>
      <c r="HK13" s="267">
        <v>2</v>
      </c>
      <c r="HL13" s="267">
        <v>170</v>
      </c>
      <c r="HM13" s="267">
        <v>0</v>
      </c>
      <c r="HN13" s="267">
        <v>170</v>
      </c>
      <c r="HO13" s="267">
        <v>0</v>
      </c>
      <c r="HP13" s="267" t="s">
        <v>176</v>
      </c>
      <c r="HQ13" s="267">
        <v>0</v>
      </c>
      <c r="HR13" s="267">
        <v>0</v>
      </c>
      <c r="HS13" s="267">
        <v>0</v>
      </c>
      <c r="HT13" s="267">
        <v>0</v>
      </c>
      <c r="HU13" s="267">
        <v>0</v>
      </c>
      <c r="HV13" s="267">
        <v>0</v>
      </c>
      <c r="HW13" s="267">
        <v>0</v>
      </c>
      <c r="HX13" s="267">
        <v>0</v>
      </c>
      <c r="HY13" s="267">
        <v>0</v>
      </c>
      <c r="HZ13" s="267">
        <v>0</v>
      </c>
      <c r="IA13" s="267">
        <v>0</v>
      </c>
      <c r="IB13" s="267">
        <v>0</v>
      </c>
      <c r="IC13" s="267">
        <v>0</v>
      </c>
      <c r="ID13" s="267" t="s">
        <v>176</v>
      </c>
      <c r="IE13" s="267">
        <v>0</v>
      </c>
      <c r="IF13" s="267">
        <v>0</v>
      </c>
      <c r="IG13" s="267">
        <v>0</v>
      </c>
      <c r="IH13" s="267">
        <v>0</v>
      </c>
      <c r="II13" s="267">
        <v>0</v>
      </c>
      <c r="IJ13" s="267">
        <v>0</v>
      </c>
      <c r="IK13" s="267">
        <v>0</v>
      </c>
      <c r="IL13" s="267">
        <v>0</v>
      </c>
      <c r="IM13" s="267">
        <v>0</v>
      </c>
      <c r="IN13" s="267">
        <v>0</v>
      </c>
      <c r="IO13" s="267">
        <v>0</v>
      </c>
      <c r="IP13" s="267">
        <v>0</v>
      </c>
      <c r="IQ13" s="267">
        <v>0</v>
      </c>
      <c r="IR13" s="267" t="s">
        <v>176</v>
      </c>
      <c r="IS13" s="267">
        <v>0</v>
      </c>
      <c r="IT13" s="272">
        <v>0</v>
      </c>
      <c r="IU13" s="272">
        <v>0</v>
      </c>
      <c r="IV13" s="272">
        <v>0</v>
      </c>
      <c r="IW13" s="272">
        <v>0</v>
      </c>
      <c r="IX13" s="272">
        <v>0</v>
      </c>
      <c r="IY13" s="272">
        <v>0</v>
      </c>
      <c r="IZ13" s="267">
        <v>0</v>
      </c>
      <c r="JA13" s="267">
        <v>0</v>
      </c>
      <c r="JB13" s="267">
        <v>0</v>
      </c>
      <c r="JC13" s="267">
        <v>0</v>
      </c>
      <c r="JD13" s="267">
        <v>0</v>
      </c>
      <c r="JE13" s="267">
        <v>0</v>
      </c>
      <c r="JF13" s="267" t="s">
        <v>176</v>
      </c>
      <c r="JG13" s="267">
        <v>0</v>
      </c>
      <c r="JH13" s="267">
        <v>0</v>
      </c>
      <c r="JI13" s="267">
        <v>0</v>
      </c>
      <c r="JJ13" s="267">
        <v>0</v>
      </c>
      <c r="JK13" s="267">
        <v>0</v>
      </c>
      <c r="JL13" s="267">
        <v>0</v>
      </c>
      <c r="JM13" s="267">
        <v>0</v>
      </c>
      <c r="JN13" s="267">
        <v>0</v>
      </c>
      <c r="JO13" s="267">
        <v>0</v>
      </c>
      <c r="JP13" s="267">
        <v>0</v>
      </c>
      <c r="JQ13" s="267">
        <v>0</v>
      </c>
      <c r="JR13" s="267">
        <v>0</v>
      </c>
      <c r="JS13" s="267">
        <v>0</v>
      </c>
      <c r="JT13" s="267" t="s">
        <v>176</v>
      </c>
      <c r="JU13" s="267">
        <v>0</v>
      </c>
      <c r="JV13" s="267">
        <v>0</v>
      </c>
      <c r="JW13" s="267">
        <v>0</v>
      </c>
      <c r="JX13" s="267">
        <v>0</v>
      </c>
      <c r="JY13" s="267">
        <v>0</v>
      </c>
      <c r="JZ13" s="267">
        <v>0</v>
      </c>
      <c r="KA13" s="267">
        <v>0</v>
      </c>
      <c r="KB13" s="267">
        <v>0</v>
      </c>
      <c r="KC13" s="267">
        <v>0</v>
      </c>
      <c r="KD13" s="267">
        <v>0</v>
      </c>
      <c r="KE13" s="267">
        <v>0</v>
      </c>
      <c r="KF13" s="267">
        <v>0</v>
      </c>
      <c r="KG13" s="267">
        <v>0</v>
      </c>
      <c r="KH13" s="266">
        <v>0.66666666666666663</v>
      </c>
      <c r="KI13" s="266">
        <v>0.83333333333333337</v>
      </c>
      <c r="KJ13" s="267">
        <v>30</v>
      </c>
      <c r="KK13" s="266">
        <v>0</v>
      </c>
      <c r="KL13" s="266">
        <v>0</v>
      </c>
      <c r="KM13" s="267">
        <v>0</v>
      </c>
      <c r="KN13" s="266">
        <v>0</v>
      </c>
      <c r="KO13" s="266">
        <v>0</v>
      </c>
      <c r="KP13" s="267">
        <v>0</v>
      </c>
      <c r="KQ13" s="266">
        <v>0</v>
      </c>
      <c r="KR13" s="266">
        <v>0</v>
      </c>
      <c r="KS13" s="267">
        <v>0</v>
      </c>
      <c r="KT13" s="266">
        <v>0</v>
      </c>
      <c r="KU13" s="266">
        <v>0</v>
      </c>
      <c r="KV13" s="267">
        <v>0</v>
      </c>
      <c r="KW13" s="266">
        <v>0</v>
      </c>
      <c r="KX13" s="266">
        <v>0</v>
      </c>
      <c r="KY13" s="267">
        <v>0</v>
      </c>
    </row>
    <row r="14" spans="1:311" ht="58">
      <c r="A14" s="263">
        <v>44304</v>
      </c>
      <c r="B14" s="264" t="s">
        <v>211</v>
      </c>
      <c r="C14" s="265">
        <v>0.76666666666666672</v>
      </c>
      <c r="D14" s="265">
        <v>0.35286704473850034</v>
      </c>
      <c r="E14" s="265">
        <v>0.9846673231115487</v>
      </c>
      <c r="F14" s="265">
        <v>0.26638343040698903</v>
      </c>
      <c r="G14" s="266">
        <v>1</v>
      </c>
      <c r="H14" s="266">
        <v>0.33333333333333331</v>
      </c>
      <c r="I14" s="264" t="s">
        <v>421</v>
      </c>
      <c r="J14" s="267">
        <v>480</v>
      </c>
      <c r="K14" s="267">
        <v>450</v>
      </c>
      <c r="L14" s="267">
        <v>105</v>
      </c>
      <c r="M14" s="267">
        <v>345</v>
      </c>
      <c r="N14" s="267">
        <v>121.73913043478261</v>
      </c>
      <c r="O14" s="267">
        <v>218</v>
      </c>
      <c r="P14" s="267">
        <v>0</v>
      </c>
      <c r="Q14" s="267">
        <v>14000</v>
      </c>
      <c r="R14" s="264" t="s">
        <v>212</v>
      </c>
      <c r="S14" s="267">
        <v>30</v>
      </c>
      <c r="T14" s="267">
        <v>30</v>
      </c>
      <c r="U14" s="267">
        <v>0</v>
      </c>
      <c r="V14" s="267" t="s">
        <v>402</v>
      </c>
      <c r="W14" s="264" t="s">
        <v>176</v>
      </c>
      <c r="X14" s="264">
        <v>0</v>
      </c>
      <c r="Y14" s="267">
        <v>0</v>
      </c>
      <c r="Z14" s="267">
        <v>0</v>
      </c>
      <c r="AA14" s="267">
        <v>0</v>
      </c>
      <c r="AB14" s="267">
        <v>0</v>
      </c>
      <c r="AC14" s="264" t="s">
        <v>176</v>
      </c>
      <c r="AD14" s="264">
        <v>0</v>
      </c>
      <c r="AE14" s="267">
        <v>0</v>
      </c>
      <c r="AF14" s="267">
        <v>0</v>
      </c>
      <c r="AG14" s="267">
        <v>0</v>
      </c>
      <c r="AH14" s="267">
        <v>0</v>
      </c>
      <c r="AI14" s="264" t="s">
        <v>176</v>
      </c>
      <c r="AJ14" s="264">
        <v>0</v>
      </c>
      <c r="AK14" s="267">
        <v>0</v>
      </c>
      <c r="AL14" s="267">
        <v>0</v>
      </c>
      <c r="AM14" s="267">
        <v>0</v>
      </c>
      <c r="AN14" s="267">
        <v>0</v>
      </c>
      <c r="AO14" s="264" t="s">
        <v>176</v>
      </c>
      <c r="AP14" s="264">
        <v>0</v>
      </c>
      <c r="AQ14" s="267">
        <v>0</v>
      </c>
      <c r="AR14" s="267">
        <v>0</v>
      </c>
      <c r="AS14" s="267">
        <v>0</v>
      </c>
      <c r="AT14" s="267">
        <v>0</v>
      </c>
      <c r="AU14" s="264" t="s">
        <v>176</v>
      </c>
      <c r="AV14" s="264">
        <v>0</v>
      </c>
      <c r="AW14" s="267">
        <v>0</v>
      </c>
      <c r="AX14" s="267">
        <v>0</v>
      </c>
      <c r="AY14" s="267">
        <v>0</v>
      </c>
      <c r="AZ14" s="267">
        <v>0</v>
      </c>
      <c r="BA14" s="264" t="s">
        <v>176</v>
      </c>
      <c r="BB14" s="268">
        <v>0</v>
      </c>
      <c r="BC14" s="268">
        <v>0</v>
      </c>
      <c r="BD14" s="268">
        <v>0</v>
      </c>
      <c r="BE14" s="268">
        <v>0</v>
      </c>
      <c r="BF14" s="268">
        <v>0</v>
      </c>
      <c r="BG14" s="269">
        <v>0</v>
      </c>
      <c r="BH14" s="268">
        <v>0</v>
      </c>
      <c r="BI14" s="268">
        <v>0</v>
      </c>
      <c r="BJ14" s="268">
        <v>0</v>
      </c>
      <c r="BK14" s="268">
        <v>0</v>
      </c>
      <c r="BL14" s="268">
        <v>0</v>
      </c>
      <c r="BM14" s="269">
        <v>0</v>
      </c>
      <c r="BN14" s="268">
        <v>0</v>
      </c>
      <c r="BO14" s="268">
        <v>0</v>
      </c>
      <c r="BP14" s="268">
        <v>0</v>
      </c>
      <c r="BQ14" s="268" t="s">
        <v>176</v>
      </c>
      <c r="BR14" s="268">
        <v>0</v>
      </c>
      <c r="BS14" s="269">
        <v>0</v>
      </c>
      <c r="BT14" s="264" t="s">
        <v>402</v>
      </c>
      <c r="BU14" s="267" t="s">
        <v>399</v>
      </c>
      <c r="BV14" s="264">
        <v>0</v>
      </c>
      <c r="BW14" s="264">
        <v>0</v>
      </c>
      <c r="BX14" s="264">
        <v>0</v>
      </c>
      <c r="BY14" s="267" t="s">
        <v>176</v>
      </c>
      <c r="BZ14" s="264">
        <v>0</v>
      </c>
      <c r="CA14" s="264">
        <v>0</v>
      </c>
      <c r="CB14" s="264">
        <v>0</v>
      </c>
      <c r="CC14" s="267" t="s">
        <v>176</v>
      </c>
      <c r="CD14" s="264">
        <v>0</v>
      </c>
      <c r="CE14" s="264">
        <v>0</v>
      </c>
      <c r="CF14" s="264">
        <v>0</v>
      </c>
      <c r="CG14" s="267" t="s">
        <v>176</v>
      </c>
      <c r="CH14" s="264">
        <v>0</v>
      </c>
      <c r="CI14" s="264">
        <v>0</v>
      </c>
      <c r="CJ14" s="264">
        <v>0</v>
      </c>
      <c r="CK14" s="267" t="s">
        <v>176</v>
      </c>
      <c r="CL14" s="264">
        <v>0</v>
      </c>
      <c r="CM14" s="264">
        <v>0</v>
      </c>
      <c r="CN14" s="264">
        <v>0</v>
      </c>
      <c r="CO14" s="267" t="s">
        <v>176</v>
      </c>
      <c r="CP14" s="264">
        <v>0</v>
      </c>
      <c r="CQ14" s="264">
        <v>0</v>
      </c>
      <c r="CR14" s="264" t="s">
        <v>218</v>
      </c>
      <c r="CS14" s="267">
        <v>20</v>
      </c>
      <c r="CT14" s="264" t="s">
        <v>428</v>
      </c>
      <c r="CU14" s="264" t="s">
        <v>402</v>
      </c>
      <c r="CV14" s="264" t="s">
        <v>438</v>
      </c>
      <c r="CW14" s="270" t="s">
        <v>218</v>
      </c>
      <c r="CX14" s="267">
        <v>25</v>
      </c>
      <c r="CY14" s="264" t="s">
        <v>462</v>
      </c>
      <c r="CZ14" s="264" t="s">
        <v>402</v>
      </c>
      <c r="DA14" s="264" t="s">
        <v>438</v>
      </c>
      <c r="DB14" s="270" t="s">
        <v>218</v>
      </c>
      <c r="DC14" s="267">
        <v>60</v>
      </c>
      <c r="DD14" s="264" t="s">
        <v>463</v>
      </c>
      <c r="DE14" s="264" t="s">
        <v>402</v>
      </c>
      <c r="DF14" s="264" t="s">
        <v>438</v>
      </c>
      <c r="DG14" s="264">
        <v>0</v>
      </c>
      <c r="DH14" s="267">
        <v>0</v>
      </c>
      <c r="DI14" s="264">
        <v>0</v>
      </c>
      <c r="DJ14" s="264">
        <v>0</v>
      </c>
      <c r="DK14" s="264">
        <v>0</v>
      </c>
      <c r="DL14" s="264">
        <v>0</v>
      </c>
      <c r="DM14" s="267">
        <v>0</v>
      </c>
      <c r="DN14" s="264">
        <v>0</v>
      </c>
      <c r="DO14" s="264">
        <v>0</v>
      </c>
      <c r="DP14" s="264">
        <v>0</v>
      </c>
      <c r="DQ14" s="264">
        <v>0</v>
      </c>
      <c r="DR14" s="267">
        <v>0</v>
      </c>
      <c r="DS14" s="264">
        <v>0</v>
      </c>
      <c r="DT14" s="264">
        <v>0</v>
      </c>
      <c r="DU14" s="264">
        <v>0</v>
      </c>
      <c r="DV14" s="264">
        <v>0</v>
      </c>
      <c r="DW14" s="267">
        <v>0</v>
      </c>
      <c r="DX14" s="264">
        <v>0</v>
      </c>
      <c r="DY14" s="264">
        <v>0</v>
      </c>
      <c r="DZ14" s="264">
        <v>0</v>
      </c>
      <c r="EA14" s="264">
        <v>0</v>
      </c>
      <c r="EB14" s="267">
        <v>0</v>
      </c>
      <c r="EC14" s="264">
        <v>0</v>
      </c>
      <c r="ED14" s="264">
        <v>0</v>
      </c>
      <c r="EE14" s="264">
        <v>0</v>
      </c>
      <c r="EF14" s="264">
        <v>0</v>
      </c>
      <c r="EG14" s="267">
        <v>0</v>
      </c>
      <c r="EH14" s="264">
        <v>0</v>
      </c>
      <c r="EI14" s="264">
        <v>0</v>
      </c>
      <c r="EJ14" s="264">
        <v>0</v>
      </c>
      <c r="EK14" s="264">
        <v>0</v>
      </c>
      <c r="EL14" s="267">
        <v>0</v>
      </c>
      <c r="EM14" s="264">
        <v>0</v>
      </c>
      <c r="EN14" s="264">
        <v>0</v>
      </c>
      <c r="EO14" s="264">
        <v>0</v>
      </c>
      <c r="EP14" s="264">
        <v>0</v>
      </c>
      <c r="EQ14" s="267">
        <v>0</v>
      </c>
      <c r="ER14" s="264">
        <v>0</v>
      </c>
      <c r="ES14" s="264">
        <v>0</v>
      </c>
      <c r="ET14" s="264">
        <v>0</v>
      </c>
      <c r="EU14" s="264">
        <v>0</v>
      </c>
      <c r="EV14" s="267">
        <v>0</v>
      </c>
      <c r="EW14" s="264">
        <v>0</v>
      </c>
      <c r="EX14" s="264">
        <v>0</v>
      </c>
      <c r="EY14" s="264">
        <v>0</v>
      </c>
      <c r="EZ14" s="264" t="s">
        <v>402</v>
      </c>
      <c r="FA14" s="266">
        <v>1</v>
      </c>
      <c r="FB14" s="266">
        <v>0.33333333333333331</v>
      </c>
      <c r="FC14" s="267">
        <v>105</v>
      </c>
      <c r="FD14" s="267">
        <v>30</v>
      </c>
      <c r="FE14" s="267">
        <v>280</v>
      </c>
      <c r="FF14" s="267">
        <v>345</v>
      </c>
      <c r="FG14" s="267">
        <v>121.73913043478261</v>
      </c>
      <c r="FH14" s="264">
        <v>0</v>
      </c>
      <c r="FI14" s="264" t="s">
        <v>176</v>
      </c>
      <c r="FJ14" s="266">
        <v>0</v>
      </c>
      <c r="FK14" s="266">
        <v>0</v>
      </c>
      <c r="FL14" s="267">
        <v>0</v>
      </c>
      <c r="FM14" s="267">
        <v>0</v>
      </c>
      <c r="FN14" s="267">
        <v>0</v>
      </c>
      <c r="FO14" s="267" t="s">
        <v>176</v>
      </c>
      <c r="FP14" s="267">
        <v>0</v>
      </c>
      <c r="FQ14" s="264">
        <v>0</v>
      </c>
      <c r="FR14" s="264" t="s">
        <v>176</v>
      </c>
      <c r="FS14" s="266">
        <v>0</v>
      </c>
      <c r="FT14" s="266">
        <v>0</v>
      </c>
      <c r="FU14" s="267">
        <v>0</v>
      </c>
      <c r="FV14" s="267">
        <v>0</v>
      </c>
      <c r="FW14" s="267">
        <v>0</v>
      </c>
      <c r="FX14" s="267" t="s">
        <v>176</v>
      </c>
      <c r="FY14" s="267">
        <v>0</v>
      </c>
      <c r="FZ14" s="264">
        <v>0</v>
      </c>
      <c r="GA14" s="264" t="s">
        <v>176</v>
      </c>
      <c r="GB14" s="266">
        <v>0</v>
      </c>
      <c r="GC14" s="266">
        <v>0</v>
      </c>
      <c r="GD14" s="267">
        <v>0</v>
      </c>
      <c r="GE14" s="267">
        <v>0</v>
      </c>
      <c r="GF14" s="267">
        <v>0</v>
      </c>
      <c r="GG14" s="267" t="s">
        <v>176</v>
      </c>
      <c r="GH14" s="267">
        <v>0</v>
      </c>
      <c r="GI14" s="264">
        <v>0</v>
      </c>
      <c r="GJ14" s="264" t="s">
        <v>176</v>
      </c>
      <c r="GK14" s="266">
        <v>0</v>
      </c>
      <c r="GL14" s="266">
        <v>0</v>
      </c>
      <c r="GM14" s="267">
        <v>0</v>
      </c>
      <c r="GN14" s="267">
        <v>0</v>
      </c>
      <c r="GO14" s="267">
        <v>0</v>
      </c>
      <c r="GP14" s="267" t="s">
        <v>176</v>
      </c>
      <c r="GQ14" s="267">
        <v>0</v>
      </c>
      <c r="GR14" s="264">
        <v>0</v>
      </c>
      <c r="GS14" s="264" t="s">
        <v>176</v>
      </c>
      <c r="GT14" s="266">
        <v>0</v>
      </c>
      <c r="GU14" s="266">
        <v>0</v>
      </c>
      <c r="GV14" s="267">
        <v>0</v>
      </c>
      <c r="GW14" s="267">
        <v>0</v>
      </c>
      <c r="GX14" s="267">
        <v>0</v>
      </c>
      <c r="GY14" s="267" t="s">
        <v>176</v>
      </c>
      <c r="GZ14" s="267">
        <v>0</v>
      </c>
      <c r="HA14" s="264">
        <v>0</v>
      </c>
      <c r="HB14" s="264" t="s">
        <v>402</v>
      </c>
      <c r="HC14" s="264">
        <v>14000</v>
      </c>
      <c r="HD14" s="267">
        <v>14000</v>
      </c>
      <c r="HE14" s="267">
        <v>0</v>
      </c>
      <c r="HF14" s="267">
        <v>14000</v>
      </c>
      <c r="HG14" s="267">
        <v>70</v>
      </c>
      <c r="HH14" s="267">
        <v>14000</v>
      </c>
      <c r="HI14" s="267">
        <v>48</v>
      </c>
      <c r="HJ14" s="267">
        <v>280</v>
      </c>
      <c r="HK14" s="267">
        <v>2</v>
      </c>
      <c r="HL14" s="267">
        <v>280</v>
      </c>
      <c r="HM14" s="267">
        <v>0</v>
      </c>
      <c r="HN14" s="267">
        <v>280</v>
      </c>
      <c r="HO14" s="267">
        <v>0</v>
      </c>
      <c r="HP14" s="267" t="s">
        <v>176</v>
      </c>
      <c r="HQ14" s="267">
        <v>0</v>
      </c>
      <c r="HR14" s="267">
        <v>0</v>
      </c>
      <c r="HS14" s="267">
        <v>0</v>
      </c>
      <c r="HT14" s="267">
        <v>0</v>
      </c>
      <c r="HU14" s="267">
        <v>0</v>
      </c>
      <c r="HV14" s="267">
        <v>0</v>
      </c>
      <c r="HW14" s="267">
        <v>0</v>
      </c>
      <c r="HX14" s="267">
        <v>0</v>
      </c>
      <c r="HY14" s="267">
        <v>0</v>
      </c>
      <c r="HZ14" s="267">
        <v>0</v>
      </c>
      <c r="IA14" s="267">
        <v>0</v>
      </c>
      <c r="IB14" s="267">
        <v>0</v>
      </c>
      <c r="IC14" s="267">
        <v>0</v>
      </c>
      <c r="ID14" s="267" t="s">
        <v>176</v>
      </c>
      <c r="IE14" s="267">
        <v>0</v>
      </c>
      <c r="IF14" s="267">
        <v>0</v>
      </c>
      <c r="IG14" s="267">
        <v>0</v>
      </c>
      <c r="IH14" s="267">
        <v>0</v>
      </c>
      <c r="II14" s="267">
        <v>0</v>
      </c>
      <c r="IJ14" s="267">
        <v>0</v>
      </c>
      <c r="IK14" s="267">
        <v>0</v>
      </c>
      <c r="IL14" s="267">
        <v>0</v>
      </c>
      <c r="IM14" s="267">
        <v>0</v>
      </c>
      <c r="IN14" s="267">
        <v>0</v>
      </c>
      <c r="IO14" s="267">
        <v>0</v>
      </c>
      <c r="IP14" s="267">
        <v>0</v>
      </c>
      <c r="IQ14" s="267">
        <v>0</v>
      </c>
      <c r="IR14" s="267" t="s">
        <v>176</v>
      </c>
      <c r="IS14" s="267">
        <v>0</v>
      </c>
      <c r="IT14" s="272">
        <v>0</v>
      </c>
      <c r="IU14" s="272">
        <v>0</v>
      </c>
      <c r="IV14" s="272">
        <v>0</v>
      </c>
      <c r="IW14" s="272">
        <v>0</v>
      </c>
      <c r="IX14" s="272">
        <v>0</v>
      </c>
      <c r="IY14" s="272">
        <v>0</v>
      </c>
      <c r="IZ14" s="267">
        <v>0</v>
      </c>
      <c r="JA14" s="267">
        <v>0</v>
      </c>
      <c r="JB14" s="267">
        <v>0</v>
      </c>
      <c r="JC14" s="267">
        <v>0</v>
      </c>
      <c r="JD14" s="267">
        <v>0</v>
      </c>
      <c r="JE14" s="267">
        <v>0</v>
      </c>
      <c r="JF14" s="267" t="s">
        <v>176</v>
      </c>
      <c r="JG14" s="267">
        <v>0</v>
      </c>
      <c r="JH14" s="267">
        <v>0</v>
      </c>
      <c r="JI14" s="267">
        <v>0</v>
      </c>
      <c r="JJ14" s="267">
        <v>0</v>
      </c>
      <c r="JK14" s="267">
        <v>0</v>
      </c>
      <c r="JL14" s="267">
        <v>0</v>
      </c>
      <c r="JM14" s="267">
        <v>0</v>
      </c>
      <c r="JN14" s="267">
        <v>0</v>
      </c>
      <c r="JO14" s="267">
        <v>0</v>
      </c>
      <c r="JP14" s="267">
        <v>0</v>
      </c>
      <c r="JQ14" s="267">
        <v>0</v>
      </c>
      <c r="JR14" s="267">
        <v>0</v>
      </c>
      <c r="JS14" s="267">
        <v>0</v>
      </c>
      <c r="JT14" s="267" t="s">
        <v>176</v>
      </c>
      <c r="JU14" s="267">
        <v>0</v>
      </c>
      <c r="JV14" s="267">
        <v>0</v>
      </c>
      <c r="JW14" s="267">
        <v>0</v>
      </c>
      <c r="JX14" s="267">
        <v>0</v>
      </c>
      <c r="JY14" s="267">
        <v>0</v>
      </c>
      <c r="JZ14" s="267">
        <v>0</v>
      </c>
      <c r="KA14" s="267">
        <v>0</v>
      </c>
      <c r="KB14" s="267">
        <v>0</v>
      </c>
      <c r="KC14" s="267">
        <v>0</v>
      </c>
      <c r="KD14" s="267">
        <v>0</v>
      </c>
      <c r="KE14" s="267">
        <v>0</v>
      </c>
      <c r="KF14" s="267">
        <v>0</v>
      </c>
      <c r="KG14" s="267">
        <v>0</v>
      </c>
      <c r="KH14" s="266">
        <v>1</v>
      </c>
      <c r="KI14" s="266">
        <v>0.33333333333333331</v>
      </c>
      <c r="KJ14" s="267">
        <v>30</v>
      </c>
      <c r="KK14" s="266">
        <v>0</v>
      </c>
      <c r="KL14" s="266">
        <v>0</v>
      </c>
      <c r="KM14" s="267">
        <v>0</v>
      </c>
      <c r="KN14" s="266">
        <v>0</v>
      </c>
      <c r="KO14" s="266">
        <v>0</v>
      </c>
      <c r="KP14" s="267">
        <v>0</v>
      </c>
      <c r="KQ14" s="266">
        <v>0</v>
      </c>
      <c r="KR14" s="266">
        <v>0</v>
      </c>
      <c r="KS14" s="267">
        <v>0</v>
      </c>
      <c r="KT14" s="266">
        <v>0</v>
      </c>
      <c r="KU14" s="266">
        <v>0</v>
      </c>
      <c r="KV14" s="267">
        <v>0</v>
      </c>
      <c r="KW14" s="266">
        <v>0</v>
      </c>
      <c r="KX14" s="266">
        <v>0</v>
      </c>
      <c r="KY14" s="267">
        <v>0</v>
      </c>
    </row>
    <row r="15" spans="1:311" ht="58">
      <c r="A15" s="263">
        <v>44305</v>
      </c>
      <c r="B15" s="264" t="s">
        <v>210</v>
      </c>
      <c r="C15" s="265">
        <v>0.67777777777777781</v>
      </c>
      <c r="D15" s="265">
        <v>0.49180327868852458</v>
      </c>
      <c r="E15" s="265">
        <v>0.97485165300932464</v>
      </c>
      <c r="F15" s="265">
        <v>0.32495055100310827</v>
      </c>
      <c r="G15" s="266">
        <v>0.33333333333333331</v>
      </c>
      <c r="H15" s="266">
        <v>0.66666666666666663</v>
      </c>
      <c r="I15" s="264" t="s">
        <v>422</v>
      </c>
      <c r="J15" s="267">
        <v>480</v>
      </c>
      <c r="K15" s="267">
        <v>450</v>
      </c>
      <c r="L15" s="267">
        <v>145</v>
      </c>
      <c r="M15" s="267">
        <v>305</v>
      </c>
      <c r="N15" s="267">
        <v>150</v>
      </c>
      <c r="O15" s="267">
        <v>445</v>
      </c>
      <c r="P15" s="267">
        <v>0</v>
      </c>
      <c r="Q15" s="267">
        <v>17250</v>
      </c>
      <c r="R15" s="264" t="s">
        <v>212</v>
      </c>
      <c r="S15" s="267">
        <v>30</v>
      </c>
      <c r="T15" s="267">
        <v>30</v>
      </c>
      <c r="U15" s="267">
        <v>0</v>
      </c>
      <c r="V15" s="267" t="s">
        <v>402</v>
      </c>
      <c r="W15" s="264" t="s">
        <v>176</v>
      </c>
      <c r="X15" s="264">
        <v>0</v>
      </c>
      <c r="Y15" s="267">
        <v>0</v>
      </c>
      <c r="Z15" s="267">
        <v>0</v>
      </c>
      <c r="AA15" s="267">
        <v>0</v>
      </c>
      <c r="AB15" s="267">
        <v>0</v>
      </c>
      <c r="AC15" s="264" t="s">
        <v>176</v>
      </c>
      <c r="AD15" s="264">
        <v>0</v>
      </c>
      <c r="AE15" s="267">
        <v>0</v>
      </c>
      <c r="AF15" s="267">
        <v>0</v>
      </c>
      <c r="AG15" s="267">
        <v>0</v>
      </c>
      <c r="AH15" s="267">
        <v>0</v>
      </c>
      <c r="AI15" s="264" t="s">
        <v>176</v>
      </c>
      <c r="AJ15" s="264">
        <v>0</v>
      </c>
      <c r="AK15" s="267">
        <v>0</v>
      </c>
      <c r="AL15" s="267">
        <v>0</v>
      </c>
      <c r="AM15" s="267">
        <v>0</v>
      </c>
      <c r="AN15" s="267">
        <v>0</v>
      </c>
      <c r="AO15" s="264" t="s">
        <v>176</v>
      </c>
      <c r="AP15" s="264">
        <v>0</v>
      </c>
      <c r="AQ15" s="267">
        <v>0</v>
      </c>
      <c r="AR15" s="267">
        <v>0</v>
      </c>
      <c r="AS15" s="267">
        <v>0</v>
      </c>
      <c r="AT15" s="267">
        <v>0</v>
      </c>
      <c r="AU15" s="264" t="s">
        <v>176</v>
      </c>
      <c r="AV15" s="264">
        <v>0</v>
      </c>
      <c r="AW15" s="267">
        <v>0</v>
      </c>
      <c r="AX15" s="267">
        <v>0</v>
      </c>
      <c r="AY15" s="267">
        <v>0</v>
      </c>
      <c r="AZ15" s="267">
        <v>0</v>
      </c>
      <c r="BA15" s="264" t="s">
        <v>176</v>
      </c>
      <c r="BB15" s="268">
        <v>0</v>
      </c>
      <c r="BC15" s="268">
        <v>0</v>
      </c>
      <c r="BD15" s="268">
        <v>0</v>
      </c>
      <c r="BE15" s="268">
        <v>0</v>
      </c>
      <c r="BF15" s="268">
        <v>0</v>
      </c>
      <c r="BG15" s="269">
        <v>0</v>
      </c>
      <c r="BH15" s="268">
        <v>0</v>
      </c>
      <c r="BI15" s="268">
        <v>0</v>
      </c>
      <c r="BJ15" s="268">
        <v>0</v>
      </c>
      <c r="BK15" s="268">
        <v>0</v>
      </c>
      <c r="BL15" s="268">
        <v>0</v>
      </c>
      <c r="BM15" s="269">
        <v>0</v>
      </c>
      <c r="BN15" s="268">
        <v>0</v>
      </c>
      <c r="BO15" s="268">
        <v>0</v>
      </c>
      <c r="BP15" s="268">
        <v>0</v>
      </c>
      <c r="BQ15" s="268" t="s">
        <v>176</v>
      </c>
      <c r="BR15" s="268">
        <v>0</v>
      </c>
      <c r="BS15" s="269">
        <v>0</v>
      </c>
      <c r="BT15" s="264" t="s">
        <v>402</v>
      </c>
      <c r="BU15" s="267" t="s">
        <v>399</v>
      </c>
      <c r="BV15" s="264">
        <v>0</v>
      </c>
      <c r="BW15" s="264">
        <v>0</v>
      </c>
      <c r="BX15" s="264">
        <v>0</v>
      </c>
      <c r="BY15" s="267" t="s">
        <v>176</v>
      </c>
      <c r="BZ15" s="264">
        <v>0</v>
      </c>
      <c r="CA15" s="264">
        <v>0</v>
      </c>
      <c r="CB15" s="264">
        <v>0</v>
      </c>
      <c r="CC15" s="267" t="s">
        <v>176</v>
      </c>
      <c r="CD15" s="264">
        <v>0</v>
      </c>
      <c r="CE15" s="264">
        <v>0</v>
      </c>
      <c r="CF15" s="264">
        <v>0</v>
      </c>
      <c r="CG15" s="267" t="s">
        <v>176</v>
      </c>
      <c r="CH15" s="264">
        <v>0</v>
      </c>
      <c r="CI15" s="264">
        <v>0</v>
      </c>
      <c r="CJ15" s="264">
        <v>0</v>
      </c>
      <c r="CK15" s="267" t="s">
        <v>176</v>
      </c>
      <c r="CL15" s="264">
        <v>0</v>
      </c>
      <c r="CM15" s="264">
        <v>0</v>
      </c>
      <c r="CN15" s="264">
        <v>0</v>
      </c>
      <c r="CO15" s="267" t="s">
        <v>176</v>
      </c>
      <c r="CP15" s="264">
        <v>0</v>
      </c>
      <c r="CQ15" s="264">
        <v>0</v>
      </c>
      <c r="CR15" s="264" t="s">
        <v>218</v>
      </c>
      <c r="CS15" s="267">
        <v>35</v>
      </c>
      <c r="CT15" s="264" t="s">
        <v>428</v>
      </c>
      <c r="CU15" s="264" t="s">
        <v>402</v>
      </c>
      <c r="CV15" s="264" t="s">
        <v>438</v>
      </c>
      <c r="CW15" s="270" t="s">
        <v>218</v>
      </c>
      <c r="CX15" s="267">
        <v>90</v>
      </c>
      <c r="CY15" s="264" t="s">
        <v>464</v>
      </c>
      <c r="CZ15" s="264" t="s">
        <v>402</v>
      </c>
      <c r="DA15" s="264" t="s">
        <v>438</v>
      </c>
      <c r="DB15" s="270" t="s">
        <v>251</v>
      </c>
      <c r="DC15" s="267">
        <v>20</v>
      </c>
      <c r="DD15" s="264" t="s">
        <v>465</v>
      </c>
      <c r="DE15" s="264" t="s">
        <v>402</v>
      </c>
      <c r="DF15" s="264" t="s">
        <v>466</v>
      </c>
      <c r="DG15" s="264">
        <v>0</v>
      </c>
      <c r="DH15" s="267">
        <v>0</v>
      </c>
      <c r="DI15" s="264">
        <v>0</v>
      </c>
      <c r="DJ15" s="264">
        <v>0</v>
      </c>
      <c r="DK15" s="264">
        <v>0</v>
      </c>
      <c r="DL15" s="264">
        <v>0</v>
      </c>
      <c r="DM15" s="267">
        <v>0</v>
      </c>
      <c r="DN15" s="264">
        <v>0</v>
      </c>
      <c r="DO15" s="264">
        <v>0</v>
      </c>
      <c r="DP15" s="264">
        <v>0</v>
      </c>
      <c r="DQ15" s="264">
        <v>0</v>
      </c>
      <c r="DR15" s="267">
        <v>0</v>
      </c>
      <c r="DS15" s="264">
        <v>0</v>
      </c>
      <c r="DT15" s="264">
        <v>0</v>
      </c>
      <c r="DU15" s="264">
        <v>0</v>
      </c>
      <c r="DV15" s="264">
        <v>0</v>
      </c>
      <c r="DW15" s="267">
        <v>0</v>
      </c>
      <c r="DX15" s="264">
        <v>0</v>
      </c>
      <c r="DY15" s="264">
        <v>0</v>
      </c>
      <c r="DZ15" s="264">
        <v>0</v>
      </c>
      <c r="EA15" s="264">
        <v>0</v>
      </c>
      <c r="EB15" s="267">
        <v>0</v>
      </c>
      <c r="EC15" s="264">
        <v>0</v>
      </c>
      <c r="ED15" s="264">
        <v>0</v>
      </c>
      <c r="EE15" s="264">
        <v>0</v>
      </c>
      <c r="EF15" s="264">
        <v>0</v>
      </c>
      <c r="EG15" s="267">
        <v>0</v>
      </c>
      <c r="EH15" s="264">
        <v>0</v>
      </c>
      <c r="EI15" s="264">
        <v>0</v>
      </c>
      <c r="EJ15" s="264">
        <v>0</v>
      </c>
      <c r="EK15" s="264">
        <v>0</v>
      </c>
      <c r="EL15" s="267">
        <v>0</v>
      </c>
      <c r="EM15" s="264">
        <v>0</v>
      </c>
      <c r="EN15" s="264">
        <v>0</v>
      </c>
      <c r="EO15" s="264">
        <v>0</v>
      </c>
      <c r="EP15" s="264">
        <v>0</v>
      </c>
      <c r="EQ15" s="267">
        <v>0</v>
      </c>
      <c r="ER15" s="264">
        <v>0</v>
      </c>
      <c r="ES15" s="264">
        <v>0</v>
      </c>
      <c r="ET15" s="264">
        <v>0</v>
      </c>
      <c r="EU15" s="264">
        <v>0</v>
      </c>
      <c r="EV15" s="267">
        <v>0</v>
      </c>
      <c r="EW15" s="264">
        <v>0</v>
      </c>
      <c r="EX15" s="264">
        <v>0</v>
      </c>
      <c r="EY15" s="264">
        <v>0</v>
      </c>
      <c r="EZ15" s="264" t="s">
        <v>402</v>
      </c>
      <c r="FA15" s="266">
        <v>0.33333333333333331</v>
      </c>
      <c r="FB15" s="266">
        <v>0.66666666666666663</v>
      </c>
      <c r="FC15" s="267">
        <v>145</v>
      </c>
      <c r="FD15" s="267">
        <v>30</v>
      </c>
      <c r="FE15" s="267">
        <v>345</v>
      </c>
      <c r="FF15" s="267">
        <v>305</v>
      </c>
      <c r="FG15" s="267">
        <v>150</v>
      </c>
      <c r="FH15" s="264">
        <v>0</v>
      </c>
      <c r="FI15" s="264" t="s">
        <v>176</v>
      </c>
      <c r="FJ15" s="266">
        <v>0</v>
      </c>
      <c r="FK15" s="266">
        <v>0</v>
      </c>
      <c r="FL15" s="267">
        <v>0</v>
      </c>
      <c r="FM15" s="267">
        <v>0</v>
      </c>
      <c r="FN15" s="267">
        <v>0</v>
      </c>
      <c r="FO15" s="267" t="s">
        <v>176</v>
      </c>
      <c r="FP15" s="267">
        <v>0</v>
      </c>
      <c r="FQ15" s="264">
        <v>0</v>
      </c>
      <c r="FR15" s="264" t="s">
        <v>176</v>
      </c>
      <c r="FS15" s="266">
        <v>0</v>
      </c>
      <c r="FT15" s="266">
        <v>0</v>
      </c>
      <c r="FU15" s="267">
        <v>0</v>
      </c>
      <c r="FV15" s="267">
        <v>0</v>
      </c>
      <c r="FW15" s="267">
        <v>0</v>
      </c>
      <c r="FX15" s="267" t="s">
        <v>176</v>
      </c>
      <c r="FY15" s="267">
        <v>0</v>
      </c>
      <c r="FZ15" s="264">
        <v>0</v>
      </c>
      <c r="GA15" s="264" t="s">
        <v>176</v>
      </c>
      <c r="GB15" s="266">
        <v>0</v>
      </c>
      <c r="GC15" s="266">
        <v>0</v>
      </c>
      <c r="GD15" s="267">
        <v>0</v>
      </c>
      <c r="GE15" s="267">
        <v>0</v>
      </c>
      <c r="GF15" s="267">
        <v>0</v>
      </c>
      <c r="GG15" s="267" t="s">
        <v>176</v>
      </c>
      <c r="GH15" s="267">
        <v>0</v>
      </c>
      <c r="GI15" s="264">
        <v>0</v>
      </c>
      <c r="GJ15" s="264" t="s">
        <v>176</v>
      </c>
      <c r="GK15" s="266">
        <v>0</v>
      </c>
      <c r="GL15" s="266">
        <v>0</v>
      </c>
      <c r="GM15" s="267">
        <v>0</v>
      </c>
      <c r="GN15" s="267">
        <v>0</v>
      </c>
      <c r="GO15" s="267">
        <v>0</v>
      </c>
      <c r="GP15" s="267" t="s">
        <v>176</v>
      </c>
      <c r="GQ15" s="267">
        <v>0</v>
      </c>
      <c r="GR15" s="264">
        <v>0</v>
      </c>
      <c r="GS15" s="264" t="s">
        <v>176</v>
      </c>
      <c r="GT15" s="266">
        <v>0</v>
      </c>
      <c r="GU15" s="266">
        <v>0</v>
      </c>
      <c r="GV15" s="267">
        <v>0</v>
      </c>
      <c r="GW15" s="267">
        <v>0</v>
      </c>
      <c r="GX15" s="267">
        <v>0</v>
      </c>
      <c r="GY15" s="267" t="s">
        <v>176</v>
      </c>
      <c r="GZ15" s="267">
        <v>0</v>
      </c>
      <c r="HA15" s="264">
        <v>0</v>
      </c>
      <c r="HB15" s="264" t="s">
        <v>402</v>
      </c>
      <c r="HC15" s="264">
        <v>17250</v>
      </c>
      <c r="HD15" s="267">
        <v>17250</v>
      </c>
      <c r="HE15" s="267">
        <v>0</v>
      </c>
      <c r="HF15" s="267">
        <v>17250</v>
      </c>
      <c r="HG15" s="267">
        <v>170</v>
      </c>
      <c r="HH15" s="267">
        <v>17250</v>
      </c>
      <c r="HI15" s="267">
        <v>175</v>
      </c>
      <c r="HJ15" s="267">
        <v>345</v>
      </c>
      <c r="HK15" s="267">
        <v>2</v>
      </c>
      <c r="HL15" s="267">
        <v>345</v>
      </c>
      <c r="HM15" s="267">
        <v>0</v>
      </c>
      <c r="HN15" s="267">
        <v>345</v>
      </c>
      <c r="HO15" s="267">
        <v>0</v>
      </c>
      <c r="HP15" s="267" t="s">
        <v>176</v>
      </c>
      <c r="HQ15" s="267">
        <v>0</v>
      </c>
      <c r="HR15" s="267">
        <v>0</v>
      </c>
      <c r="HS15" s="267">
        <v>0</v>
      </c>
      <c r="HT15" s="267">
        <v>0</v>
      </c>
      <c r="HU15" s="267">
        <v>0</v>
      </c>
      <c r="HV15" s="267">
        <v>0</v>
      </c>
      <c r="HW15" s="267">
        <v>0</v>
      </c>
      <c r="HX15" s="267">
        <v>0</v>
      </c>
      <c r="HY15" s="267">
        <v>0</v>
      </c>
      <c r="HZ15" s="267">
        <v>0</v>
      </c>
      <c r="IA15" s="267">
        <v>0</v>
      </c>
      <c r="IB15" s="267">
        <v>0</v>
      </c>
      <c r="IC15" s="267">
        <v>0</v>
      </c>
      <c r="ID15" s="267" t="s">
        <v>176</v>
      </c>
      <c r="IE15" s="267">
        <v>0</v>
      </c>
      <c r="IF15" s="267">
        <v>0</v>
      </c>
      <c r="IG15" s="267">
        <v>0</v>
      </c>
      <c r="IH15" s="267">
        <v>0</v>
      </c>
      <c r="II15" s="267">
        <v>0</v>
      </c>
      <c r="IJ15" s="267">
        <v>0</v>
      </c>
      <c r="IK15" s="267">
        <v>0</v>
      </c>
      <c r="IL15" s="267">
        <v>0</v>
      </c>
      <c r="IM15" s="267">
        <v>0</v>
      </c>
      <c r="IN15" s="267">
        <v>0</v>
      </c>
      <c r="IO15" s="267">
        <v>0</v>
      </c>
      <c r="IP15" s="267">
        <v>0</v>
      </c>
      <c r="IQ15" s="267">
        <v>0</v>
      </c>
      <c r="IR15" s="267" t="s">
        <v>176</v>
      </c>
      <c r="IS15" s="267">
        <v>0</v>
      </c>
      <c r="IT15" s="272">
        <v>0</v>
      </c>
      <c r="IU15" s="272">
        <v>0</v>
      </c>
      <c r="IV15" s="272">
        <v>0</v>
      </c>
      <c r="IW15" s="272">
        <v>0</v>
      </c>
      <c r="IX15" s="272">
        <v>0</v>
      </c>
      <c r="IY15" s="272">
        <v>0</v>
      </c>
      <c r="IZ15" s="267">
        <v>0</v>
      </c>
      <c r="JA15" s="267">
        <v>0</v>
      </c>
      <c r="JB15" s="267">
        <v>0</v>
      </c>
      <c r="JC15" s="267">
        <v>0</v>
      </c>
      <c r="JD15" s="267">
        <v>0</v>
      </c>
      <c r="JE15" s="267">
        <v>0</v>
      </c>
      <c r="JF15" s="267" t="s">
        <v>176</v>
      </c>
      <c r="JG15" s="267">
        <v>0</v>
      </c>
      <c r="JH15" s="267">
        <v>0</v>
      </c>
      <c r="JI15" s="267">
        <v>0</v>
      </c>
      <c r="JJ15" s="267">
        <v>0</v>
      </c>
      <c r="JK15" s="267">
        <v>0</v>
      </c>
      <c r="JL15" s="267">
        <v>0</v>
      </c>
      <c r="JM15" s="267">
        <v>0</v>
      </c>
      <c r="JN15" s="267">
        <v>0</v>
      </c>
      <c r="JO15" s="267">
        <v>0</v>
      </c>
      <c r="JP15" s="267">
        <v>0</v>
      </c>
      <c r="JQ15" s="267">
        <v>0</v>
      </c>
      <c r="JR15" s="267">
        <v>0</v>
      </c>
      <c r="JS15" s="267">
        <v>0</v>
      </c>
      <c r="JT15" s="267" t="s">
        <v>176</v>
      </c>
      <c r="JU15" s="267">
        <v>0</v>
      </c>
      <c r="JV15" s="267">
        <v>0</v>
      </c>
      <c r="JW15" s="267">
        <v>0</v>
      </c>
      <c r="JX15" s="267">
        <v>0</v>
      </c>
      <c r="JY15" s="267">
        <v>0</v>
      </c>
      <c r="JZ15" s="267">
        <v>0</v>
      </c>
      <c r="KA15" s="267">
        <v>0</v>
      </c>
      <c r="KB15" s="267">
        <v>0</v>
      </c>
      <c r="KC15" s="267">
        <v>0</v>
      </c>
      <c r="KD15" s="267">
        <v>0</v>
      </c>
      <c r="KE15" s="267">
        <v>0</v>
      </c>
      <c r="KF15" s="267">
        <v>0</v>
      </c>
      <c r="KG15" s="267">
        <v>0</v>
      </c>
      <c r="KH15" s="266">
        <v>0.33333333333333331</v>
      </c>
      <c r="KI15" s="266">
        <v>0.66666666666666663</v>
      </c>
      <c r="KJ15" s="267">
        <v>30</v>
      </c>
      <c r="KK15" s="266">
        <v>0</v>
      </c>
      <c r="KL15" s="266">
        <v>0</v>
      </c>
      <c r="KM15" s="267">
        <v>0</v>
      </c>
      <c r="KN15" s="266">
        <v>0</v>
      </c>
      <c r="KO15" s="266">
        <v>0</v>
      </c>
      <c r="KP15" s="267">
        <v>0</v>
      </c>
      <c r="KQ15" s="266">
        <v>0</v>
      </c>
      <c r="KR15" s="266">
        <v>0</v>
      </c>
      <c r="KS15" s="267">
        <v>0</v>
      </c>
      <c r="KT15" s="266">
        <v>0</v>
      </c>
      <c r="KU15" s="266">
        <v>0</v>
      </c>
      <c r="KV15" s="267">
        <v>0</v>
      </c>
      <c r="KW15" s="266">
        <v>0</v>
      </c>
      <c r="KX15" s="266">
        <v>0</v>
      </c>
      <c r="KY15" s="267">
        <v>0</v>
      </c>
    </row>
    <row r="16" spans="1:311" ht="58">
      <c r="A16" s="263">
        <v>44306</v>
      </c>
      <c r="B16" s="264" t="s">
        <v>180</v>
      </c>
      <c r="C16" s="265">
        <v>0.82222222222222219</v>
      </c>
      <c r="D16" s="265">
        <v>0.24454054054054056</v>
      </c>
      <c r="E16" s="265">
        <v>0.97248495270851243</v>
      </c>
      <c r="F16" s="265">
        <v>0.19553430782459158</v>
      </c>
      <c r="G16" s="266">
        <v>0.66666666666666663</v>
      </c>
      <c r="H16" s="266">
        <v>1</v>
      </c>
      <c r="I16" s="264" t="s">
        <v>421</v>
      </c>
      <c r="J16" s="267">
        <v>480</v>
      </c>
      <c r="K16" s="267">
        <v>450</v>
      </c>
      <c r="L16" s="267">
        <v>80</v>
      </c>
      <c r="M16" s="267">
        <v>370</v>
      </c>
      <c r="N16" s="267">
        <v>90.48</v>
      </c>
      <c r="O16" s="267">
        <v>256</v>
      </c>
      <c r="P16" s="267">
        <v>0</v>
      </c>
      <c r="Q16" s="267">
        <v>9048</v>
      </c>
      <c r="R16" s="264" t="s">
        <v>212</v>
      </c>
      <c r="S16" s="267">
        <v>30</v>
      </c>
      <c r="T16" s="267">
        <v>30</v>
      </c>
      <c r="U16" s="267">
        <v>0</v>
      </c>
      <c r="V16" s="267" t="s">
        <v>405</v>
      </c>
      <c r="W16" s="264" t="s">
        <v>176</v>
      </c>
      <c r="X16" s="264">
        <v>0</v>
      </c>
      <c r="Y16" s="267">
        <v>0</v>
      </c>
      <c r="Z16" s="267">
        <v>0</v>
      </c>
      <c r="AA16" s="267">
        <v>0</v>
      </c>
      <c r="AB16" s="267">
        <v>0</v>
      </c>
      <c r="AC16" s="264" t="s">
        <v>176</v>
      </c>
      <c r="AD16" s="264">
        <v>0</v>
      </c>
      <c r="AE16" s="267">
        <v>0</v>
      </c>
      <c r="AF16" s="267">
        <v>0</v>
      </c>
      <c r="AG16" s="267">
        <v>0</v>
      </c>
      <c r="AH16" s="267">
        <v>0</v>
      </c>
      <c r="AI16" s="264" t="s">
        <v>176</v>
      </c>
      <c r="AJ16" s="264">
        <v>0</v>
      </c>
      <c r="AK16" s="267">
        <v>0</v>
      </c>
      <c r="AL16" s="267">
        <v>0</v>
      </c>
      <c r="AM16" s="267">
        <v>0</v>
      </c>
      <c r="AN16" s="267">
        <v>0</v>
      </c>
      <c r="AO16" s="264" t="s">
        <v>176</v>
      </c>
      <c r="AP16" s="264">
        <v>0</v>
      </c>
      <c r="AQ16" s="267">
        <v>0</v>
      </c>
      <c r="AR16" s="267">
        <v>0</v>
      </c>
      <c r="AS16" s="267">
        <v>0</v>
      </c>
      <c r="AT16" s="267">
        <v>0</v>
      </c>
      <c r="AU16" s="264" t="s">
        <v>176</v>
      </c>
      <c r="AV16" s="264">
        <v>0</v>
      </c>
      <c r="AW16" s="267">
        <v>0</v>
      </c>
      <c r="AX16" s="267">
        <v>0</v>
      </c>
      <c r="AY16" s="267">
        <v>0</v>
      </c>
      <c r="AZ16" s="267">
        <v>0</v>
      </c>
      <c r="BA16" s="264" t="s">
        <v>176</v>
      </c>
      <c r="BB16" s="268">
        <v>0</v>
      </c>
      <c r="BC16" s="268">
        <v>0</v>
      </c>
      <c r="BD16" s="268">
        <v>0</v>
      </c>
      <c r="BE16" s="268">
        <v>0</v>
      </c>
      <c r="BF16" s="268">
        <v>0</v>
      </c>
      <c r="BG16" s="269">
        <v>0</v>
      </c>
      <c r="BH16" s="268">
        <v>0</v>
      </c>
      <c r="BI16" s="268">
        <v>0</v>
      </c>
      <c r="BJ16" s="268">
        <v>0</v>
      </c>
      <c r="BK16" s="268">
        <v>0</v>
      </c>
      <c r="BL16" s="268">
        <v>0</v>
      </c>
      <c r="BM16" s="269">
        <v>0</v>
      </c>
      <c r="BN16" s="268">
        <v>0</v>
      </c>
      <c r="BO16" s="268">
        <v>0</v>
      </c>
      <c r="BP16" s="268">
        <v>0</v>
      </c>
      <c r="BQ16" s="268" t="s">
        <v>176</v>
      </c>
      <c r="BR16" s="268">
        <v>0</v>
      </c>
      <c r="BS16" s="269">
        <v>0</v>
      </c>
      <c r="BT16" s="264" t="s">
        <v>405</v>
      </c>
      <c r="BU16" s="267" t="s">
        <v>406</v>
      </c>
      <c r="BV16" s="264">
        <v>0</v>
      </c>
      <c r="BW16" s="264">
        <v>0</v>
      </c>
      <c r="BX16" s="264">
        <v>0</v>
      </c>
      <c r="BY16" s="267" t="s">
        <v>176</v>
      </c>
      <c r="BZ16" s="264">
        <v>0</v>
      </c>
      <c r="CA16" s="264">
        <v>0</v>
      </c>
      <c r="CB16" s="264">
        <v>0</v>
      </c>
      <c r="CC16" s="267" t="s">
        <v>176</v>
      </c>
      <c r="CD16" s="264">
        <v>0</v>
      </c>
      <c r="CE16" s="264">
        <v>0</v>
      </c>
      <c r="CF16" s="264">
        <v>0</v>
      </c>
      <c r="CG16" s="267" t="s">
        <v>176</v>
      </c>
      <c r="CH16" s="264">
        <v>0</v>
      </c>
      <c r="CI16" s="264">
        <v>0</v>
      </c>
      <c r="CJ16" s="264">
        <v>0</v>
      </c>
      <c r="CK16" s="267" t="s">
        <v>176</v>
      </c>
      <c r="CL16" s="264">
        <v>0</v>
      </c>
      <c r="CM16" s="264">
        <v>0</v>
      </c>
      <c r="CN16" s="264">
        <v>0</v>
      </c>
      <c r="CO16" s="267" t="s">
        <v>176</v>
      </c>
      <c r="CP16" s="264">
        <v>0</v>
      </c>
      <c r="CQ16" s="264">
        <v>0</v>
      </c>
      <c r="CR16" s="264" t="s">
        <v>218</v>
      </c>
      <c r="CS16" s="267">
        <v>20</v>
      </c>
      <c r="CT16" s="264" t="s">
        <v>467</v>
      </c>
      <c r="CU16" s="264" t="s">
        <v>405</v>
      </c>
      <c r="CV16" s="264" t="s">
        <v>438</v>
      </c>
      <c r="CW16" s="270" t="s">
        <v>219</v>
      </c>
      <c r="CX16" s="267">
        <v>60</v>
      </c>
      <c r="CY16" s="264" t="s">
        <v>469</v>
      </c>
      <c r="CZ16" s="264" t="s">
        <v>405</v>
      </c>
      <c r="DA16" s="264" t="s">
        <v>468</v>
      </c>
      <c r="DB16" s="270">
        <v>0</v>
      </c>
      <c r="DC16" s="267">
        <v>0</v>
      </c>
      <c r="DD16" s="264">
        <v>0</v>
      </c>
      <c r="DE16" s="264">
        <v>0</v>
      </c>
      <c r="DF16" s="264">
        <v>0</v>
      </c>
      <c r="DG16" s="264">
        <v>0</v>
      </c>
      <c r="DH16" s="267">
        <v>0</v>
      </c>
      <c r="DI16" s="264">
        <v>0</v>
      </c>
      <c r="DJ16" s="264">
        <v>0</v>
      </c>
      <c r="DK16" s="264">
        <v>0</v>
      </c>
      <c r="DL16" s="264">
        <v>0</v>
      </c>
      <c r="DM16" s="267">
        <v>0</v>
      </c>
      <c r="DN16" s="264">
        <v>0</v>
      </c>
      <c r="DO16" s="264">
        <v>0</v>
      </c>
      <c r="DP16" s="264">
        <v>0</v>
      </c>
      <c r="DQ16" s="264">
        <v>0</v>
      </c>
      <c r="DR16" s="267">
        <v>0</v>
      </c>
      <c r="DS16" s="264">
        <v>0</v>
      </c>
      <c r="DT16" s="264">
        <v>0</v>
      </c>
      <c r="DU16" s="264">
        <v>0</v>
      </c>
      <c r="DV16" s="264">
        <v>0</v>
      </c>
      <c r="DW16" s="267">
        <v>0</v>
      </c>
      <c r="DX16" s="264">
        <v>0</v>
      </c>
      <c r="DY16" s="264">
        <v>0</v>
      </c>
      <c r="DZ16" s="264">
        <v>0</v>
      </c>
      <c r="EA16" s="264">
        <v>0</v>
      </c>
      <c r="EB16" s="267">
        <v>0</v>
      </c>
      <c r="EC16" s="264">
        <v>0</v>
      </c>
      <c r="ED16" s="264">
        <v>0</v>
      </c>
      <c r="EE16" s="264">
        <v>0</v>
      </c>
      <c r="EF16" s="264">
        <v>0</v>
      </c>
      <c r="EG16" s="267">
        <v>0</v>
      </c>
      <c r="EH16" s="264">
        <v>0</v>
      </c>
      <c r="EI16" s="264">
        <v>0</v>
      </c>
      <c r="EJ16" s="264">
        <v>0</v>
      </c>
      <c r="EK16" s="264">
        <v>0</v>
      </c>
      <c r="EL16" s="267">
        <v>0</v>
      </c>
      <c r="EM16" s="264">
        <v>0</v>
      </c>
      <c r="EN16" s="264">
        <v>0</v>
      </c>
      <c r="EO16" s="264">
        <v>0</v>
      </c>
      <c r="EP16" s="264">
        <v>0</v>
      </c>
      <c r="EQ16" s="267">
        <v>0</v>
      </c>
      <c r="ER16" s="264">
        <v>0</v>
      </c>
      <c r="ES16" s="264">
        <v>0</v>
      </c>
      <c r="ET16" s="264">
        <v>0</v>
      </c>
      <c r="EU16" s="264">
        <v>0</v>
      </c>
      <c r="EV16" s="267">
        <v>0</v>
      </c>
      <c r="EW16" s="264">
        <v>0</v>
      </c>
      <c r="EX16" s="264">
        <v>0</v>
      </c>
      <c r="EY16" s="264">
        <v>0</v>
      </c>
      <c r="EZ16" s="264" t="s">
        <v>405</v>
      </c>
      <c r="FA16" s="266">
        <v>0.66666666666666663</v>
      </c>
      <c r="FB16" s="266">
        <v>1</v>
      </c>
      <c r="FC16" s="267">
        <v>80</v>
      </c>
      <c r="FD16" s="267">
        <v>30</v>
      </c>
      <c r="FE16" s="267">
        <v>377</v>
      </c>
      <c r="FF16" s="267">
        <v>370.00000000000011</v>
      </c>
      <c r="FG16" s="267">
        <v>90.48</v>
      </c>
      <c r="FH16" s="264">
        <v>0</v>
      </c>
      <c r="FI16" s="264" t="s">
        <v>176</v>
      </c>
      <c r="FJ16" s="266">
        <v>0</v>
      </c>
      <c r="FK16" s="266">
        <v>0</v>
      </c>
      <c r="FL16" s="267">
        <v>0</v>
      </c>
      <c r="FM16" s="267">
        <v>0</v>
      </c>
      <c r="FN16" s="267">
        <v>0</v>
      </c>
      <c r="FO16" s="267" t="s">
        <v>176</v>
      </c>
      <c r="FP16" s="267">
        <v>0</v>
      </c>
      <c r="FQ16" s="264">
        <v>0</v>
      </c>
      <c r="FR16" s="264" t="s">
        <v>176</v>
      </c>
      <c r="FS16" s="266">
        <v>0</v>
      </c>
      <c r="FT16" s="266">
        <v>0</v>
      </c>
      <c r="FU16" s="267">
        <v>0</v>
      </c>
      <c r="FV16" s="267">
        <v>0</v>
      </c>
      <c r="FW16" s="267">
        <v>0</v>
      </c>
      <c r="FX16" s="267" t="s">
        <v>176</v>
      </c>
      <c r="FY16" s="267">
        <v>0</v>
      </c>
      <c r="FZ16" s="264">
        <v>0</v>
      </c>
      <c r="GA16" s="264" t="s">
        <v>176</v>
      </c>
      <c r="GB16" s="266">
        <v>0</v>
      </c>
      <c r="GC16" s="266">
        <v>0</v>
      </c>
      <c r="GD16" s="267">
        <v>0</v>
      </c>
      <c r="GE16" s="267">
        <v>0</v>
      </c>
      <c r="GF16" s="267">
        <v>0</v>
      </c>
      <c r="GG16" s="267" t="s">
        <v>176</v>
      </c>
      <c r="GH16" s="267">
        <v>0</v>
      </c>
      <c r="GI16" s="264">
        <v>0</v>
      </c>
      <c r="GJ16" s="264" t="s">
        <v>176</v>
      </c>
      <c r="GK16" s="266">
        <v>0</v>
      </c>
      <c r="GL16" s="266">
        <v>0</v>
      </c>
      <c r="GM16" s="267">
        <v>0</v>
      </c>
      <c r="GN16" s="267">
        <v>0</v>
      </c>
      <c r="GO16" s="267">
        <v>0</v>
      </c>
      <c r="GP16" s="267" t="s">
        <v>176</v>
      </c>
      <c r="GQ16" s="267">
        <v>0</v>
      </c>
      <c r="GR16" s="264">
        <v>0</v>
      </c>
      <c r="GS16" s="264" t="s">
        <v>176</v>
      </c>
      <c r="GT16" s="266">
        <v>0</v>
      </c>
      <c r="GU16" s="266">
        <v>0</v>
      </c>
      <c r="GV16" s="267">
        <v>0</v>
      </c>
      <c r="GW16" s="267">
        <v>0</v>
      </c>
      <c r="GX16" s="267">
        <v>0</v>
      </c>
      <c r="GY16" s="267" t="s">
        <v>176</v>
      </c>
      <c r="GZ16" s="267">
        <v>0</v>
      </c>
      <c r="HA16" s="264">
        <v>0</v>
      </c>
      <c r="HB16" s="264" t="s">
        <v>405</v>
      </c>
      <c r="HC16" s="264">
        <v>9048</v>
      </c>
      <c r="HD16" s="267">
        <v>9048</v>
      </c>
      <c r="HE16" s="267">
        <v>0</v>
      </c>
      <c r="HF16" s="267">
        <v>9048</v>
      </c>
      <c r="HG16" s="267">
        <v>103</v>
      </c>
      <c r="HH16" s="267">
        <v>9048</v>
      </c>
      <c r="HI16" s="267">
        <v>105</v>
      </c>
      <c r="HJ16" s="267">
        <v>377</v>
      </c>
      <c r="HK16" s="267">
        <v>2</v>
      </c>
      <c r="HL16" s="267">
        <v>377</v>
      </c>
      <c r="HM16" s="267">
        <v>0</v>
      </c>
      <c r="HN16" s="267">
        <v>377</v>
      </c>
      <c r="HO16" s="267">
        <v>0</v>
      </c>
      <c r="HP16" s="267" t="s">
        <v>176</v>
      </c>
      <c r="HQ16" s="267">
        <v>0</v>
      </c>
      <c r="HR16" s="267">
        <v>0</v>
      </c>
      <c r="HS16" s="267">
        <v>0</v>
      </c>
      <c r="HT16" s="267">
        <v>0</v>
      </c>
      <c r="HU16" s="267">
        <v>0</v>
      </c>
      <c r="HV16" s="267">
        <v>0</v>
      </c>
      <c r="HW16" s="267">
        <v>0</v>
      </c>
      <c r="HX16" s="267">
        <v>0</v>
      </c>
      <c r="HY16" s="267">
        <v>0</v>
      </c>
      <c r="HZ16" s="267">
        <v>0</v>
      </c>
      <c r="IA16" s="267">
        <v>0</v>
      </c>
      <c r="IB16" s="267">
        <v>0</v>
      </c>
      <c r="IC16" s="267">
        <v>0</v>
      </c>
      <c r="ID16" s="267" t="s">
        <v>176</v>
      </c>
      <c r="IE16" s="267">
        <v>0</v>
      </c>
      <c r="IF16" s="267">
        <v>0</v>
      </c>
      <c r="IG16" s="267">
        <v>0</v>
      </c>
      <c r="IH16" s="267">
        <v>0</v>
      </c>
      <c r="II16" s="267">
        <v>0</v>
      </c>
      <c r="IJ16" s="267">
        <v>0</v>
      </c>
      <c r="IK16" s="267">
        <v>0</v>
      </c>
      <c r="IL16" s="267">
        <v>0</v>
      </c>
      <c r="IM16" s="267">
        <v>0</v>
      </c>
      <c r="IN16" s="267">
        <v>0</v>
      </c>
      <c r="IO16" s="267">
        <v>0</v>
      </c>
      <c r="IP16" s="267">
        <v>0</v>
      </c>
      <c r="IQ16" s="267">
        <v>0</v>
      </c>
      <c r="IR16" s="267" t="s">
        <v>176</v>
      </c>
      <c r="IS16" s="267">
        <v>0</v>
      </c>
      <c r="IT16" s="272">
        <v>0</v>
      </c>
      <c r="IU16" s="272">
        <v>0</v>
      </c>
      <c r="IV16" s="272">
        <v>0</v>
      </c>
      <c r="IW16" s="272">
        <v>0</v>
      </c>
      <c r="IX16" s="272">
        <v>0</v>
      </c>
      <c r="IY16" s="272">
        <v>0</v>
      </c>
      <c r="IZ16" s="267">
        <v>0</v>
      </c>
      <c r="JA16" s="267">
        <v>0</v>
      </c>
      <c r="JB16" s="267">
        <v>0</v>
      </c>
      <c r="JC16" s="267">
        <v>0</v>
      </c>
      <c r="JD16" s="267">
        <v>0</v>
      </c>
      <c r="JE16" s="267">
        <v>0</v>
      </c>
      <c r="JF16" s="267" t="s">
        <v>176</v>
      </c>
      <c r="JG16" s="267">
        <v>0</v>
      </c>
      <c r="JH16" s="267">
        <v>0</v>
      </c>
      <c r="JI16" s="267">
        <v>0</v>
      </c>
      <c r="JJ16" s="267">
        <v>0</v>
      </c>
      <c r="JK16" s="267">
        <v>0</v>
      </c>
      <c r="JL16" s="267">
        <v>0</v>
      </c>
      <c r="JM16" s="267">
        <v>0</v>
      </c>
      <c r="JN16" s="267">
        <v>0</v>
      </c>
      <c r="JO16" s="267">
        <v>0</v>
      </c>
      <c r="JP16" s="267">
        <v>0</v>
      </c>
      <c r="JQ16" s="267">
        <v>0</v>
      </c>
      <c r="JR16" s="267">
        <v>0</v>
      </c>
      <c r="JS16" s="267">
        <v>0</v>
      </c>
      <c r="JT16" s="267" t="s">
        <v>176</v>
      </c>
      <c r="JU16" s="267">
        <v>0</v>
      </c>
      <c r="JV16" s="267">
        <v>0</v>
      </c>
      <c r="JW16" s="267">
        <v>0</v>
      </c>
      <c r="JX16" s="267">
        <v>0</v>
      </c>
      <c r="JY16" s="267">
        <v>0</v>
      </c>
      <c r="JZ16" s="267">
        <v>0</v>
      </c>
      <c r="KA16" s="267">
        <v>0</v>
      </c>
      <c r="KB16" s="267">
        <v>0</v>
      </c>
      <c r="KC16" s="267">
        <v>0</v>
      </c>
      <c r="KD16" s="267">
        <v>0</v>
      </c>
      <c r="KE16" s="267">
        <v>0</v>
      </c>
      <c r="KF16" s="267">
        <v>0</v>
      </c>
      <c r="KG16" s="267">
        <v>0</v>
      </c>
      <c r="KH16" s="266">
        <v>0.66666666666666663</v>
      </c>
      <c r="KI16" s="266">
        <v>1</v>
      </c>
      <c r="KJ16" s="267">
        <v>30</v>
      </c>
      <c r="KK16" s="266">
        <v>0</v>
      </c>
      <c r="KL16" s="266">
        <v>0</v>
      </c>
      <c r="KM16" s="267">
        <v>0</v>
      </c>
      <c r="KN16" s="266">
        <v>0</v>
      </c>
      <c r="KO16" s="266">
        <v>0</v>
      </c>
      <c r="KP16" s="267">
        <v>0</v>
      </c>
      <c r="KQ16" s="266">
        <v>0</v>
      </c>
      <c r="KR16" s="266">
        <v>0</v>
      </c>
      <c r="KS16" s="267">
        <v>0</v>
      </c>
      <c r="KT16" s="266">
        <v>0</v>
      </c>
      <c r="KU16" s="266">
        <v>0</v>
      </c>
      <c r="KV16" s="267">
        <v>0</v>
      </c>
      <c r="KW16" s="266">
        <v>0</v>
      </c>
      <c r="KX16" s="266">
        <v>0</v>
      </c>
      <c r="KY16" s="267">
        <v>0</v>
      </c>
    </row>
    <row r="17" spans="1:311" ht="58">
      <c r="A17" s="263">
        <v>44306</v>
      </c>
      <c r="B17" s="264" t="s">
        <v>211</v>
      </c>
      <c r="C17" s="265">
        <v>0.9</v>
      </c>
      <c r="D17" s="265">
        <v>0.26014814814814813</v>
      </c>
      <c r="E17" s="265">
        <v>0.98137108792846495</v>
      </c>
      <c r="F17" s="265">
        <v>0.22977168405365125</v>
      </c>
      <c r="G17" s="266">
        <v>1</v>
      </c>
      <c r="H17" s="266">
        <v>0.33333333333333331</v>
      </c>
      <c r="I17" s="264" t="s">
        <v>421</v>
      </c>
      <c r="J17" s="267">
        <v>480</v>
      </c>
      <c r="K17" s="267">
        <v>450</v>
      </c>
      <c r="L17" s="267">
        <v>45</v>
      </c>
      <c r="M17" s="267">
        <v>405</v>
      </c>
      <c r="N17" s="267">
        <v>105.36</v>
      </c>
      <c r="O17" s="267">
        <v>200</v>
      </c>
      <c r="P17" s="267">
        <v>0</v>
      </c>
      <c r="Q17" s="267">
        <v>10536</v>
      </c>
      <c r="R17" s="264" t="s">
        <v>212</v>
      </c>
      <c r="S17" s="267">
        <v>30</v>
      </c>
      <c r="T17" s="267">
        <v>30</v>
      </c>
      <c r="U17" s="267">
        <v>0</v>
      </c>
      <c r="V17" s="267" t="s">
        <v>405</v>
      </c>
      <c r="W17" s="264" t="s">
        <v>176</v>
      </c>
      <c r="X17" s="264">
        <v>0</v>
      </c>
      <c r="Y17" s="267">
        <v>0</v>
      </c>
      <c r="Z17" s="267">
        <v>0</v>
      </c>
      <c r="AA17" s="267">
        <v>0</v>
      </c>
      <c r="AB17" s="267">
        <v>0</v>
      </c>
      <c r="AC17" s="264" t="s">
        <v>176</v>
      </c>
      <c r="AD17" s="264">
        <v>0</v>
      </c>
      <c r="AE17" s="267">
        <v>0</v>
      </c>
      <c r="AF17" s="267">
        <v>0</v>
      </c>
      <c r="AG17" s="267">
        <v>0</v>
      </c>
      <c r="AH17" s="267">
        <v>0</v>
      </c>
      <c r="AI17" s="264" t="s">
        <v>176</v>
      </c>
      <c r="AJ17" s="264">
        <v>0</v>
      </c>
      <c r="AK17" s="267">
        <v>0</v>
      </c>
      <c r="AL17" s="267">
        <v>0</v>
      </c>
      <c r="AM17" s="267">
        <v>0</v>
      </c>
      <c r="AN17" s="267">
        <v>0</v>
      </c>
      <c r="AO17" s="264" t="s">
        <v>176</v>
      </c>
      <c r="AP17" s="264">
        <v>0</v>
      </c>
      <c r="AQ17" s="267">
        <v>0</v>
      </c>
      <c r="AR17" s="267">
        <v>0</v>
      </c>
      <c r="AS17" s="267">
        <v>0</v>
      </c>
      <c r="AT17" s="267">
        <v>0</v>
      </c>
      <c r="AU17" s="264" t="s">
        <v>176</v>
      </c>
      <c r="AV17" s="264">
        <v>0</v>
      </c>
      <c r="AW17" s="267">
        <v>0</v>
      </c>
      <c r="AX17" s="267">
        <v>0</v>
      </c>
      <c r="AY17" s="267">
        <v>0</v>
      </c>
      <c r="AZ17" s="267">
        <v>0</v>
      </c>
      <c r="BA17" s="264" t="s">
        <v>176</v>
      </c>
      <c r="BB17" s="268">
        <v>0</v>
      </c>
      <c r="BC17" s="268">
        <v>0</v>
      </c>
      <c r="BD17" s="268">
        <v>0</v>
      </c>
      <c r="BE17" s="268">
        <v>0</v>
      </c>
      <c r="BF17" s="268">
        <v>0</v>
      </c>
      <c r="BG17" s="269">
        <v>0</v>
      </c>
      <c r="BH17" s="268">
        <v>0</v>
      </c>
      <c r="BI17" s="268">
        <v>0</v>
      </c>
      <c r="BJ17" s="268">
        <v>0</v>
      </c>
      <c r="BK17" s="268">
        <v>0</v>
      </c>
      <c r="BL17" s="268">
        <v>0</v>
      </c>
      <c r="BM17" s="269">
        <v>0</v>
      </c>
      <c r="BN17" s="268">
        <v>0</v>
      </c>
      <c r="BO17" s="268">
        <v>0</v>
      </c>
      <c r="BP17" s="268">
        <v>0</v>
      </c>
      <c r="BQ17" s="268" t="s">
        <v>176</v>
      </c>
      <c r="BR17" s="268">
        <v>0</v>
      </c>
      <c r="BS17" s="269">
        <v>0</v>
      </c>
      <c r="BT17" s="264" t="s">
        <v>405</v>
      </c>
      <c r="BU17" s="267" t="s">
        <v>406</v>
      </c>
      <c r="BV17" s="264">
        <v>0</v>
      </c>
      <c r="BW17" s="264">
        <v>0</v>
      </c>
      <c r="BX17" s="264">
        <v>0</v>
      </c>
      <c r="BY17" s="267" t="s">
        <v>176</v>
      </c>
      <c r="BZ17" s="264">
        <v>0</v>
      </c>
      <c r="CA17" s="264">
        <v>0</v>
      </c>
      <c r="CB17" s="264">
        <v>0</v>
      </c>
      <c r="CC17" s="267" t="s">
        <v>176</v>
      </c>
      <c r="CD17" s="264">
        <v>0</v>
      </c>
      <c r="CE17" s="264">
        <v>0</v>
      </c>
      <c r="CF17" s="264">
        <v>0</v>
      </c>
      <c r="CG17" s="267" t="s">
        <v>176</v>
      </c>
      <c r="CH17" s="264">
        <v>0</v>
      </c>
      <c r="CI17" s="264">
        <v>0</v>
      </c>
      <c r="CJ17" s="264">
        <v>0</v>
      </c>
      <c r="CK17" s="267" t="s">
        <v>176</v>
      </c>
      <c r="CL17" s="264">
        <v>0</v>
      </c>
      <c r="CM17" s="264">
        <v>0</v>
      </c>
      <c r="CN17" s="264">
        <v>0</v>
      </c>
      <c r="CO17" s="267" t="s">
        <v>176</v>
      </c>
      <c r="CP17" s="264">
        <v>0</v>
      </c>
      <c r="CQ17" s="264">
        <v>0</v>
      </c>
      <c r="CR17" s="264" t="s">
        <v>218</v>
      </c>
      <c r="CS17" s="267">
        <v>20</v>
      </c>
      <c r="CT17" s="264" t="s">
        <v>437</v>
      </c>
      <c r="CU17" s="264" t="s">
        <v>405</v>
      </c>
      <c r="CV17" s="264" t="s">
        <v>438</v>
      </c>
      <c r="CW17" s="270" t="s">
        <v>251</v>
      </c>
      <c r="CX17" s="267">
        <v>25</v>
      </c>
      <c r="CY17" s="264" t="s">
        <v>470</v>
      </c>
      <c r="CZ17" s="264" t="s">
        <v>405</v>
      </c>
      <c r="DA17" s="264" t="s">
        <v>471</v>
      </c>
      <c r="DB17" s="270">
        <v>0</v>
      </c>
      <c r="DC17" s="267">
        <v>0</v>
      </c>
      <c r="DD17" s="264">
        <v>0</v>
      </c>
      <c r="DE17" s="264">
        <v>0</v>
      </c>
      <c r="DF17" s="264">
        <v>0</v>
      </c>
      <c r="DG17" s="264">
        <v>0</v>
      </c>
      <c r="DH17" s="267">
        <v>0</v>
      </c>
      <c r="DI17" s="264">
        <v>0</v>
      </c>
      <c r="DJ17" s="264">
        <v>0</v>
      </c>
      <c r="DK17" s="264">
        <v>0</v>
      </c>
      <c r="DL17" s="264">
        <v>0</v>
      </c>
      <c r="DM17" s="267">
        <v>0</v>
      </c>
      <c r="DN17" s="264">
        <v>0</v>
      </c>
      <c r="DO17" s="264">
        <v>0</v>
      </c>
      <c r="DP17" s="264">
        <v>0</v>
      </c>
      <c r="DQ17" s="264">
        <v>0</v>
      </c>
      <c r="DR17" s="267">
        <v>0</v>
      </c>
      <c r="DS17" s="264">
        <v>0</v>
      </c>
      <c r="DT17" s="264">
        <v>0</v>
      </c>
      <c r="DU17" s="264">
        <v>0</v>
      </c>
      <c r="DV17" s="264">
        <v>0</v>
      </c>
      <c r="DW17" s="267">
        <v>0</v>
      </c>
      <c r="DX17" s="264">
        <v>0</v>
      </c>
      <c r="DY17" s="264">
        <v>0</v>
      </c>
      <c r="DZ17" s="264">
        <v>0</v>
      </c>
      <c r="EA17" s="264">
        <v>0</v>
      </c>
      <c r="EB17" s="267">
        <v>0</v>
      </c>
      <c r="EC17" s="264">
        <v>0</v>
      </c>
      <c r="ED17" s="264">
        <v>0</v>
      </c>
      <c r="EE17" s="264">
        <v>0</v>
      </c>
      <c r="EF17" s="264">
        <v>0</v>
      </c>
      <c r="EG17" s="267">
        <v>0</v>
      </c>
      <c r="EH17" s="264">
        <v>0</v>
      </c>
      <c r="EI17" s="264">
        <v>0</v>
      </c>
      <c r="EJ17" s="264">
        <v>0</v>
      </c>
      <c r="EK17" s="264">
        <v>0</v>
      </c>
      <c r="EL17" s="267">
        <v>0</v>
      </c>
      <c r="EM17" s="264">
        <v>0</v>
      </c>
      <c r="EN17" s="264">
        <v>0</v>
      </c>
      <c r="EO17" s="264">
        <v>0</v>
      </c>
      <c r="EP17" s="264">
        <v>0</v>
      </c>
      <c r="EQ17" s="267">
        <v>0</v>
      </c>
      <c r="ER17" s="264">
        <v>0</v>
      </c>
      <c r="ES17" s="264">
        <v>0</v>
      </c>
      <c r="ET17" s="264">
        <v>0</v>
      </c>
      <c r="EU17" s="264">
        <v>0</v>
      </c>
      <c r="EV17" s="267">
        <v>0</v>
      </c>
      <c r="EW17" s="264">
        <v>0</v>
      </c>
      <c r="EX17" s="264">
        <v>0</v>
      </c>
      <c r="EY17" s="264">
        <v>0</v>
      </c>
      <c r="EZ17" s="264" t="s">
        <v>405</v>
      </c>
      <c r="FA17" s="266">
        <v>1</v>
      </c>
      <c r="FB17" s="266">
        <v>0.33333333333333331</v>
      </c>
      <c r="FC17" s="267">
        <v>45</v>
      </c>
      <c r="FD17" s="267">
        <v>30</v>
      </c>
      <c r="FE17" s="267">
        <v>439</v>
      </c>
      <c r="FF17" s="267">
        <v>405</v>
      </c>
      <c r="FG17" s="267">
        <v>105.36</v>
      </c>
      <c r="FH17" s="264">
        <v>0</v>
      </c>
      <c r="FI17" s="264" t="s">
        <v>176</v>
      </c>
      <c r="FJ17" s="266">
        <v>0</v>
      </c>
      <c r="FK17" s="266">
        <v>0</v>
      </c>
      <c r="FL17" s="267">
        <v>0</v>
      </c>
      <c r="FM17" s="267">
        <v>0</v>
      </c>
      <c r="FN17" s="267">
        <v>0</v>
      </c>
      <c r="FO17" s="267" t="s">
        <v>176</v>
      </c>
      <c r="FP17" s="267">
        <v>0</v>
      </c>
      <c r="FQ17" s="264">
        <v>0</v>
      </c>
      <c r="FR17" s="264" t="s">
        <v>176</v>
      </c>
      <c r="FS17" s="266">
        <v>0</v>
      </c>
      <c r="FT17" s="266">
        <v>0</v>
      </c>
      <c r="FU17" s="267">
        <v>0</v>
      </c>
      <c r="FV17" s="267">
        <v>0</v>
      </c>
      <c r="FW17" s="267">
        <v>0</v>
      </c>
      <c r="FX17" s="267" t="s">
        <v>176</v>
      </c>
      <c r="FY17" s="267">
        <v>0</v>
      </c>
      <c r="FZ17" s="264">
        <v>0</v>
      </c>
      <c r="GA17" s="264" t="s">
        <v>176</v>
      </c>
      <c r="GB17" s="266">
        <v>0</v>
      </c>
      <c r="GC17" s="266">
        <v>0</v>
      </c>
      <c r="GD17" s="267">
        <v>0</v>
      </c>
      <c r="GE17" s="267">
        <v>0</v>
      </c>
      <c r="GF17" s="267">
        <v>0</v>
      </c>
      <c r="GG17" s="267" t="s">
        <v>176</v>
      </c>
      <c r="GH17" s="267">
        <v>0</v>
      </c>
      <c r="GI17" s="264">
        <v>0</v>
      </c>
      <c r="GJ17" s="264" t="s">
        <v>176</v>
      </c>
      <c r="GK17" s="266">
        <v>0</v>
      </c>
      <c r="GL17" s="266">
        <v>0</v>
      </c>
      <c r="GM17" s="267">
        <v>0</v>
      </c>
      <c r="GN17" s="267">
        <v>0</v>
      </c>
      <c r="GO17" s="267">
        <v>0</v>
      </c>
      <c r="GP17" s="267" t="s">
        <v>176</v>
      </c>
      <c r="GQ17" s="267">
        <v>0</v>
      </c>
      <c r="GR17" s="264">
        <v>0</v>
      </c>
      <c r="GS17" s="264" t="s">
        <v>176</v>
      </c>
      <c r="GT17" s="266">
        <v>0</v>
      </c>
      <c r="GU17" s="266">
        <v>0</v>
      </c>
      <c r="GV17" s="267">
        <v>0</v>
      </c>
      <c r="GW17" s="267">
        <v>0</v>
      </c>
      <c r="GX17" s="267">
        <v>0</v>
      </c>
      <c r="GY17" s="267" t="s">
        <v>176</v>
      </c>
      <c r="GZ17" s="267">
        <v>0</v>
      </c>
      <c r="HA17" s="264">
        <v>0</v>
      </c>
      <c r="HB17" s="264" t="s">
        <v>405</v>
      </c>
      <c r="HC17" s="264">
        <v>10536</v>
      </c>
      <c r="HD17" s="267">
        <v>10536</v>
      </c>
      <c r="HE17" s="267">
        <v>0</v>
      </c>
      <c r="HF17" s="267">
        <v>10536</v>
      </c>
      <c r="HG17" s="267">
        <v>75</v>
      </c>
      <c r="HH17" s="267">
        <v>10536</v>
      </c>
      <c r="HI17" s="267">
        <v>77</v>
      </c>
      <c r="HJ17" s="267">
        <v>439</v>
      </c>
      <c r="HK17" s="267">
        <v>2</v>
      </c>
      <c r="HL17" s="267">
        <v>439</v>
      </c>
      <c r="HM17" s="267">
        <v>0</v>
      </c>
      <c r="HN17" s="267">
        <v>439</v>
      </c>
      <c r="HO17" s="267">
        <v>0</v>
      </c>
      <c r="HP17" s="267" t="s">
        <v>176</v>
      </c>
      <c r="HQ17" s="267">
        <v>0</v>
      </c>
      <c r="HR17" s="267">
        <v>0</v>
      </c>
      <c r="HS17" s="267">
        <v>0</v>
      </c>
      <c r="HT17" s="267">
        <v>0</v>
      </c>
      <c r="HU17" s="267">
        <v>0</v>
      </c>
      <c r="HV17" s="267">
        <v>0</v>
      </c>
      <c r="HW17" s="267">
        <v>0</v>
      </c>
      <c r="HX17" s="267">
        <v>0</v>
      </c>
      <c r="HY17" s="267">
        <v>0</v>
      </c>
      <c r="HZ17" s="267">
        <v>0</v>
      </c>
      <c r="IA17" s="267">
        <v>0</v>
      </c>
      <c r="IB17" s="267">
        <v>0</v>
      </c>
      <c r="IC17" s="267">
        <v>0</v>
      </c>
      <c r="ID17" s="267" t="s">
        <v>176</v>
      </c>
      <c r="IE17" s="267">
        <v>0</v>
      </c>
      <c r="IF17" s="267">
        <v>0</v>
      </c>
      <c r="IG17" s="267">
        <v>0</v>
      </c>
      <c r="IH17" s="267">
        <v>0</v>
      </c>
      <c r="II17" s="267">
        <v>0</v>
      </c>
      <c r="IJ17" s="267">
        <v>0</v>
      </c>
      <c r="IK17" s="267">
        <v>0</v>
      </c>
      <c r="IL17" s="267">
        <v>0</v>
      </c>
      <c r="IM17" s="267">
        <v>0</v>
      </c>
      <c r="IN17" s="267">
        <v>0</v>
      </c>
      <c r="IO17" s="267">
        <v>0</v>
      </c>
      <c r="IP17" s="267">
        <v>0</v>
      </c>
      <c r="IQ17" s="267">
        <v>0</v>
      </c>
      <c r="IR17" s="267" t="s">
        <v>176</v>
      </c>
      <c r="IS17" s="267">
        <v>0</v>
      </c>
      <c r="IT17" s="272">
        <v>0</v>
      </c>
      <c r="IU17" s="272">
        <v>0</v>
      </c>
      <c r="IV17" s="272">
        <v>0</v>
      </c>
      <c r="IW17" s="272">
        <v>0</v>
      </c>
      <c r="IX17" s="272">
        <v>0</v>
      </c>
      <c r="IY17" s="272">
        <v>0</v>
      </c>
      <c r="IZ17" s="267">
        <v>0</v>
      </c>
      <c r="JA17" s="267">
        <v>0</v>
      </c>
      <c r="JB17" s="267">
        <v>0</v>
      </c>
      <c r="JC17" s="267">
        <v>0</v>
      </c>
      <c r="JD17" s="267">
        <v>0</v>
      </c>
      <c r="JE17" s="267">
        <v>0</v>
      </c>
      <c r="JF17" s="267" t="s">
        <v>176</v>
      </c>
      <c r="JG17" s="267">
        <v>0</v>
      </c>
      <c r="JH17" s="267">
        <v>0</v>
      </c>
      <c r="JI17" s="267">
        <v>0</v>
      </c>
      <c r="JJ17" s="267">
        <v>0</v>
      </c>
      <c r="JK17" s="267">
        <v>0</v>
      </c>
      <c r="JL17" s="267">
        <v>0</v>
      </c>
      <c r="JM17" s="267">
        <v>0</v>
      </c>
      <c r="JN17" s="267">
        <v>0</v>
      </c>
      <c r="JO17" s="267">
        <v>0</v>
      </c>
      <c r="JP17" s="267">
        <v>0</v>
      </c>
      <c r="JQ17" s="267">
        <v>0</v>
      </c>
      <c r="JR17" s="267">
        <v>0</v>
      </c>
      <c r="JS17" s="267">
        <v>0</v>
      </c>
      <c r="JT17" s="267" t="s">
        <v>176</v>
      </c>
      <c r="JU17" s="267">
        <v>0</v>
      </c>
      <c r="JV17" s="267">
        <v>0</v>
      </c>
      <c r="JW17" s="267">
        <v>0</v>
      </c>
      <c r="JX17" s="267">
        <v>0</v>
      </c>
      <c r="JY17" s="267">
        <v>0</v>
      </c>
      <c r="JZ17" s="267">
        <v>0</v>
      </c>
      <c r="KA17" s="267">
        <v>0</v>
      </c>
      <c r="KB17" s="267">
        <v>0</v>
      </c>
      <c r="KC17" s="267">
        <v>0</v>
      </c>
      <c r="KD17" s="267">
        <v>0</v>
      </c>
      <c r="KE17" s="267">
        <v>0</v>
      </c>
      <c r="KF17" s="267">
        <v>0</v>
      </c>
      <c r="KG17" s="267">
        <v>0</v>
      </c>
      <c r="KH17" s="266">
        <v>1</v>
      </c>
      <c r="KI17" s="266">
        <v>0.33333333333333331</v>
      </c>
      <c r="KJ17" s="267">
        <v>30</v>
      </c>
      <c r="KK17" s="266">
        <v>0</v>
      </c>
      <c r="KL17" s="266">
        <v>0</v>
      </c>
      <c r="KM17" s="267">
        <v>0</v>
      </c>
      <c r="KN17" s="266">
        <v>0</v>
      </c>
      <c r="KO17" s="266">
        <v>0</v>
      </c>
      <c r="KP17" s="267">
        <v>0</v>
      </c>
      <c r="KQ17" s="266">
        <v>0</v>
      </c>
      <c r="KR17" s="266">
        <v>0</v>
      </c>
      <c r="KS17" s="267">
        <v>0</v>
      </c>
      <c r="KT17" s="266">
        <v>0</v>
      </c>
      <c r="KU17" s="266">
        <v>0</v>
      </c>
      <c r="KV17" s="267">
        <v>0</v>
      </c>
      <c r="KW17" s="266">
        <v>0</v>
      </c>
      <c r="KX17" s="266">
        <v>0</v>
      </c>
      <c r="KY17" s="267">
        <v>0</v>
      </c>
    </row>
    <row r="18" spans="1:311" ht="58">
      <c r="A18" s="263">
        <v>44305</v>
      </c>
      <c r="B18" s="264" t="s">
        <v>211</v>
      </c>
      <c r="C18" s="265">
        <v>0.6</v>
      </c>
      <c r="D18" s="265">
        <v>0.18933333333333333</v>
      </c>
      <c r="E18" s="265">
        <v>0.96635160680529297</v>
      </c>
      <c r="F18" s="265">
        <v>0.10977754253308128</v>
      </c>
      <c r="G18" s="266">
        <v>1</v>
      </c>
      <c r="H18" s="266">
        <v>0.33333333333333331</v>
      </c>
      <c r="I18" s="264" t="s">
        <v>421</v>
      </c>
      <c r="J18" s="267">
        <v>480</v>
      </c>
      <c r="K18" s="267">
        <v>450</v>
      </c>
      <c r="L18" s="267">
        <v>180</v>
      </c>
      <c r="M18" s="267">
        <v>270</v>
      </c>
      <c r="N18" s="267">
        <v>51.12</v>
      </c>
      <c r="O18" s="267">
        <v>178</v>
      </c>
      <c r="P18" s="267">
        <v>0</v>
      </c>
      <c r="Q18" s="267">
        <v>5112</v>
      </c>
      <c r="R18" s="264" t="s">
        <v>212</v>
      </c>
      <c r="S18" s="267">
        <v>30</v>
      </c>
      <c r="T18" s="267">
        <v>30</v>
      </c>
      <c r="U18" s="267">
        <v>0</v>
      </c>
      <c r="V18" s="267" t="s">
        <v>405</v>
      </c>
      <c r="W18" s="264" t="s">
        <v>176</v>
      </c>
      <c r="X18" s="264">
        <v>0</v>
      </c>
      <c r="Y18" s="267">
        <v>0</v>
      </c>
      <c r="Z18" s="267">
        <v>0</v>
      </c>
      <c r="AA18" s="267">
        <v>0</v>
      </c>
      <c r="AB18" s="267">
        <v>0</v>
      </c>
      <c r="AC18" s="264" t="s">
        <v>176</v>
      </c>
      <c r="AD18" s="264">
        <v>0</v>
      </c>
      <c r="AE18" s="267">
        <v>0</v>
      </c>
      <c r="AF18" s="267">
        <v>0</v>
      </c>
      <c r="AG18" s="267">
        <v>0</v>
      </c>
      <c r="AH18" s="267">
        <v>0</v>
      </c>
      <c r="AI18" s="264" t="s">
        <v>176</v>
      </c>
      <c r="AJ18" s="264">
        <v>0</v>
      </c>
      <c r="AK18" s="267">
        <v>0</v>
      </c>
      <c r="AL18" s="267">
        <v>0</v>
      </c>
      <c r="AM18" s="267">
        <v>0</v>
      </c>
      <c r="AN18" s="267">
        <v>0</v>
      </c>
      <c r="AO18" s="264" t="s">
        <v>176</v>
      </c>
      <c r="AP18" s="264">
        <v>0</v>
      </c>
      <c r="AQ18" s="267">
        <v>0</v>
      </c>
      <c r="AR18" s="267">
        <v>0</v>
      </c>
      <c r="AS18" s="267">
        <v>0</v>
      </c>
      <c r="AT18" s="267">
        <v>0</v>
      </c>
      <c r="AU18" s="264" t="s">
        <v>176</v>
      </c>
      <c r="AV18" s="264">
        <v>0</v>
      </c>
      <c r="AW18" s="267">
        <v>0</v>
      </c>
      <c r="AX18" s="267">
        <v>0</v>
      </c>
      <c r="AY18" s="267">
        <v>0</v>
      </c>
      <c r="AZ18" s="267">
        <v>0</v>
      </c>
      <c r="BA18" s="264" t="s">
        <v>176</v>
      </c>
      <c r="BB18" s="268">
        <v>0</v>
      </c>
      <c r="BC18" s="268">
        <v>0</v>
      </c>
      <c r="BD18" s="268">
        <v>0</v>
      </c>
      <c r="BE18" s="268">
        <v>0</v>
      </c>
      <c r="BF18" s="268">
        <v>0</v>
      </c>
      <c r="BG18" s="269">
        <v>0</v>
      </c>
      <c r="BH18" s="268">
        <v>0</v>
      </c>
      <c r="BI18" s="268">
        <v>0</v>
      </c>
      <c r="BJ18" s="268">
        <v>0</v>
      </c>
      <c r="BK18" s="268">
        <v>0</v>
      </c>
      <c r="BL18" s="268">
        <v>0</v>
      </c>
      <c r="BM18" s="269">
        <v>0</v>
      </c>
      <c r="BN18" s="268">
        <v>0</v>
      </c>
      <c r="BO18" s="268">
        <v>0</v>
      </c>
      <c r="BP18" s="268">
        <v>0</v>
      </c>
      <c r="BQ18" s="268" t="s">
        <v>176</v>
      </c>
      <c r="BR18" s="268">
        <v>0</v>
      </c>
      <c r="BS18" s="269">
        <v>0</v>
      </c>
      <c r="BT18" s="264" t="s">
        <v>405</v>
      </c>
      <c r="BU18" s="267" t="s">
        <v>406</v>
      </c>
      <c r="BV18" s="264">
        <v>0</v>
      </c>
      <c r="BW18" s="264">
        <v>0</v>
      </c>
      <c r="BX18" s="264">
        <v>0</v>
      </c>
      <c r="BY18" s="267" t="s">
        <v>176</v>
      </c>
      <c r="BZ18" s="264">
        <v>0</v>
      </c>
      <c r="CA18" s="264">
        <v>0</v>
      </c>
      <c r="CB18" s="264">
        <v>0</v>
      </c>
      <c r="CC18" s="267" t="s">
        <v>176</v>
      </c>
      <c r="CD18" s="264">
        <v>0</v>
      </c>
      <c r="CE18" s="264">
        <v>0</v>
      </c>
      <c r="CF18" s="264">
        <v>0</v>
      </c>
      <c r="CG18" s="267" t="s">
        <v>176</v>
      </c>
      <c r="CH18" s="264">
        <v>0</v>
      </c>
      <c r="CI18" s="264">
        <v>0</v>
      </c>
      <c r="CJ18" s="264">
        <v>0</v>
      </c>
      <c r="CK18" s="267" t="s">
        <v>176</v>
      </c>
      <c r="CL18" s="264">
        <v>0</v>
      </c>
      <c r="CM18" s="264">
        <v>0</v>
      </c>
      <c r="CN18" s="264">
        <v>0</v>
      </c>
      <c r="CO18" s="267" t="s">
        <v>176</v>
      </c>
      <c r="CP18" s="264">
        <v>0</v>
      </c>
      <c r="CQ18" s="264">
        <v>0</v>
      </c>
      <c r="CR18" s="264" t="s">
        <v>252</v>
      </c>
      <c r="CS18" s="267">
        <v>60</v>
      </c>
      <c r="CT18" s="264" t="s">
        <v>472</v>
      </c>
      <c r="CU18" s="264" t="s">
        <v>405</v>
      </c>
      <c r="CV18" s="264">
        <v>0</v>
      </c>
      <c r="CW18" s="270" t="s">
        <v>237</v>
      </c>
      <c r="CX18" s="267">
        <v>120</v>
      </c>
      <c r="CY18" s="264" t="s">
        <v>473</v>
      </c>
      <c r="CZ18" s="264" t="s">
        <v>405</v>
      </c>
      <c r="DA18" s="264" t="s">
        <v>474</v>
      </c>
      <c r="DB18" s="270">
        <v>0</v>
      </c>
      <c r="DC18" s="267">
        <v>0</v>
      </c>
      <c r="DD18" s="264">
        <v>0</v>
      </c>
      <c r="DE18" s="264">
        <v>0</v>
      </c>
      <c r="DF18" s="264">
        <v>0</v>
      </c>
      <c r="DG18" s="264">
        <v>0</v>
      </c>
      <c r="DH18" s="267">
        <v>0</v>
      </c>
      <c r="DI18" s="264">
        <v>0</v>
      </c>
      <c r="DJ18" s="264">
        <v>0</v>
      </c>
      <c r="DK18" s="264">
        <v>0</v>
      </c>
      <c r="DL18" s="264">
        <v>0</v>
      </c>
      <c r="DM18" s="267">
        <v>0</v>
      </c>
      <c r="DN18" s="264">
        <v>0</v>
      </c>
      <c r="DO18" s="264">
        <v>0</v>
      </c>
      <c r="DP18" s="264">
        <v>0</v>
      </c>
      <c r="DQ18" s="264">
        <v>0</v>
      </c>
      <c r="DR18" s="267">
        <v>0</v>
      </c>
      <c r="DS18" s="264">
        <v>0</v>
      </c>
      <c r="DT18" s="264">
        <v>0</v>
      </c>
      <c r="DU18" s="264">
        <v>0</v>
      </c>
      <c r="DV18" s="264">
        <v>0</v>
      </c>
      <c r="DW18" s="267">
        <v>0</v>
      </c>
      <c r="DX18" s="264">
        <v>0</v>
      </c>
      <c r="DY18" s="264">
        <v>0</v>
      </c>
      <c r="DZ18" s="264">
        <v>0</v>
      </c>
      <c r="EA18" s="264">
        <v>0</v>
      </c>
      <c r="EB18" s="267">
        <v>0</v>
      </c>
      <c r="EC18" s="264">
        <v>0</v>
      </c>
      <c r="ED18" s="264">
        <v>0</v>
      </c>
      <c r="EE18" s="264">
        <v>0</v>
      </c>
      <c r="EF18" s="264">
        <v>0</v>
      </c>
      <c r="EG18" s="267">
        <v>0</v>
      </c>
      <c r="EH18" s="264">
        <v>0</v>
      </c>
      <c r="EI18" s="264">
        <v>0</v>
      </c>
      <c r="EJ18" s="264">
        <v>0</v>
      </c>
      <c r="EK18" s="264">
        <v>0</v>
      </c>
      <c r="EL18" s="267">
        <v>0</v>
      </c>
      <c r="EM18" s="264">
        <v>0</v>
      </c>
      <c r="EN18" s="264">
        <v>0</v>
      </c>
      <c r="EO18" s="264">
        <v>0</v>
      </c>
      <c r="EP18" s="264">
        <v>0</v>
      </c>
      <c r="EQ18" s="267">
        <v>0</v>
      </c>
      <c r="ER18" s="264">
        <v>0</v>
      </c>
      <c r="ES18" s="264">
        <v>0</v>
      </c>
      <c r="ET18" s="264">
        <v>0</v>
      </c>
      <c r="EU18" s="264">
        <v>0</v>
      </c>
      <c r="EV18" s="267">
        <v>0</v>
      </c>
      <c r="EW18" s="264">
        <v>0</v>
      </c>
      <c r="EX18" s="264">
        <v>0</v>
      </c>
      <c r="EY18" s="264">
        <v>0</v>
      </c>
      <c r="EZ18" s="264" t="s">
        <v>405</v>
      </c>
      <c r="FA18" s="266">
        <v>1</v>
      </c>
      <c r="FB18" s="266">
        <v>0.33333333333333331</v>
      </c>
      <c r="FC18" s="267">
        <v>180</v>
      </c>
      <c r="FD18" s="267">
        <v>30</v>
      </c>
      <c r="FE18" s="267">
        <v>213</v>
      </c>
      <c r="FF18" s="267">
        <v>270</v>
      </c>
      <c r="FG18" s="267">
        <v>51.12</v>
      </c>
      <c r="FH18" s="264">
        <v>0</v>
      </c>
      <c r="FI18" s="264" t="s">
        <v>176</v>
      </c>
      <c r="FJ18" s="266">
        <v>0</v>
      </c>
      <c r="FK18" s="266">
        <v>0</v>
      </c>
      <c r="FL18" s="267">
        <v>0</v>
      </c>
      <c r="FM18" s="267">
        <v>0</v>
      </c>
      <c r="FN18" s="267">
        <v>0</v>
      </c>
      <c r="FO18" s="267" t="s">
        <v>176</v>
      </c>
      <c r="FP18" s="267">
        <v>0</v>
      </c>
      <c r="FQ18" s="264">
        <v>0</v>
      </c>
      <c r="FR18" s="264" t="s">
        <v>176</v>
      </c>
      <c r="FS18" s="266">
        <v>0</v>
      </c>
      <c r="FT18" s="266">
        <v>0</v>
      </c>
      <c r="FU18" s="267">
        <v>0</v>
      </c>
      <c r="FV18" s="267">
        <v>0</v>
      </c>
      <c r="FW18" s="267">
        <v>0</v>
      </c>
      <c r="FX18" s="267" t="s">
        <v>176</v>
      </c>
      <c r="FY18" s="267">
        <v>0</v>
      </c>
      <c r="FZ18" s="264">
        <v>0</v>
      </c>
      <c r="GA18" s="264" t="s">
        <v>176</v>
      </c>
      <c r="GB18" s="266">
        <v>0</v>
      </c>
      <c r="GC18" s="266">
        <v>0</v>
      </c>
      <c r="GD18" s="267">
        <v>0</v>
      </c>
      <c r="GE18" s="267">
        <v>0</v>
      </c>
      <c r="GF18" s="267">
        <v>0</v>
      </c>
      <c r="GG18" s="267" t="s">
        <v>176</v>
      </c>
      <c r="GH18" s="267">
        <v>0</v>
      </c>
      <c r="GI18" s="264">
        <v>0</v>
      </c>
      <c r="GJ18" s="264" t="s">
        <v>176</v>
      </c>
      <c r="GK18" s="266">
        <v>0</v>
      </c>
      <c r="GL18" s="266">
        <v>0</v>
      </c>
      <c r="GM18" s="267">
        <v>0</v>
      </c>
      <c r="GN18" s="267">
        <v>0</v>
      </c>
      <c r="GO18" s="267">
        <v>0</v>
      </c>
      <c r="GP18" s="267" t="s">
        <v>176</v>
      </c>
      <c r="GQ18" s="267">
        <v>0</v>
      </c>
      <c r="GR18" s="264">
        <v>0</v>
      </c>
      <c r="GS18" s="264" t="s">
        <v>176</v>
      </c>
      <c r="GT18" s="266">
        <v>0</v>
      </c>
      <c r="GU18" s="266">
        <v>0</v>
      </c>
      <c r="GV18" s="267">
        <v>0</v>
      </c>
      <c r="GW18" s="267">
        <v>0</v>
      </c>
      <c r="GX18" s="267">
        <v>0</v>
      </c>
      <c r="GY18" s="267" t="s">
        <v>176</v>
      </c>
      <c r="GZ18" s="267">
        <v>0</v>
      </c>
      <c r="HA18" s="264">
        <v>0</v>
      </c>
      <c r="HB18" s="264" t="s">
        <v>405</v>
      </c>
      <c r="HC18" s="264">
        <v>5112</v>
      </c>
      <c r="HD18" s="267">
        <v>5112</v>
      </c>
      <c r="HE18" s="267">
        <v>0</v>
      </c>
      <c r="HF18" s="267">
        <v>5112</v>
      </c>
      <c r="HG18" s="267">
        <v>100</v>
      </c>
      <c r="HH18" s="267">
        <v>5112</v>
      </c>
      <c r="HI18" s="267">
        <v>30</v>
      </c>
      <c r="HJ18" s="267">
        <v>213</v>
      </c>
      <c r="HK18" s="267">
        <v>2</v>
      </c>
      <c r="HL18" s="267">
        <v>213</v>
      </c>
      <c r="HM18" s="267">
        <v>0</v>
      </c>
      <c r="HN18" s="267">
        <v>213</v>
      </c>
      <c r="HO18" s="267">
        <v>0</v>
      </c>
      <c r="HP18" s="267" t="s">
        <v>176</v>
      </c>
      <c r="HQ18" s="267">
        <v>0</v>
      </c>
      <c r="HR18" s="267">
        <v>0</v>
      </c>
      <c r="HS18" s="267">
        <v>0</v>
      </c>
      <c r="HT18" s="267">
        <v>0</v>
      </c>
      <c r="HU18" s="267">
        <v>0</v>
      </c>
      <c r="HV18" s="267">
        <v>0</v>
      </c>
      <c r="HW18" s="267">
        <v>0</v>
      </c>
      <c r="HX18" s="267">
        <v>0</v>
      </c>
      <c r="HY18" s="267">
        <v>0</v>
      </c>
      <c r="HZ18" s="267">
        <v>0</v>
      </c>
      <c r="IA18" s="267">
        <v>0</v>
      </c>
      <c r="IB18" s="267">
        <v>0</v>
      </c>
      <c r="IC18" s="267">
        <v>0</v>
      </c>
      <c r="ID18" s="267" t="s">
        <v>176</v>
      </c>
      <c r="IE18" s="267">
        <v>0</v>
      </c>
      <c r="IF18" s="267">
        <v>0</v>
      </c>
      <c r="IG18" s="267">
        <v>0</v>
      </c>
      <c r="IH18" s="267">
        <v>0</v>
      </c>
      <c r="II18" s="267">
        <v>0</v>
      </c>
      <c r="IJ18" s="267">
        <v>0</v>
      </c>
      <c r="IK18" s="267">
        <v>0</v>
      </c>
      <c r="IL18" s="267">
        <v>0</v>
      </c>
      <c r="IM18" s="267">
        <v>0</v>
      </c>
      <c r="IN18" s="267">
        <v>0</v>
      </c>
      <c r="IO18" s="267">
        <v>0</v>
      </c>
      <c r="IP18" s="267">
        <v>0</v>
      </c>
      <c r="IQ18" s="267">
        <v>0</v>
      </c>
      <c r="IR18" s="267" t="s">
        <v>176</v>
      </c>
      <c r="IS18" s="267">
        <v>0</v>
      </c>
      <c r="IT18" s="272">
        <v>0</v>
      </c>
      <c r="IU18" s="272">
        <v>0</v>
      </c>
      <c r="IV18" s="272">
        <v>0</v>
      </c>
      <c r="IW18" s="272">
        <v>0</v>
      </c>
      <c r="IX18" s="272">
        <v>0</v>
      </c>
      <c r="IY18" s="272">
        <v>0</v>
      </c>
      <c r="IZ18" s="267">
        <v>0</v>
      </c>
      <c r="JA18" s="267">
        <v>0</v>
      </c>
      <c r="JB18" s="267">
        <v>0</v>
      </c>
      <c r="JC18" s="267">
        <v>0</v>
      </c>
      <c r="JD18" s="267">
        <v>0</v>
      </c>
      <c r="JE18" s="267">
        <v>0</v>
      </c>
      <c r="JF18" s="267" t="s">
        <v>176</v>
      </c>
      <c r="JG18" s="267">
        <v>0</v>
      </c>
      <c r="JH18" s="267">
        <v>0</v>
      </c>
      <c r="JI18" s="267">
        <v>0</v>
      </c>
      <c r="JJ18" s="267">
        <v>0</v>
      </c>
      <c r="JK18" s="267">
        <v>0</v>
      </c>
      <c r="JL18" s="267">
        <v>0</v>
      </c>
      <c r="JM18" s="267">
        <v>0</v>
      </c>
      <c r="JN18" s="267">
        <v>0</v>
      </c>
      <c r="JO18" s="267">
        <v>0</v>
      </c>
      <c r="JP18" s="267">
        <v>0</v>
      </c>
      <c r="JQ18" s="267">
        <v>0</v>
      </c>
      <c r="JR18" s="267">
        <v>0</v>
      </c>
      <c r="JS18" s="267">
        <v>0</v>
      </c>
      <c r="JT18" s="267" t="s">
        <v>176</v>
      </c>
      <c r="JU18" s="267">
        <v>0</v>
      </c>
      <c r="JV18" s="267">
        <v>0</v>
      </c>
      <c r="JW18" s="267">
        <v>0</v>
      </c>
      <c r="JX18" s="267">
        <v>0</v>
      </c>
      <c r="JY18" s="267">
        <v>0</v>
      </c>
      <c r="JZ18" s="267">
        <v>0</v>
      </c>
      <c r="KA18" s="267">
        <v>0</v>
      </c>
      <c r="KB18" s="267">
        <v>0</v>
      </c>
      <c r="KC18" s="267">
        <v>0</v>
      </c>
      <c r="KD18" s="267">
        <v>0</v>
      </c>
      <c r="KE18" s="267">
        <v>0</v>
      </c>
      <c r="KF18" s="267">
        <v>0</v>
      </c>
      <c r="KG18" s="267">
        <v>0</v>
      </c>
      <c r="KH18" s="266">
        <v>1</v>
      </c>
      <c r="KI18" s="266">
        <v>0.33333333333333331</v>
      </c>
      <c r="KJ18" s="267">
        <v>30</v>
      </c>
      <c r="KK18" s="266">
        <v>0</v>
      </c>
      <c r="KL18" s="266">
        <v>0</v>
      </c>
      <c r="KM18" s="267">
        <v>0</v>
      </c>
      <c r="KN18" s="266">
        <v>0</v>
      </c>
      <c r="KO18" s="266">
        <v>0</v>
      </c>
      <c r="KP18" s="267">
        <v>0</v>
      </c>
      <c r="KQ18" s="266">
        <v>0</v>
      </c>
      <c r="KR18" s="266">
        <v>0</v>
      </c>
      <c r="KS18" s="267">
        <v>0</v>
      </c>
      <c r="KT18" s="266">
        <v>0</v>
      </c>
      <c r="KU18" s="266">
        <v>0</v>
      </c>
      <c r="KV18" s="267">
        <v>0</v>
      </c>
      <c r="KW18" s="266">
        <v>0</v>
      </c>
      <c r="KX18" s="266">
        <v>0</v>
      </c>
      <c r="KY18" s="267">
        <v>0</v>
      </c>
    </row>
    <row r="19" spans="1:311" ht="43.5">
      <c r="A19" s="263">
        <v>44318</v>
      </c>
      <c r="B19" s="264" t="s">
        <v>180</v>
      </c>
      <c r="C19" s="265">
        <v>0.88888888888888884</v>
      </c>
      <c r="D19" s="265">
        <v>0.26640000000000003</v>
      </c>
      <c r="E19" s="265">
        <v>0.90874978679856733</v>
      </c>
      <c r="F19" s="265">
        <v>0.21519194951390075</v>
      </c>
      <c r="G19" s="266">
        <v>0.66666666666666663</v>
      </c>
      <c r="H19" s="266">
        <v>1</v>
      </c>
      <c r="I19" s="264" t="s">
        <v>423</v>
      </c>
      <c r="J19" s="267">
        <v>480</v>
      </c>
      <c r="K19" s="267">
        <v>450</v>
      </c>
      <c r="L19" s="267">
        <v>50</v>
      </c>
      <c r="M19" s="267">
        <v>400</v>
      </c>
      <c r="N19" s="267">
        <v>106.56</v>
      </c>
      <c r="O19" s="267">
        <v>1070</v>
      </c>
      <c r="P19" s="267">
        <v>0</v>
      </c>
      <c r="Q19" s="267">
        <v>10656</v>
      </c>
      <c r="R19" s="264" t="s">
        <v>212</v>
      </c>
      <c r="S19" s="267">
        <v>30</v>
      </c>
      <c r="T19" s="267">
        <v>30</v>
      </c>
      <c r="U19" s="267">
        <v>0</v>
      </c>
      <c r="V19" s="267" t="s">
        <v>475</v>
      </c>
      <c r="W19" s="264" t="s">
        <v>176</v>
      </c>
      <c r="X19" s="264">
        <v>0</v>
      </c>
      <c r="Y19" s="267">
        <v>0</v>
      </c>
      <c r="Z19" s="267">
        <v>0</v>
      </c>
      <c r="AA19" s="267">
        <v>0</v>
      </c>
      <c r="AB19" s="267">
        <v>0</v>
      </c>
      <c r="AC19" s="264" t="s">
        <v>176</v>
      </c>
      <c r="AD19" s="264">
        <v>0</v>
      </c>
      <c r="AE19" s="267">
        <v>0</v>
      </c>
      <c r="AF19" s="267">
        <v>0</v>
      </c>
      <c r="AG19" s="267">
        <v>0</v>
      </c>
      <c r="AH19" s="267">
        <v>0</v>
      </c>
      <c r="AI19" s="264" t="s">
        <v>176</v>
      </c>
      <c r="AJ19" s="264">
        <v>0</v>
      </c>
      <c r="AK19" s="267">
        <v>0</v>
      </c>
      <c r="AL19" s="267">
        <v>0</v>
      </c>
      <c r="AM19" s="267">
        <v>0</v>
      </c>
      <c r="AN19" s="267">
        <v>0</v>
      </c>
      <c r="AO19" s="264" t="s">
        <v>176</v>
      </c>
      <c r="AP19" s="264">
        <v>0</v>
      </c>
      <c r="AQ19" s="267">
        <v>0</v>
      </c>
      <c r="AR19" s="267">
        <v>0</v>
      </c>
      <c r="AS19" s="267">
        <v>0</v>
      </c>
      <c r="AT19" s="267">
        <v>0</v>
      </c>
      <c r="AU19" s="264" t="s">
        <v>176</v>
      </c>
      <c r="AV19" s="264">
        <v>0</v>
      </c>
      <c r="AW19" s="267">
        <v>0</v>
      </c>
      <c r="AX19" s="267">
        <v>0</v>
      </c>
      <c r="AY19" s="267">
        <v>0</v>
      </c>
      <c r="AZ19" s="267">
        <v>0</v>
      </c>
      <c r="BA19" s="264" t="s">
        <v>176</v>
      </c>
      <c r="BB19" s="268">
        <v>0</v>
      </c>
      <c r="BC19" s="268">
        <v>0</v>
      </c>
      <c r="BD19" s="268">
        <v>0</v>
      </c>
      <c r="BE19" s="268">
        <v>0</v>
      </c>
      <c r="BF19" s="268">
        <v>0</v>
      </c>
      <c r="BG19" s="269">
        <v>0</v>
      </c>
      <c r="BH19" s="268">
        <v>0</v>
      </c>
      <c r="BI19" s="268">
        <v>0</v>
      </c>
      <c r="BJ19" s="268">
        <v>0</v>
      </c>
      <c r="BK19" s="268">
        <v>0</v>
      </c>
      <c r="BL19" s="268">
        <v>0</v>
      </c>
      <c r="BM19" s="269">
        <v>0</v>
      </c>
      <c r="BN19" s="268">
        <v>0</v>
      </c>
      <c r="BO19" s="268">
        <v>0</v>
      </c>
      <c r="BP19" s="268">
        <v>0</v>
      </c>
      <c r="BQ19" s="268" t="s">
        <v>176</v>
      </c>
      <c r="BR19" s="268">
        <v>0</v>
      </c>
      <c r="BS19" s="269">
        <v>0</v>
      </c>
      <c r="BT19" s="264" t="s">
        <v>475</v>
      </c>
      <c r="BU19" s="267" t="s">
        <v>406</v>
      </c>
      <c r="BV19" s="264">
        <v>0</v>
      </c>
      <c r="BW19" s="264">
        <v>0</v>
      </c>
      <c r="BX19" s="264">
        <v>0</v>
      </c>
      <c r="BY19" s="267" t="s">
        <v>176</v>
      </c>
      <c r="BZ19" s="264">
        <v>0</v>
      </c>
      <c r="CA19" s="264">
        <v>0</v>
      </c>
      <c r="CB19" s="264">
        <v>0</v>
      </c>
      <c r="CC19" s="267" t="s">
        <v>176</v>
      </c>
      <c r="CD19" s="264">
        <v>0</v>
      </c>
      <c r="CE19" s="264">
        <v>0</v>
      </c>
      <c r="CF19" s="264">
        <v>0</v>
      </c>
      <c r="CG19" s="267" t="s">
        <v>176</v>
      </c>
      <c r="CH19" s="264">
        <v>0</v>
      </c>
      <c r="CI19" s="264">
        <v>0</v>
      </c>
      <c r="CJ19" s="264">
        <v>0</v>
      </c>
      <c r="CK19" s="267" t="s">
        <v>176</v>
      </c>
      <c r="CL19" s="264">
        <v>0</v>
      </c>
      <c r="CM19" s="264">
        <v>0</v>
      </c>
      <c r="CN19" s="264">
        <v>0</v>
      </c>
      <c r="CO19" s="267" t="s">
        <v>176</v>
      </c>
      <c r="CP19" s="264">
        <v>0</v>
      </c>
      <c r="CQ19" s="264">
        <v>0</v>
      </c>
      <c r="CR19" s="264" t="s">
        <v>218</v>
      </c>
      <c r="CS19" s="267">
        <v>30</v>
      </c>
      <c r="CT19" s="264" t="s">
        <v>437</v>
      </c>
      <c r="CU19" s="264" t="s">
        <v>475</v>
      </c>
      <c r="CV19" s="264" t="s">
        <v>438</v>
      </c>
      <c r="CW19" s="270" t="s">
        <v>218</v>
      </c>
      <c r="CX19" s="267">
        <v>20</v>
      </c>
      <c r="CY19" s="264" t="s">
        <v>476</v>
      </c>
      <c r="CZ19" s="264" t="s">
        <v>475</v>
      </c>
      <c r="DA19" s="264">
        <v>0</v>
      </c>
      <c r="DB19" s="270">
        <v>0</v>
      </c>
      <c r="DC19" s="267">
        <v>0</v>
      </c>
      <c r="DD19" s="264">
        <v>0</v>
      </c>
      <c r="DE19" s="264">
        <v>0</v>
      </c>
      <c r="DF19" s="264">
        <v>0</v>
      </c>
      <c r="DG19" s="264">
        <v>0</v>
      </c>
      <c r="DH19" s="267">
        <v>0</v>
      </c>
      <c r="DI19" s="264">
        <v>0</v>
      </c>
      <c r="DJ19" s="264">
        <v>0</v>
      </c>
      <c r="DK19" s="264">
        <v>0</v>
      </c>
      <c r="DL19" s="264">
        <v>0</v>
      </c>
      <c r="DM19" s="267">
        <v>0</v>
      </c>
      <c r="DN19" s="264">
        <v>0</v>
      </c>
      <c r="DO19" s="264">
        <v>0</v>
      </c>
      <c r="DP19" s="264">
        <v>0</v>
      </c>
      <c r="DQ19" s="264">
        <v>0</v>
      </c>
      <c r="DR19" s="267">
        <v>0</v>
      </c>
      <c r="DS19" s="264">
        <v>0</v>
      </c>
      <c r="DT19" s="264">
        <v>0</v>
      </c>
      <c r="DU19" s="264">
        <v>0</v>
      </c>
      <c r="DV19" s="264">
        <v>0</v>
      </c>
      <c r="DW19" s="267">
        <v>0</v>
      </c>
      <c r="DX19" s="264">
        <v>0</v>
      </c>
      <c r="DY19" s="264">
        <v>0</v>
      </c>
      <c r="DZ19" s="264">
        <v>0</v>
      </c>
      <c r="EA19" s="264">
        <v>0</v>
      </c>
      <c r="EB19" s="267">
        <v>0</v>
      </c>
      <c r="EC19" s="264">
        <v>0</v>
      </c>
      <c r="ED19" s="264">
        <v>0</v>
      </c>
      <c r="EE19" s="264">
        <v>0</v>
      </c>
      <c r="EF19" s="264">
        <v>0</v>
      </c>
      <c r="EG19" s="267">
        <v>0</v>
      </c>
      <c r="EH19" s="264">
        <v>0</v>
      </c>
      <c r="EI19" s="264">
        <v>0</v>
      </c>
      <c r="EJ19" s="264">
        <v>0</v>
      </c>
      <c r="EK19" s="264">
        <v>0</v>
      </c>
      <c r="EL19" s="267">
        <v>0</v>
      </c>
      <c r="EM19" s="264">
        <v>0</v>
      </c>
      <c r="EN19" s="264">
        <v>0</v>
      </c>
      <c r="EO19" s="264">
        <v>0</v>
      </c>
      <c r="EP19" s="264">
        <v>0</v>
      </c>
      <c r="EQ19" s="267">
        <v>0</v>
      </c>
      <c r="ER19" s="264">
        <v>0</v>
      </c>
      <c r="ES19" s="264">
        <v>0</v>
      </c>
      <c r="ET19" s="264">
        <v>0</v>
      </c>
      <c r="EU19" s="264">
        <v>0</v>
      </c>
      <c r="EV19" s="267">
        <v>0</v>
      </c>
      <c r="EW19" s="264">
        <v>0</v>
      </c>
      <c r="EX19" s="264">
        <v>0</v>
      </c>
      <c r="EY19" s="264">
        <v>0</v>
      </c>
      <c r="EZ19" s="264" t="s">
        <v>475</v>
      </c>
      <c r="FA19" s="266">
        <v>0.66666666666666663</v>
      </c>
      <c r="FB19" s="266">
        <v>1</v>
      </c>
      <c r="FC19" s="267">
        <v>50</v>
      </c>
      <c r="FD19" s="267">
        <v>30</v>
      </c>
      <c r="FE19" s="267">
        <v>444</v>
      </c>
      <c r="FF19" s="267">
        <v>400.00000000000011</v>
      </c>
      <c r="FG19" s="267">
        <v>106.56</v>
      </c>
      <c r="FH19" s="264">
        <v>0</v>
      </c>
      <c r="FI19" s="264" t="s">
        <v>176</v>
      </c>
      <c r="FJ19" s="266">
        <v>0</v>
      </c>
      <c r="FK19" s="266">
        <v>0</v>
      </c>
      <c r="FL19" s="267">
        <v>0</v>
      </c>
      <c r="FM19" s="267">
        <v>0</v>
      </c>
      <c r="FN19" s="267">
        <v>0</v>
      </c>
      <c r="FO19" s="267" t="s">
        <v>176</v>
      </c>
      <c r="FP19" s="267">
        <v>0</v>
      </c>
      <c r="FQ19" s="264">
        <v>0</v>
      </c>
      <c r="FR19" s="264" t="s">
        <v>176</v>
      </c>
      <c r="FS19" s="266">
        <v>0</v>
      </c>
      <c r="FT19" s="266">
        <v>0</v>
      </c>
      <c r="FU19" s="267">
        <v>0</v>
      </c>
      <c r="FV19" s="267">
        <v>0</v>
      </c>
      <c r="FW19" s="267">
        <v>0</v>
      </c>
      <c r="FX19" s="267" t="s">
        <v>176</v>
      </c>
      <c r="FY19" s="267">
        <v>0</v>
      </c>
      <c r="FZ19" s="264">
        <v>0</v>
      </c>
      <c r="GA19" s="264" t="s">
        <v>176</v>
      </c>
      <c r="GB19" s="266">
        <v>0</v>
      </c>
      <c r="GC19" s="266">
        <v>0</v>
      </c>
      <c r="GD19" s="267">
        <v>0</v>
      </c>
      <c r="GE19" s="267">
        <v>0</v>
      </c>
      <c r="GF19" s="267">
        <v>0</v>
      </c>
      <c r="GG19" s="267" t="s">
        <v>176</v>
      </c>
      <c r="GH19" s="267">
        <v>0</v>
      </c>
      <c r="GI19" s="264">
        <v>0</v>
      </c>
      <c r="GJ19" s="264" t="s">
        <v>176</v>
      </c>
      <c r="GK19" s="266">
        <v>0</v>
      </c>
      <c r="GL19" s="266">
        <v>0</v>
      </c>
      <c r="GM19" s="267">
        <v>0</v>
      </c>
      <c r="GN19" s="267">
        <v>0</v>
      </c>
      <c r="GO19" s="267">
        <v>0</v>
      </c>
      <c r="GP19" s="267" t="s">
        <v>176</v>
      </c>
      <c r="GQ19" s="267">
        <v>0</v>
      </c>
      <c r="GR19" s="264">
        <v>0</v>
      </c>
      <c r="GS19" s="264" t="s">
        <v>176</v>
      </c>
      <c r="GT19" s="266">
        <v>0</v>
      </c>
      <c r="GU19" s="266">
        <v>0</v>
      </c>
      <c r="GV19" s="267">
        <v>0</v>
      </c>
      <c r="GW19" s="267">
        <v>0</v>
      </c>
      <c r="GX19" s="267">
        <v>0</v>
      </c>
      <c r="GY19" s="267" t="s">
        <v>176</v>
      </c>
      <c r="GZ19" s="267">
        <v>0</v>
      </c>
      <c r="HA19" s="264">
        <v>0</v>
      </c>
      <c r="HB19" s="264" t="s">
        <v>475</v>
      </c>
      <c r="HC19" s="264">
        <v>10656</v>
      </c>
      <c r="HD19" s="267">
        <v>10656</v>
      </c>
      <c r="HE19" s="267">
        <v>0</v>
      </c>
      <c r="HF19" s="267">
        <v>10656</v>
      </c>
      <c r="HG19" s="267">
        <v>150</v>
      </c>
      <c r="HH19" s="267">
        <v>10656</v>
      </c>
      <c r="HI19" s="267">
        <v>200</v>
      </c>
      <c r="HJ19" s="267">
        <v>444</v>
      </c>
      <c r="HK19" s="267">
        <v>30</v>
      </c>
      <c r="HL19" s="267">
        <v>444</v>
      </c>
      <c r="HM19" s="267">
        <v>0</v>
      </c>
      <c r="HN19" s="267">
        <v>444</v>
      </c>
      <c r="HO19" s="267">
        <v>0</v>
      </c>
      <c r="HP19" s="267" t="s">
        <v>176</v>
      </c>
      <c r="HQ19" s="267">
        <v>0</v>
      </c>
      <c r="HR19" s="267">
        <v>0</v>
      </c>
      <c r="HS19" s="267">
        <v>0</v>
      </c>
      <c r="HT19" s="267">
        <v>0</v>
      </c>
      <c r="HU19" s="267">
        <v>0</v>
      </c>
      <c r="HV19" s="267">
        <v>0</v>
      </c>
      <c r="HW19" s="267">
        <v>0</v>
      </c>
      <c r="HX19" s="267">
        <v>0</v>
      </c>
      <c r="HY19" s="267">
        <v>0</v>
      </c>
      <c r="HZ19" s="267">
        <v>0</v>
      </c>
      <c r="IA19" s="267">
        <v>0</v>
      </c>
      <c r="IB19" s="267">
        <v>0</v>
      </c>
      <c r="IC19" s="267">
        <v>0</v>
      </c>
      <c r="ID19" s="267" t="s">
        <v>176</v>
      </c>
      <c r="IE19" s="267">
        <v>0</v>
      </c>
      <c r="IF19" s="267">
        <v>0</v>
      </c>
      <c r="IG19" s="267">
        <v>0</v>
      </c>
      <c r="IH19" s="267">
        <v>0</v>
      </c>
      <c r="II19" s="267">
        <v>0</v>
      </c>
      <c r="IJ19" s="267">
        <v>0</v>
      </c>
      <c r="IK19" s="267">
        <v>0</v>
      </c>
      <c r="IL19" s="267">
        <v>0</v>
      </c>
      <c r="IM19" s="267">
        <v>0</v>
      </c>
      <c r="IN19" s="267">
        <v>0</v>
      </c>
      <c r="IO19" s="267">
        <v>0</v>
      </c>
      <c r="IP19" s="267">
        <v>0</v>
      </c>
      <c r="IQ19" s="267">
        <v>0</v>
      </c>
      <c r="IR19" s="267" t="s">
        <v>176</v>
      </c>
      <c r="IS19" s="267">
        <v>0</v>
      </c>
      <c r="IT19" s="272">
        <v>0</v>
      </c>
      <c r="IU19" s="272">
        <v>0</v>
      </c>
      <c r="IV19" s="272">
        <v>0</v>
      </c>
      <c r="IW19" s="272">
        <v>0</v>
      </c>
      <c r="IX19" s="272">
        <v>0</v>
      </c>
      <c r="IY19" s="272">
        <v>0</v>
      </c>
      <c r="IZ19" s="267">
        <v>0</v>
      </c>
      <c r="JA19" s="267">
        <v>0</v>
      </c>
      <c r="JB19" s="267">
        <v>0</v>
      </c>
      <c r="JC19" s="267">
        <v>0</v>
      </c>
      <c r="JD19" s="267">
        <v>0</v>
      </c>
      <c r="JE19" s="267">
        <v>0</v>
      </c>
      <c r="JF19" s="267" t="s">
        <v>176</v>
      </c>
      <c r="JG19" s="267">
        <v>0</v>
      </c>
      <c r="JH19" s="267">
        <v>0</v>
      </c>
      <c r="JI19" s="267">
        <v>0</v>
      </c>
      <c r="JJ19" s="267">
        <v>0</v>
      </c>
      <c r="JK19" s="267">
        <v>0</v>
      </c>
      <c r="JL19" s="267">
        <v>0</v>
      </c>
      <c r="JM19" s="267">
        <v>0</v>
      </c>
      <c r="JN19" s="267">
        <v>0</v>
      </c>
      <c r="JO19" s="267">
        <v>0</v>
      </c>
      <c r="JP19" s="267">
        <v>0</v>
      </c>
      <c r="JQ19" s="267">
        <v>0</v>
      </c>
      <c r="JR19" s="267">
        <v>0</v>
      </c>
      <c r="JS19" s="267">
        <v>0</v>
      </c>
      <c r="JT19" s="267" t="s">
        <v>176</v>
      </c>
      <c r="JU19" s="267">
        <v>0</v>
      </c>
      <c r="JV19" s="267">
        <v>0</v>
      </c>
      <c r="JW19" s="267">
        <v>0</v>
      </c>
      <c r="JX19" s="267">
        <v>0</v>
      </c>
      <c r="JY19" s="267">
        <v>0</v>
      </c>
      <c r="JZ19" s="267">
        <v>0</v>
      </c>
      <c r="KA19" s="267">
        <v>0</v>
      </c>
      <c r="KB19" s="267">
        <v>0</v>
      </c>
      <c r="KC19" s="267">
        <v>0</v>
      </c>
      <c r="KD19" s="267">
        <v>0</v>
      </c>
      <c r="KE19" s="267">
        <v>0</v>
      </c>
      <c r="KF19" s="267">
        <v>0</v>
      </c>
      <c r="KG19" s="267">
        <v>0</v>
      </c>
      <c r="KH19" s="266">
        <v>0.66666666666666663</v>
      </c>
      <c r="KI19" s="266">
        <v>1</v>
      </c>
      <c r="KJ19" s="267">
        <v>30</v>
      </c>
      <c r="KK19" s="266">
        <v>0</v>
      </c>
      <c r="KL19" s="266">
        <v>0</v>
      </c>
      <c r="KM19" s="267">
        <v>0</v>
      </c>
      <c r="KN19" s="266">
        <v>0</v>
      </c>
      <c r="KO19" s="266">
        <v>0</v>
      </c>
      <c r="KP19" s="267">
        <v>0</v>
      </c>
      <c r="KQ19" s="266">
        <v>0</v>
      </c>
      <c r="KR19" s="266">
        <v>0</v>
      </c>
      <c r="KS19" s="267">
        <v>0</v>
      </c>
      <c r="KT19" s="266">
        <v>0</v>
      </c>
      <c r="KU19" s="266">
        <v>0</v>
      </c>
      <c r="KV19" s="267">
        <v>0</v>
      </c>
      <c r="KW19" s="266">
        <v>0</v>
      </c>
      <c r="KX19" s="266">
        <v>0</v>
      </c>
      <c r="KY19" s="267">
        <v>0</v>
      </c>
    </row>
    <row r="20" spans="1:311" ht="43.5">
      <c r="A20" s="263">
        <v>44319</v>
      </c>
      <c r="B20" s="264" t="s">
        <v>210</v>
      </c>
      <c r="C20" s="265">
        <v>0.8571428571428571</v>
      </c>
      <c r="D20" s="265">
        <v>0.28533333333333333</v>
      </c>
      <c r="E20" s="265">
        <v>0.87139463861554123</v>
      </c>
      <c r="F20" s="265">
        <v>0.21311823161568663</v>
      </c>
      <c r="G20" s="266">
        <v>0.33333333333333331</v>
      </c>
      <c r="H20" s="266">
        <v>0.5</v>
      </c>
      <c r="I20" s="264" t="s">
        <v>423</v>
      </c>
      <c r="J20" s="267">
        <v>240</v>
      </c>
      <c r="K20" s="267">
        <v>210</v>
      </c>
      <c r="L20" s="267">
        <v>30</v>
      </c>
      <c r="M20" s="267">
        <v>180</v>
      </c>
      <c r="N20" s="267">
        <v>51.36</v>
      </c>
      <c r="O20" s="267">
        <v>758</v>
      </c>
      <c r="P20" s="267">
        <v>0</v>
      </c>
      <c r="Q20" s="267">
        <v>5136</v>
      </c>
      <c r="R20" s="264" t="s">
        <v>212</v>
      </c>
      <c r="S20" s="267">
        <v>30</v>
      </c>
      <c r="T20" s="267">
        <v>30</v>
      </c>
      <c r="U20" s="267">
        <v>0</v>
      </c>
      <c r="V20" s="267" t="s">
        <v>475</v>
      </c>
      <c r="W20" s="264" t="s">
        <v>176</v>
      </c>
      <c r="X20" s="264">
        <v>0</v>
      </c>
      <c r="Y20" s="267">
        <v>0</v>
      </c>
      <c r="Z20" s="267">
        <v>0</v>
      </c>
      <c r="AA20" s="267">
        <v>0</v>
      </c>
      <c r="AB20" s="267">
        <v>0</v>
      </c>
      <c r="AC20" s="264" t="s">
        <v>176</v>
      </c>
      <c r="AD20" s="264">
        <v>0</v>
      </c>
      <c r="AE20" s="267">
        <v>0</v>
      </c>
      <c r="AF20" s="267">
        <v>0</v>
      </c>
      <c r="AG20" s="267">
        <v>0</v>
      </c>
      <c r="AH20" s="267">
        <v>0</v>
      </c>
      <c r="AI20" s="264" t="s">
        <v>176</v>
      </c>
      <c r="AJ20" s="264">
        <v>0</v>
      </c>
      <c r="AK20" s="267">
        <v>0</v>
      </c>
      <c r="AL20" s="267">
        <v>0</v>
      </c>
      <c r="AM20" s="267">
        <v>0</v>
      </c>
      <c r="AN20" s="267">
        <v>0</v>
      </c>
      <c r="AO20" s="264" t="s">
        <v>176</v>
      </c>
      <c r="AP20" s="264">
        <v>0</v>
      </c>
      <c r="AQ20" s="267">
        <v>0</v>
      </c>
      <c r="AR20" s="267">
        <v>0</v>
      </c>
      <c r="AS20" s="267">
        <v>0</v>
      </c>
      <c r="AT20" s="267">
        <v>0</v>
      </c>
      <c r="AU20" s="264" t="s">
        <v>176</v>
      </c>
      <c r="AV20" s="264">
        <v>0</v>
      </c>
      <c r="AW20" s="267">
        <v>0</v>
      </c>
      <c r="AX20" s="267">
        <v>0</v>
      </c>
      <c r="AY20" s="267">
        <v>0</v>
      </c>
      <c r="AZ20" s="267">
        <v>0</v>
      </c>
      <c r="BA20" s="264" t="s">
        <v>176</v>
      </c>
      <c r="BB20" s="268">
        <v>0</v>
      </c>
      <c r="BC20" s="268">
        <v>0</v>
      </c>
      <c r="BD20" s="268">
        <v>0</v>
      </c>
      <c r="BE20" s="268">
        <v>0</v>
      </c>
      <c r="BF20" s="268">
        <v>0</v>
      </c>
      <c r="BG20" s="269">
        <v>0</v>
      </c>
      <c r="BH20" s="268">
        <v>0</v>
      </c>
      <c r="BI20" s="268">
        <v>0</v>
      </c>
      <c r="BJ20" s="268">
        <v>0</v>
      </c>
      <c r="BK20" s="268">
        <v>0</v>
      </c>
      <c r="BL20" s="268">
        <v>0</v>
      </c>
      <c r="BM20" s="269">
        <v>0</v>
      </c>
      <c r="BN20" s="268">
        <v>0</v>
      </c>
      <c r="BO20" s="268">
        <v>0</v>
      </c>
      <c r="BP20" s="268">
        <v>0</v>
      </c>
      <c r="BQ20" s="268" t="s">
        <v>176</v>
      </c>
      <c r="BR20" s="268">
        <v>0</v>
      </c>
      <c r="BS20" s="269">
        <v>0</v>
      </c>
      <c r="BT20" s="264" t="s">
        <v>475</v>
      </c>
      <c r="BU20" s="267" t="s">
        <v>406</v>
      </c>
      <c r="BV20" s="264">
        <v>0</v>
      </c>
      <c r="BW20" s="264">
        <v>0</v>
      </c>
      <c r="BX20" s="264">
        <v>0</v>
      </c>
      <c r="BY20" s="267" t="s">
        <v>176</v>
      </c>
      <c r="BZ20" s="264">
        <v>0</v>
      </c>
      <c r="CA20" s="264">
        <v>0</v>
      </c>
      <c r="CB20" s="264">
        <v>0</v>
      </c>
      <c r="CC20" s="267" t="s">
        <v>176</v>
      </c>
      <c r="CD20" s="264">
        <v>0</v>
      </c>
      <c r="CE20" s="264">
        <v>0</v>
      </c>
      <c r="CF20" s="264">
        <v>0</v>
      </c>
      <c r="CG20" s="267" t="s">
        <v>176</v>
      </c>
      <c r="CH20" s="264">
        <v>0</v>
      </c>
      <c r="CI20" s="264">
        <v>0</v>
      </c>
      <c r="CJ20" s="264">
        <v>0</v>
      </c>
      <c r="CK20" s="267" t="s">
        <v>176</v>
      </c>
      <c r="CL20" s="264">
        <v>0</v>
      </c>
      <c r="CM20" s="264">
        <v>0</v>
      </c>
      <c r="CN20" s="264">
        <v>0</v>
      </c>
      <c r="CO20" s="267" t="s">
        <v>176</v>
      </c>
      <c r="CP20" s="264">
        <v>0</v>
      </c>
      <c r="CQ20" s="264">
        <v>0</v>
      </c>
      <c r="CR20" s="264" t="s">
        <v>218</v>
      </c>
      <c r="CS20" s="267">
        <v>15</v>
      </c>
      <c r="CT20" s="264" t="s">
        <v>437</v>
      </c>
      <c r="CU20" s="264" t="s">
        <v>475</v>
      </c>
      <c r="CV20" s="264" t="s">
        <v>438</v>
      </c>
      <c r="CW20" s="270" t="s">
        <v>244</v>
      </c>
      <c r="CX20" s="267">
        <v>15</v>
      </c>
      <c r="CY20" s="264" t="s">
        <v>477</v>
      </c>
      <c r="CZ20" s="264" t="s">
        <v>475</v>
      </c>
      <c r="DA20" s="264" t="s">
        <v>478</v>
      </c>
      <c r="DB20" s="270">
        <v>0</v>
      </c>
      <c r="DC20" s="267">
        <v>0</v>
      </c>
      <c r="DD20" s="264">
        <v>0</v>
      </c>
      <c r="DE20" s="264">
        <v>0</v>
      </c>
      <c r="DF20" s="264">
        <v>0</v>
      </c>
      <c r="DG20" s="264">
        <v>0</v>
      </c>
      <c r="DH20" s="267">
        <v>0</v>
      </c>
      <c r="DI20" s="264">
        <v>0</v>
      </c>
      <c r="DJ20" s="264">
        <v>0</v>
      </c>
      <c r="DK20" s="264">
        <v>0</v>
      </c>
      <c r="DL20" s="264">
        <v>0</v>
      </c>
      <c r="DM20" s="267">
        <v>0</v>
      </c>
      <c r="DN20" s="264">
        <v>0</v>
      </c>
      <c r="DO20" s="264">
        <v>0</v>
      </c>
      <c r="DP20" s="264">
        <v>0</v>
      </c>
      <c r="DQ20" s="264">
        <v>0</v>
      </c>
      <c r="DR20" s="267">
        <v>0</v>
      </c>
      <c r="DS20" s="264">
        <v>0</v>
      </c>
      <c r="DT20" s="264">
        <v>0</v>
      </c>
      <c r="DU20" s="264">
        <v>0</v>
      </c>
      <c r="DV20" s="264">
        <v>0</v>
      </c>
      <c r="DW20" s="267">
        <v>0</v>
      </c>
      <c r="DX20" s="264">
        <v>0</v>
      </c>
      <c r="DY20" s="264">
        <v>0</v>
      </c>
      <c r="DZ20" s="264">
        <v>0</v>
      </c>
      <c r="EA20" s="264">
        <v>0</v>
      </c>
      <c r="EB20" s="267">
        <v>0</v>
      </c>
      <c r="EC20" s="264">
        <v>0</v>
      </c>
      <c r="ED20" s="264">
        <v>0</v>
      </c>
      <c r="EE20" s="264">
        <v>0</v>
      </c>
      <c r="EF20" s="264">
        <v>0</v>
      </c>
      <c r="EG20" s="267">
        <v>0</v>
      </c>
      <c r="EH20" s="264">
        <v>0</v>
      </c>
      <c r="EI20" s="264">
        <v>0</v>
      </c>
      <c r="EJ20" s="264">
        <v>0</v>
      </c>
      <c r="EK20" s="264">
        <v>0</v>
      </c>
      <c r="EL20" s="267">
        <v>0</v>
      </c>
      <c r="EM20" s="264">
        <v>0</v>
      </c>
      <c r="EN20" s="264">
        <v>0</v>
      </c>
      <c r="EO20" s="264">
        <v>0</v>
      </c>
      <c r="EP20" s="264">
        <v>0</v>
      </c>
      <c r="EQ20" s="267">
        <v>0</v>
      </c>
      <c r="ER20" s="264">
        <v>0</v>
      </c>
      <c r="ES20" s="264">
        <v>0</v>
      </c>
      <c r="ET20" s="264">
        <v>0</v>
      </c>
      <c r="EU20" s="264">
        <v>0</v>
      </c>
      <c r="EV20" s="267">
        <v>0</v>
      </c>
      <c r="EW20" s="264">
        <v>0</v>
      </c>
      <c r="EX20" s="264">
        <v>0</v>
      </c>
      <c r="EY20" s="264">
        <v>0</v>
      </c>
      <c r="EZ20" s="264" t="s">
        <v>475</v>
      </c>
      <c r="FA20" s="266">
        <v>0.33333333333333331</v>
      </c>
      <c r="FB20" s="266">
        <v>0.5</v>
      </c>
      <c r="FC20" s="267">
        <v>30</v>
      </c>
      <c r="FD20" s="267">
        <v>30</v>
      </c>
      <c r="FE20" s="267">
        <v>214</v>
      </c>
      <c r="FF20" s="267">
        <v>180.00000000000006</v>
      </c>
      <c r="FG20" s="267">
        <v>51.36</v>
      </c>
      <c r="FH20" s="264">
        <v>0</v>
      </c>
      <c r="FI20" s="264" t="s">
        <v>176</v>
      </c>
      <c r="FJ20" s="266">
        <v>0</v>
      </c>
      <c r="FK20" s="266">
        <v>0</v>
      </c>
      <c r="FL20" s="267">
        <v>0</v>
      </c>
      <c r="FM20" s="267">
        <v>0</v>
      </c>
      <c r="FN20" s="267">
        <v>0</v>
      </c>
      <c r="FO20" s="267" t="s">
        <v>176</v>
      </c>
      <c r="FP20" s="267">
        <v>0</v>
      </c>
      <c r="FQ20" s="264">
        <v>0</v>
      </c>
      <c r="FR20" s="264" t="s">
        <v>176</v>
      </c>
      <c r="FS20" s="266">
        <v>0</v>
      </c>
      <c r="FT20" s="266">
        <v>0</v>
      </c>
      <c r="FU20" s="267">
        <v>0</v>
      </c>
      <c r="FV20" s="267">
        <v>0</v>
      </c>
      <c r="FW20" s="267">
        <v>0</v>
      </c>
      <c r="FX20" s="267" t="s">
        <v>176</v>
      </c>
      <c r="FY20" s="267">
        <v>0</v>
      </c>
      <c r="FZ20" s="264">
        <v>0</v>
      </c>
      <c r="GA20" s="264" t="s">
        <v>176</v>
      </c>
      <c r="GB20" s="266">
        <v>0</v>
      </c>
      <c r="GC20" s="266">
        <v>0</v>
      </c>
      <c r="GD20" s="267">
        <v>0</v>
      </c>
      <c r="GE20" s="267">
        <v>0</v>
      </c>
      <c r="GF20" s="267">
        <v>0</v>
      </c>
      <c r="GG20" s="267" t="s">
        <v>176</v>
      </c>
      <c r="GH20" s="267">
        <v>0</v>
      </c>
      <c r="GI20" s="264">
        <v>0</v>
      </c>
      <c r="GJ20" s="264" t="s">
        <v>176</v>
      </c>
      <c r="GK20" s="266">
        <v>0</v>
      </c>
      <c r="GL20" s="266">
        <v>0</v>
      </c>
      <c r="GM20" s="267">
        <v>0</v>
      </c>
      <c r="GN20" s="267">
        <v>0</v>
      </c>
      <c r="GO20" s="267">
        <v>0</v>
      </c>
      <c r="GP20" s="267" t="s">
        <v>176</v>
      </c>
      <c r="GQ20" s="267">
        <v>0</v>
      </c>
      <c r="GR20" s="264">
        <v>0</v>
      </c>
      <c r="GS20" s="264" t="s">
        <v>176</v>
      </c>
      <c r="GT20" s="266">
        <v>0</v>
      </c>
      <c r="GU20" s="266">
        <v>0</v>
      </c>
      <c r="GV20" s="267">
        <v>0</v>
      </c>
      <c r="GW20" s="267">
        <v>0</v>
      </c>
      <c r="GX20" s="267">
        <v>0</v>
      </c>
      <c r="GY20" s="267" t="s">
        <v>176</v>
      </c>
      <c r="GZ20" s="267">
        <v>0</v>
      </c>
      <c r="HA20" s="264">
        <v>0</v>
      </c>
      <c r="HB20" s="264" t="s">
        <v>475</v>
      </c>
      <c r="HC20" s="264">
        <v>5136</v>
      </c>
      <c r="HD20" s="267">
        <v>5136</v>
      </c>
      <c r="HE20" s="267">
        <v>0</v>
      </c>
      <c r="HF20" s="267">
        <v>5136</v>
      </c>
      <c r="HG20" s="267">
        <v>112</v>
      </c>
      <c r="HH20" s="267">
        <v>5136</v>
      </c>
      <c r="HI20" s="267">
        <v>70</v>
      </c>
      <c r="HJ20" s="267">
        <v>214</v>
      </c>
      <c r="HK20" s="267">
        <v>24</v>
      </c>
      <c r="HL20" s="267">
        <v>214</v>
      </c>
      <c r="HM20" s="267">
        <v>0</v>
      </c>
      <c r="HN20" s="267">
        <v>214</v>
      </c>
      <c r="HO20" s="267">
        <v>0</v>
      </c>
      <c r="HP20" s="267" t="s">
        <v>176</v>
      </c>
      <c r="HQ20" s="267">
        <v>0</v>
      </c>
      <c r="HR20" s="267">
        <v>0</v>
      </c>
      <c r="HS20" s="267">
        <v>0</v>
      </c>
      <c r="HT20" s="267">
        <v>0</v>
      </c>
      <c r="HU20" s="267">
        <v>0</v>
      </c>
      <c r="HV20" s="267">
        <v>0</v>
      </c>
      <c r="HW20" s="267">
        <v>0</v>
      </c>
      <c r="HX20" s="267">
        <v>0</v>
      </c>
      <c r="HY20" s="267">
        <v>0</v>
      </c>
      <c r="HZ20" s="267">
        <v>0</v>
      </c>
      <c r="IA20" s="267">
        <v>0</v>
      </c>
      <c r="IB20" s="267">
        <v>0</v>
      </c>
      <c r="IC20" s="267">
        <v>0</v>
      </c>
      <c r="ID20" s="267" t="s">
        <v>176</v>
      </c>
      <c r="IE20" s="267">
        <v>0</v>
      </c>
      <c r="IF20" s="267">
        <v>0</v>
      </c>
      <c r="IG20" s="267">
        <v>0</v>
      </c>
      <c r="IH20" s="267">
        <v>0</v>
      </c>
      <c r="II20" s="267">
        <v>0</v>
      </c>
      <c r="IJ20" s="267">
        <v>0</v>
      </c>
      <c r="IK20" s="267">
        <v>0</v>
      </c>
      <c r="IL20" s="267">
        <v>0</v>
      </c>
      <c r="IM20" s="267">
        <v>0</v>
      </c>
      <c r="IN20" s="267">
        <v>0</v>
      </c>
      <c r="IO20" s="267">
        <v>0</v>
      </c>
      <c r="IP20" s="267">
        <v>0</v>
      </c>
      <c r="IQ20" s="267">
        <v>0</v>
      </c>
      <c r="IR20" s="267" t="s">
        <v>176</v>
      </c>
      <c r="IS20" s="267">
        <v>0</v>
      </c>
      <c r="IT20" s="272">
        <v>0</v>
      </c>
      <c r="IU20" s="272">
        <v>0</v>
      </c>
      <c r="IV20" s="272">
        <v>0</v>
      </c>
      <c r="IW20" s="272">
        <v>0</v>
      </c>
      <c r="IX20" s="272">
        <v>0</v>
      </c>
      <c r="IY20" s="272">
        <v>0</v>
      </c>
      <c r="IZ20" s="267">
        <v>0</v>
      </c>
      <c r="JA20" s="267">
        <v>0</v>
      </c>
      <c r="JB20" s="267">
        <v>0</v>
      </c>
      <c r="JC20" s="267">
        <v>0</v>
      </c>
      <c r="JD20" s="267">
        <v>0</v>
      </c>
      <c r="JE20" s="267">
        <v>0</v>
      </c>
      <c r="JF20" s="267" t="s">
        <v>176</v>
      </c>
      <c r="JG20" s="267">
        <v>0</v>
      </c>
      <c r="JH20" s="267">
        <v>0</v>
      </c>
      <c r="JI20" s="267">
        <v>0</v>
      </c>
      <c r="JJ20" s="267">
        <v>0</v>
      </c>
      <c r="JK20" s="267">
        <v>0</v>
      </c>
      <c r="JL20" s="267">
        <v>0</v>
      </c>
      <c r="JM20" s="267">
        <v>0</v>
      </c>
      <c r="JN20" s="267">
        <v>0</v>
      </c>
      <c r="JO20" s="267">
        <v>0</v>
      </c>
      <c r="JP20" s="267">
        <v>0</v>
      </c>
      <c r="JQ20" s="267">
        <v>0</v>
      </c>
      <c r="JR20" s="267">
        <v>0</v>
      </c>
      <c r="JS20" s="267">
        <v>0</v>
      </c>
      <c r="JT20" s="267" t="s">
        <v>176</v>
      </c>
      <c r="JU20" s="267">
        <v>0</v>
      </c>
      <c r="JV20" s="267">
        <v>0</v>
      </c>
      <c r="JW20" s="267">
        <v>0</v>
      </c>
      <c r="JX20" s="267">
        <v>0</v>
      </c>
      <c r="JY20" s="267">
        <v>0</v>
      </c>
      <c r="JZ20" s="267">
        <v>0</v>
      </c>
      <c r="KA20" s="267">
        <v>0</v>
      </c>
      <c r="KB20" s="267">
        <v>0</v>
      </c>
      <c r="KC20" s="267">
        <v>0</v>
      </c>
      <c r="KD20" s="267">
        <v>0</v>
      </c>
      <c r="KE20" s="267">
        <v>0</v>
      </c>
      <c r="KF20" s="267">
        <v>0</v>
      </c>
      <c r="KG20" s="267">
        <v>0</v>
      </c>
      <c r="KH20" s="266">
        <v>0.33333333333333331</v>
      </c>
      <c r="KI20" s="266">
        <v>0.5</v>
      </c>
      <c r="KJ20" s="267">
        <v>30</v>
      </c>
      <c r="KK20" s="266">
        <v>0</v>
      </c>
      <c r="KL20" s="266">
        <v>0</v>
      </c>
      <c r="KM20" s="267">
        <v>0</v>
      </c>
      <c r="KN20" s="266">
        <v>0</v>
      </c>
      <c r="KO20" s="266">
        <v>0</v>
      </c>
      <c r="KP20" s="267">
        <v>0</v>
      </c>
      <c r="KQ20" s="266">
        <v>0</v>
      </c>
      <c r="KR20" s="266">
        <v>0</v>
      </c>
      <c r="KS20" s="267">
        <v>0</v>
      </c>
      <c r="KT20" s="266">
        <v>0</v>
      </c>
      <c r="KU20" s="266">
        <v>0</v>
      </c>
      <c r="KV20" s="267">
        <v>0</v>
      </c>
      <c r="KW20" s="266">
        <v>0</v>
      </c>
      <c r="KX20" s="266">
        <v>0</v>
      </c>
      <c r="KY20" s="267">
        <v>0</v>
      </c>
    </row>
    <row r="21" spans="1:311" ht="43.5">
      <c r="A21" s="263">
        <v>44326</v>
      </c>
      <c r="B21" s="264" t="s">
        <v>211</v>
      </c>
      <c r="C21" s="265">
        <v>0.44047619047619047</v>
      </c>
      <c r="D21" s="265">
        <v>0.47091891891891896</v>
      </c>
      <c r="E21" s="265">
        <v>0.97242995870074789</v>
      </c>
      <c r="F21" s="265">
        <v>0.20170975714764086</v>
      </c>
      <c r="G21" s="266">
        <v>1</v>
      </c>
      <c r="H21" s="266">
        <v>0.33333333333333331</v>
      </c>
      <c r="I21" s="264" t="s">
        <v>423</v>
      </c>
      <c r="J21" s="267">
        <v>480</v>
      </c>
      <c r="K21" s="267">
        <v>420</v>
      </c>
      <c r="L21" s="267">
        <v>235</v>
      </c>
      <c r="M21" s="267">
        <v>185</v>
      </c>
      <c r="N21" s="267">
        <v>87.12</v>
      </c>
      <c r="O21" s="267">
        <v>247</v>
      </c>
      <c r="P21" s="267">
        <v>0</v>
      </c>
      <c r="Q21" s="267">
        <v>8712</v>
      </c>
      <c r="R21" s="264" t="s">
        <v>212</v>
      </c>
      <c r="S21" s="267">
        <v>30</v>
      </c>
      <c r="T21" s="267">
        <v>30</v>
      </c>
      <c r="U21" s="267">
        <v>0</v>
      </c>
      <c r="V21" s="267" t="s">
        <v>411</v>
      </c>
      <c r="W21" s="264" t="s">
        <v>480</v>
      </c>
      <c r="X21" s="264" t="s">
        <v>212</v>
      </c>
      <c r="Y21" s="267">
        <v>30</v>
      </c>
      <c r="Z21" s="267">
        <v>30</v>
      </c>
      <c r="AA21" s="267">
        <v>0</v>
      </c>
      <c r="AB21" s="267" t="s">
        <v>411</v>
      </c>
      <c r="AC21" s="264" t="s">
        <v>176</v>
      </c>
      <c r="AD21" s="264">
        <v>0</v>
      </c>
      <c r="AE21" s="267">
        <v>0</v>
      </c>
      <c r="AF21" s="267">
        <v>0</v>
      </c>
      <c r="AG21" s="267">
        <v>0</v>
      </c>
      <c r="AH21" s="267">
        <v>0</v>
      </c>
      <c r="AI21" s="264" t="s">
        <v>176</v>
      </c>
      <c r="AJ21" s="264">
        <v>0</v>
      </c>
      <c r="AK21" s="267">
        <v>0</v>
      </c>
      <c r="AL21" s="267">
        <v>0</v>
      </c>
      <c r="AM21" s="267">
        <v>0</v>
      </c>
      <c r="AN21" s="267">
        <v>0</v>
      </c>
      <c r="AO21" s="264" t="s">
        <v>176</v>
      </c>
      <c r="AP21" s="264">
        <v>0</v>
      </c>
      <c r="AQ21" s="267">
        <v>0</v>
      </c>
      <c r="AR21" s="267">
        <v>0</v>
      </c>
      <c r="AS21" s="267">
        <v>0</v>
      </c>
      <c r="AT21" s="267">
        <v>0</v>
      </c>
      <c r="AU21" s="264" t="s">
        <v>176</v>
      </c>
      <c r="AV21" s="264">
        <v>0</v>
      </c>
      <c r="AW21" s="267">
        <v>0</v>
      </c>
      <c r="AX21" s="267">
        <v>0</v>
      </c>
      <c r="AY21" s="267">
        <v>0</v>
      </c>
      <c r="AZ21" s="267">
        <v>0</v>
      </c>
      <c r="BA21" s="264" t="s">
        <v>176</v>
      </c>
      <c r="BB21" s="268">
        <v>0</v>
      </c>
      <c r="BC21" s="268">
        <v>0</v>
      </c>
      <c r="BD21" s="268">
        <v>0</v>
      </c>
      <c r="BE21" s="268">
        <v>0</v>
      </c>
      <c r="BF21" s="268">
        <v>0</v>
      </c>
      <c r="BG21" s="269">
        <v>0</v>
      </c>
      <c r="BH21" s="268">
        <v>0</v>
      </c>
      <c r="BI21" s="268">
        <v>0</v>
      </c>
      <c r="BJ21" s="268">
        <v>0</v>
      </c>
      <c r="BK21" s="268">
        <v>0</v>
      </c>
      <c r="BL21" s="268">
        <v>0</v>
      </c>
      <c r="BM21" s="269">
        <v>0</v>
      </c>
      <c r="BN21" s="268">
        <v>0</v>
      </c>
      <c r="BO21" s="268">
        <v>0</v>
      </c>
      <c r="BP21" s="268">
        <v>0</v>
      </c>
      <c r="BQ21" s="268" t="s">
        <v>176</v>
      </c>
      <c r="BR21" s="268">
        <v>0</v>
      </c>
      <c r="BS21" s="269">
        <v>0</v>
      </c>
      <c r="BT21" s="264" t="s">
        <v>411</v>
      </c>
      <c r="BU21" s="267" t="s">
        <v>406</v>
      </c>
      <c r="BV21" s="264">
        <v>0</v>
      </c>
      <c r="BW21" s="264">
        <v>0</v>
      </c>
      <c r="BX21" s="264">
        <v>0</v>
      </c>
      <c r="BY21" s="267" t="s">
        <v>176</v>
      </c>
      <c r="BZ21" s="264">
        <v>0</v>
      </c>
      <c r="CA21" s="264">
        <v>0</v>
      </c>
      <c r="CB21" s="264">
        <v>0</v>
      </c>
      <c r="CC21" s="267" t="s">
        <v>176</v>
      </c>
      <c r="CD21" s="264">
        <v>0</v>
      </c>
      <c r="CE21" s="264">
        <v>0</v>
      </c>
      <c r="CF21" s="264">
        <v>0</v>
      </c>
      <c r="CG21" s="267" t="s">
        <v>176</v>
      </c>
      <c r="CH21" s="264">
        <v>0</v>
      </c>
      <c r="CI21" s="264">
        <v>0</v>
      </c>
      <c r="CJ21" s="264">
        <v>0</v>
      </c>
      <c r="CK21" s="267" t="s">
        <v>176</v>
      </c>
      <c r="CL21" s="264">
        <v>0</v>
      </c>
      <c r="CM21" s="264">
        <v>0</v>
      </c>
      <c r="CN21" s="264">
        <v>0</v>
      </c>
      <c r="CO21" s="267" t="s">
        <v>176</v>
      </c>
      <c r="CP21" s="264">
        <v>0</v>
      </c>
      <c r="CQ21" s="264">
        <v>0</v>
      </c>
      <c r="CR21" s="264" t="s">
        <v>218</v>
      </c>
      <c r="CS21" s="267">
        <v>15</v>
      </c>
      <c r="CT21" s="264" t="s">
        <v>437</v>
      </c>
      <c r="CU21" s="264" t="s">
        <v>411</v>
      </c>
      <c r="CV21" s="264" t="s">
        <v>438</v>
      </c>
      <c r="CW21" s="270" t="s">
        <v>219</v>
      </c>
      <c r="CX21" s="267">
        <v>195</v>
      </c>
      <c r="CY21" s="264" t="s">
        <v>481</v>
      </c>
      <c r="CZ21" s="264" t="s">
        <v>411</v>
      </c>
      <c r="DA21" s="264" t="s">
        <v>482</v>
      </c>
      <c r="DB21" s="270" t="s">
        <v>219</v>
      </c>
      <c r="DC21" s="267">
        <v>25</v>
      </c>
      <c r="DD21" s="264" t="s">
        <v>483</v>
      </c>
      <c r="DE21" s="264" t="s">
        <v>411</v>
      </c>
      <c r="DF21" s="264" t="s">
        <v>484</v>
      </c>
      <c r="DG21" s="264">
        <v>0</v>
      </c>
      <c r="DH21" s="267">
        <v>0</v>
      </c>
      <c r="DI21" s="264">
        <v>0</v>
      </c>
      <c r="DJ21" s="264">
        <v>0</v>
      </c>
      <c r="DK21" s="264">
        <v>0</v>
      </c>
      <c r="DL21" s="264">
        <v>0</v>
      </c>
      <c r="DM21" s="267">
        <v>0</v>
      </c>
      <c r="DN21" s="264">
        <v>0</v>
      </c>
      <c r="DO21" s="264">
        <v>0</v>
      </c>
      <c r="DP21" s="264">
        <v>0</v>
      </c>
      <c r="DQ21" s="264">
        <v>0</v>
      </c>
      <c r="DR21" s="267">
        <v>0</v>
      </c>
      <c r="DS21" s="264">
        <v>0</v>
      </c>
      <c r="DT21" s="264">
        <v>0</v>
      </c>
      <c r="DU21" s="264">
        <v>0</v>
      </c>
      <c r="DV21" s="264">
        <v>0</v>
      </c>
      <c r="DW21" s="267">
        <v>0</v>
      </c>
      <c r="DX21" s="264">
        <v>0</v>
      </c>
      <c r="DY21" s="264">
        <v>0</v>
      </c>
      <c r="DZ21" s="264">
        <v>0</v>
      </c>
      <c r="EA21" s="264">
        <v>0</v>
      </c>
      <c r="EB21" s="267">
        <v>0</v>
      </c>
      <c r="EC21" s="264">
        <v>0</v>
      </c>
      <c r="ED21" s="264">
        <v>0</v>
      </c>
      <c r="EE21" s="264">
        <v>0</v>
      </c>
      <c r="EF21" s="264">
        <v>0</v>
      </c>
      <c r="EG21" s="267">
        <v>0</v>
      </c>
      <c r="EH21" s="264">
        <v>0</v>
      </c>
      <c r="EI21" s="264">
        <v>0</v>
      </c>
      <c r="EJ21" s="264">
        <v>0</v>
      </c>
      <c r="EK21" s="264">
        <v>0</v>
      </c>
      <c r="EL21" s="267">
        <v>0</v>
      </c>
      <c r="EM21" s="264">
        <v>0</v>
      </c>
      <c r="EN21" s="264">
        <v>0</v>
      </c>
      <c r="EO21" s="264">
        <v>0</v>
      </c>
      <c r="EP21" s="264">
        <v>0</v>
      </c>
      <c r="EQ21" s="267">
        <v>0</v>
      </c>
      <c r="ER21" s="264">
        <v>0</v>
      </c>
      <c r="ES21" s="264">
        <v>0</v>
      </c>
      <c r="ET21" s="264">
        <v>0</v>
      </c>
      <c r="EU21" s="264">
        <v>0</v>
      </c>
      <c r="EV21" s="267">
        <v>0</v>
      </c>
      <c r="EW21" s="264">
        <v>0</v>
      </c>
      <c r="EX21" s="264">
        <v>0</v>
      </c>
      <c r="EY21" s="264">
        <v>0</v>
      </c>
      <c r="EZ21" s="264" t="s">
        <v>411</v>
      </c>
      <c r="FA21" s="266">
        <v>1</v>
      </c>
      <c r="FB21" s="266">
        <v>0.33333333333333331</v>
      </c>
      <c r="FC21" s="267">
        <v>235</v>
      </c>
      <c r="FD21" s="267">
        <v>60</v>
      </c>
      <c r="FE21" s="267">
        <v>363</v>
      </c>
      <c r="FF21" s="267">
        <v>185</v>
      </c>
      <c r="FG21" s="267">
        <v>87.12</v>
      </c>
      <c r="FH21" s="264">
        <v>0</v>
      </c>
      <c r="FI21" s="264" t="s">
        <v>176</v>
      </c>
      <c r="FJ21" s="266">
        <v>0</v>
      </c>
      <c r="FK21" s="266">
        <v>0</v>
      </c>
      <c r="FL21" s="267">
        <v>0</v>
      </c>
      <c r="FM21" s="267">
        <v>0</v>
      </c>
      <c r="FN21" s="267">
        <v>0</v>
      </c>
      <c r="FO21" s="267" t="s">
        <v>176</v>
      </c>
      <c r="FP21" s="267">
        <v>0</v>
      </c>
      <c r="FQ21" s="264">
        <v>0</v>
      </c>
      <c r="FR21" s="264" t="s">
        <v>176</v>
      </c>
      <c r="FS21" s="266">
        <v>0</v>
      </c>
      <c r="FT21" s="266">
        <v>0</v>
      </c>
      <c r="FU21" s="267">
        <v>0</v>
      </c>
      <c r="FV21" s="267">
        <v>0</v>
      </c>
      <c r="FW21" s="267">
        <v>0</v>
      </c>
      <c r="FX21" s="267" t="s">
        <v>176</v>
      </c>
      <c r="FY21" s="267">
        <v>0</v>
      </c>
      <c r="FZ21" s="264">
        <v>0</v>
      </c>
      <c r="GA21" s="264" t="s">
        <v>176</v>
      </c>
      <c r="GB21" s="266">
        <v>0</v>
      </c>
      <c r="GC21" s="266">
        <v>0</v>
      </c>
      <c r="GD21" s="267">
        <v>0</v>
      </c>
      <c r="GE21" s="267">
        <v>0</v>
      </c>
      <c r="GF21" s="267">
        <v>0</v>
      </c>
      <c r="GG21" s="267" t="s">
        <v>176</v>
      </c>
      <c r="GH21" s="267">
        <v>0</v>
      </c>
      <c r="GI21" s="264">
        <v>0</v>
      </c>
      <c r="GJ21" s="264" t="s">
        <v>176</v>
      </c>
      <c r="GK21" s="266">
        <v>0</v>
      </c>
      <c r="GL21" s="266">
        <v>0</v>
      </c>
      <c r="GM21" s="267">
        <v>0</v>
      </c>
      <c r="GN21" s="267">
        <v>0</v>
      </c>
      <c r="GO21" s="267">
        <v>0</v>
      </c>
      <c r="GP21" s="267" t="s">
        <v>176</v>
      </c>
      <c r="GQ21" s="267">
        <v>0</v>
      </c>
      <c r="GR21" s="264">
        <v>0</v>
      </c>
      <c r="GS21" s="264" t="s">
        <v>176</v>
      </c>
      <c r="GT21" s="266">
        <v>0</v>
      </c>
      <c r="GU21" s="266">
        <v>0</v>
      </c>
      <c r="GV21" s="267">
        <v>0</v>
      </c>
      <c r="GW21" s="267">
        <v>0</v>
      </c>
      <c r="GX21" s="267">
        <v>0</v>
      </c>
      <c r="GY21" s="267" t="s">
        <v>176</v>
      </c>
      <c r="GZ21" s="267">
        <v>0</v>
      </c>
      <c r="HA21" s="264">
        <v>0</v>
      </c>
      <c r="HB21" s="264" t="s">
        <v>411</v>
      </c>
      <c r="HC21" s="264">
        <v>8712</v>
      </c>
      <c r="HD21" s="267">
        <v>8712</v>
      </c>
      <c r="HE21" s="267">
        <v>0</v>
      </c>
      <c r="HF21" s="267">
        <v>8712</v>
      </c>
      <c r="HG21" s="267">
        <v>98</v>
      </c>
      <c r="HH21" s="267">
        <v>8712</v>
      </c>
      <c r="HI21" s="267">
        <v>125</v>
      </c>
      <c r="HJ21" s="267">
        <v>363</v>
      </c>
      <c r="HK21" s="267">
        <v>1</v>
      </c>
      <c r="HL21" s="267">
        <v>363</v>
      </c>
      <c r="HM21" s="267">
        <v>0</v>
      </c>
      <c r="HN21" s="267">
        <v>363</v>
      </c>
      <c r="HO21" s="267">
        <v>0</v>
      </c>
      <c r="HP21" s="267" t="s">
        <v>176</v>
      </c>
      <c r="HQ21" s="267">
        <v>0</v>
      </c>
      <c r="HR21" s="267">
        <v>0</v>
      </c>
      <c r="HS21" s="267">
        <v>0</v>
      </c>
      <c r="HT21" s="267">
        <v>0</v>
      </c>
      <c r="HU21" s="267">
        <v>0</v>
      </c>
      <c r="HV21" s="267">
        <v>0</v>
      </c>
      <c r="HW21" s="267">
        <v>0</v>
      </c>
      <c r="HX21" s="267">
        <v>0</v>
      </c>
      <c r="HY21" s="267">
        <v>0</v>
      </c>
      <c r="HZ21" s="267">
        <v>0</v>
      </c>
      <c r="IA21" s="267">
        <v>0</v>
      </c>
      <c r="IB21" s="267">
        <v>0</v>
      </c>
      <c r="IC21" s="267">
        <v>0</v>
      </c>
      <c r="ID21" s="267" t="s">
        <v>176</v>
      </c>
      <c r="IE21" s="267">
        <v>0</v>
      </c>
      <c r="IF21" s="267">
        <v>0</v>
      </c>
      <c r="IG21" s="267">
        <v>0</v>
      </c>
      <c r="IH21" s="267">
        <v>0</v>
      </c>
      <c r="II21" s="267">
        <v>0</v>
      </c>
      <c r="IJ21" s="267">
        <v>0</v>
      </c>
      <c r="IK21" s="267">
        <v>0</v>
      </c>
      <c r="IL21" s="267">
        <v>0</v>
      </c>
      <c r="IM21" s="267">
        <v>0</v>
      </c>
      <c r="IN21" s="267">
        <v>0</v>
      </c>
      <c r="IO21" s="267">
        <v>0</v>
      </c>
      <c r="IP21" s="267">
        <v>0</v>
      </c>
      <c r="IQ21" s="267">
        <v>0</v>
      </c>
      <c r="IR21" s="267" t="s">
        <v>176</v>
      </c>
      <c r="IS21" s="267">
        <v>0</v>
      </c>
      <c r="IT21" s="272">
        <v>0</v>
      </c>
      <c r="IU21" s="272">
        <v>0</v>
      </c>
      <c r="IV21" s="272">
        <v>0</v>
      </c>
      <c r="IW21" s="272">
        <v>0</v>
      </c>
      <c r="IX21" s="272">
        <v>0</v>
      </c>
      <c r="IY21" s="272">
        <v>0</v>
      </c>
      <c r="IZ21" s="267">
        <v>0</v>
      </c>
      <c r="JA21" s="267">
        <v>0</v>
      </c>
      <c r="JB21" s="267">
        <v>0</v>
      </c>
      <c r="JC21" s="267">
        <v>0</v>
      </c>
      <c r="JD21" s="267">
        <v>0</v>
      </c>
      <c r="JE21" s="267">
        <v>0</v>
      </c>
      <c r="JF21" s="267" t="s">
        <v>176</v>
      </c>
      <c r="JG21" s="267">
        <v>0</v>
      </c>
      <c r="JH21" s="267">
        <v>0</v>
      </c>
      <c r="JI21" s="267">
        <v>0</v>
      </c>
      <c r="JJ21" s="267">
        <v>0</v>
      </c>
      <c r="JK21" s="267">
        <v>0</v>
      </c>
      <c r="JL21" s="267">
        <v>0</v>
      </c>
      <c r="JM21" s="267">
        <v>0</v>
      </c>
      <c r="JN21" s="267">
        <v>0</v>
      </c>
      <c r="JO21" s="267">
        <v>0</v>
      </c>
      <c r="JP21" s="267">
        <v>0</v>
      </c>
      <c r="JQ21" s="267">
        <v>0</v>
      </c>
      <c r="JR21" s="267">
        <v>0</v>
      </c>
      <c r="JS21" s="267">
        <v>0</v>
      </c>
      <c r="JT21" s="267" t="s">
        <v>176</v>
      </c>
      <c r="JU21" s="267">
        <v>0</v>
      </c>
      <c r="JV21" s="267">
        <v>0</v>
      </c>
      <c r="JW21" s="267">
        <v>0</v>
      </c>
      <c r="JX21" s="267">
        <v>0</v>
      </c>
      <c r="JY21" s="267">
        <v>0</v>
      </c>
      <c r="JZ21" s="267">
        <v>0</v>
      </c>
      <c r="KA21" s="267">
        <v>0</v>
      </c>
      <c r="KB21" s="267">
        <v>0</v>
      </c>
      <c r="KC21" s="267">
        <v>0</v>
      </c>
      <c r="KD21" s="267">
        <v>0</v>
      </c>
      <c r="KE21" s="267">
        <v>0</v>
      </c>
      <c r="KF21" s="267">
        <v>0</v>
      </c>
      <c r="KG21" s="267">
        <v>0</v>
      </c>
      <c r="KH21" s="266">
        <v>1</v>
      </c>
      <c r="KI21" s="266">
        <v>0.33333333333333331</v>
      </c>
      <c r="KJ21" s="267">
        <v>60</v>
      </c>
      <c r="KK21" s="266">
        <v>0</v>
      </c>
      <c r="KL21" s="266">
        <v>0</v>
      </c>
      <c r="KM21" s="267">
        <v>0</v>
      </c>
      <c r="KN21" s="266">
        <v>0</v>
      </c>
      <c r="KO21" s="266">
        <v>0</v>
      </c>
      <c r="KP21" s="267">
        <v>0</v>
      </c>
      <c r="KQ21" s="266">
        <v>0</v>
      </c>
      <c r="KR21" s="266">
        <v>0</v>
      </c>
      <c r="KS21" s="267">
        <v>0</v>
      </c>
      <c r="KT21" s="266">
        <v>0</v>
      </c>
      <c r="KU21" s="266">
        <v>0</v>
      </c>
      <c r="KV21" s="267">
        <v>0</v>
      </c>
      <c r="KW21" s="266">
        <v>0</v>
      </c>
      <c r="KX21" s="266">
        <v>0</v>
      </c>
      <c r="KY21" s="267">
        <v>0</v>
      </c>
    </row>
    <row r="22" spans="1:311" ht="29">
      <c r="A22" s="263">
        <v>44339</v>
      </c>
      <c r="B22" s="264" t="s">
        <v>180</v>
      </c>
      <c r="C22" s="265">
        <v>1</v>
      </c>
      <c r="D22" s="265">
        <v>0.4319999999999995</v>
      </c>
      <c r="E22" s="265">
        <v>0.91062394603709951</v>
      </c>
      <c r="F22" s="265">
        <v>0.3933895446880265</v>
      </c>
      <c r="G22" s="266">
        <v>0.93055555555555547</v>
      </c>
      <c r="H22" s="266">
        <v>1</v>
      </c>
      <c r="I22" s="264" t="s">
        <v>423</v>
      </c>
      <c r="J22" s="267">
        <v>100.00000000000013</v>
      </c>
      <c r="K22" s="267">
        <v>100.00000000000013</v>
      </c>
      <c r="L22" s="267">
        <v>0</v>
      </c>
      <c r="M22" s="267">
        <v>100.00000000000013</v>
      </c>
      <c r="N22" s="267">
        <v>43.2</v>
      </c>
      <c r="O22" s="267">
        <v>424</v>
      </c>
      <c r="P22" s="267">
        <v>0</v>
      </c>
      <c r="Q22" s="267">
        <v>4320</v>
      </c>
      <c r="R22" s="264">
        <v>0</v>
      </c>
      <c r="S22" s="267">
        <v>0</v>
      </c>
      <c r="T22" s="267">
        <v>0</v>
      </c>
      <c r="U22" s="267">
        <v>0</v>
      </c>
      <c r="V22" s="267">
        <v>0</v>
      </c>
      <c r="W22" s="264" t="s">
        <v>176</v>
      </c>
      <c r="X22" s="264">
        <v>0</v>
      </c>
      <c r="Y22" s="267">
        <v>0</v>
      </c>
      <c r="Z22" s="267">
        <v>0</v>
      </c>
      <c r="AA22" s="267">
        <v>0</v>
      </c>
      <c r="AB22" s="267">
        <v>0</v>
      </c>
      <c r="AC22" s="264" t="s">
        <v>176</v>
      </c>
      <c r="AD22" s="264">
        <v>0</v>
      </c>
      <c r="AE22" s="267">
        <v>0</v>
      </c>
      <c r="AF22" s="267">
        <v>0</v>
      </c>
      <c r="AG22" s="267">
        <v>0</v>
      </c>
      <c r="AH22" s="267">
        <v>0</v>
      </c>
      <c r="AI22" s="264" t="s">
        <v>176</v>
      </c>
      <c r="AJ22" s="264">
        <v>0</v>
      </c>
      <c r="AK22" s="267">
        <v>0</v>
      </c>
      <c r="AL22" s="267">
        <v>0</v>
      </c>
      <c r="AM22" s="267">
        <v>0</v>
      </c>
      <c r="AN22" s="267">
        <v>0</v>
      </c>
      <c r="AO22" s="264" t="s">
        <v>176</v>
      </c>
      <c r="AP22" s="264">
        <v>0</v>
      </c>
      <c r="AQ22" s="267">
        <v>0</v>
      </c>
      <c r="AR22" s="267">
        <v>0</v>
      </c>
      <c r="AS22" s="267">
        <v>0</v>
      </c>
      <c r="AT22" s="267">
        <v>0</v>
      </c>
      <c r="AU22" s="264" t="s">
        <v>176</v>
      </c>
      <c r="AV22" s="264">
        <v>0</v>
      </c>
      <c r="AW22" s="267">
        <v>0</v>
      </c>
      <c r="AX22" s="267">
        <v>0</v>
      </c>
      <c r="AY22" s="267">
        <v>0</v>
      </c>
      <c r="AZ22" s="267">
        <v>0</v>
      </c>
      <c r="BA22" s="264" t="s">
        <v>176</v>
      </c>
      <c r="BB22" s="268">
        <v>0</v>
      </c>
      <c r="BC22" s="268">
        <v>0</v>
      </c>
      <c r="BD22" s="268">
        <v>0</v>
      </c>
      <c r="BE22" s="268">
        <v>0</v>
      </c>
      <c r="BF22" s="268">
        <v>0</v>
      </c>
      <c r="BG22" s="269">
        <v>0</v>
      </c>
      <c r="BH22" s="268">
        <v>0</v>
      </c>
      <c r="BI22" s="268">
        <v>0</v>
      </c>
      <c r="BJ22" s="268">
        <v>0</v>
      </c>
      <c r="BK22" s="268">
        <v>0</v>
      </c>
      <c r="BL22" s="268">
        <v>0</v>
      </c>
      <c r="BM22" s="269">
        <v>0</v>
      </c>
      <c r="BN22" s="268">
        <v>0</v>
      </c>
      <c r="BO22" s="268">
        <v>0</v>
      </c>
      <c r="BP22" s="268">
        <v>0</v>
      </c>
      <c r="BQ22" s="268" t="s">
        <v>176</v>
      </c>
      <c r="BR22" s="268">
        <v>0</v>
      </c>
      <c r="BS22" s="269">
        <v>0</v>
      </c>
      <c r="BT22" s="264" t="s">
        <v>414</v>
      </c>
      <c r="BU22" s="267" t="s">
        <v>406</v>
      </c>
      <c r="BV22" s="264">
        <v>0</v>
      </c>
      <c r="BW22" s="264">
        <v>0</v>
      </c>
      <c r="BX22" s="264">
        <v>0</v>
      </c>
      <c r="BY22" s="267" t="s">
        <v>176</v>
      </c>
      <c r="BZ22" s="264">
        <v>0</v>
      </c>
      <c r="CA22" s="264">
        <v>0</v>
      </c>
      <c r="CB22" s="264">
        <v>0</v>
      </c>
      <c r="CC22" s="267" t="s">
        <v>176</v>
      </c>
      <c r="CD22" s="264">
        <v>0</v>
      </c>
      <c r="CE22" s="264">
        <v>0</v>
      </c>
      <c r="CF22" s="264">
        <v>0</v>
      </c>
      <c r="CG22" s="267" t="s">
        <v>176</v>
      </c>
      <c r="CH22" s="264">
        <v>0</v>
      </c>
      <c r="CI22" s="264">
        <v>0</v>
      </c>
      <c r="CJ22" s="264">
        <v>0</v>
      </c>
      <c r="CK22" s="267" t="s">
        <v>176</v>
      </c>
      <c r="CL22" s="264">
        <v>0</v>
      </c>
      <c r="CM22" s="264">
        <v>0</v>
      </c>
      <c r="CN22" s="264">
        <v>0</v>
      </c>
      <c r="CO22" s="267" t="s">
        <v>176</v>
      </c>
      <c r="CP22" s="264">
        <v>0</v>
      </c>
      <c r="CQ22" s="264">
        <v>0</v>
      </c>
      <c r="CR22" s="264">
        <v>0</v>
      </c>
      <c r="CS22" s="267">
        <v>0</v>
      </c>
      <c r="CT22" s="264">
        <v>0</v>
      </c>
      <c r="CU22" s="264">
        <v>0</v>
      </c>
      <c r="CV22" s="264">
        <v>0</v>
      </c>
      <c r="CW22" s="270">
        <v>0</v>
      </c>
      <c r="CX22" s="267">
        <v>0</v>
      </c>
      <c r="CY22" s="264">
        <v>0</v>
      </c>
      <c r="CZ22" s="264">
        <v>0</v>
      </c>
      <c r="DA22" s="264">
        <v>0</v>
      </c>
      <c r="DB22" s="270">
        <v>0</v>
      </c>
      <c r="DC22" s="267">
        <v>0</v>
      </c>
      <c r="DD22" s="264">
        <v>0</v>
      </c>
      <c r="DE22" s="264">
        <v>0</v>
      </c>
      <c r="DF22" s="264">
        <v>0</v>
      </c>
      <c r="DG22" s="264">
        <v>0</v>
      </c>
      <c r="DH22" s="267">
        <v>0</v>
      </c>
      <c r="DI22" s="264">
        <v>0</v>
      </c>
      <c r="DJ22" s="264">
        <v>0</v>
      </c>
      <c r="DK22" s="264">
        <v>0</v>
      </c>
      <c r="DL22" s="264">
        <v>0</v>
      </c>
      <c r="DM22" s="267">
        <v>0</v>
      </c>
      <c r="DN22" s="264">
        <v>0</v>
      </c>
      <c r="DO22" s="264">
        <v>0</v>
      </c>
      <c r="DP22" s="264">
        <v>0</v>
      </c>
      <c r="DQ22" s="264">
        <v>0</v>
      </c>
      <c r="DR22" s="267">
        <v>0</v>
      </c>
      <c r="DS22" s="264">
        <v>0</v>
      </c>
      <c r="DT22" s="264">
        <v>0</v>
      </c>
      <c r="DU22" s="264">
        <v>0</v>
      </c>
      <c r="DV22" s="264">
        <v>0</v>
      </c>
      <c r="DW22" s="267">
        <v>0</v>
      </c>
      <c r="DX22" s="264">
        <v>0</v>
      </c>
      <c r="DY22" s="264">
        <v>0</v>
      </c>
      <c r="DZ22" s="264">
        <v>0</v>
      </c>
      <c r="EA22" s="264">
        <v>0</v>
      </c>
      <c r="EB22" s="267">
        <v>0</v>
      </c>
      <c r="EC22" s="264">
        <v>0</v>
      </c>
      <c r="ED22" s="264">
        <v>0</v>
      </c>
      <c r="EE22" s="264">
        <v>0</v>
      </c>
      <c r="EF22" s="264">
        <v>0</v>
      </c>
      <c r="EG22" s="267">
        <v>0</v>
      </c>
      <c r="EH22" s="264">
        <v>0</v>
      </c>
      <c r="EI22" s="264">
        <v>0</v>
      </c>
      <c r="EJ22" s="264">
        <v>0</v>
      </c>
      <c r="EK22" s="264">
        <v>0</v>
      </c>
      <c r="EL22" s="267">
        <v>0</v>
      </c>
      <c r="EM22" s="264">
        <v>0</v>
      </c>
      <c r="EN22" s="264">
        <v>0</v>
      </c>
      <c r="EO22" s="264">
        <v>0</v>
      </c>
      <c r="EP22" s="264">
        <v>0</v>
      </c>
      <c r="EQ22" s="267">
        <v>0</v>
      </c>
      <c r="ER22" s="264">
        <v>0</v>
      </c>
      <c r="ES22" s="264">
        <v>0</v>
      </c>
      <c r="ET22" s="264">
        <v>0</v>
      </c>
      <c r="EU22" s="264">
        <v>0</v>
      </c>
      <c r="EV22" s="267">
        <v>0</v>
      </c>
      <c r="EW22" s="264">
        <v>0</v>
      </c>
      <c r="EX22" s="264">
        <v>0</v>
      </c>
      <c r="EY22" s="264">
        <v>0</v>
      </c>
      <c r="EZ22" s="264" t="s">
        <v>414</v>
      </c>
      <c r="FA22" s="266">
        <v>0.93055555555555547</v>
      </c>
      <c r="FB22" s="266">
        <v>1</v>
      </c>
      <c r="FC22" s="267">
        <v>0</v>
      </c>
      <c r="FD22" s="267">
        <v>0</v>
      </c>
      <c r="FE22" s="267">
        <v>180</v>
      </c>
      <c r="FF22" s="267">
        <v>100.00000000000011</v>
      </c>
      <c r="FG22" s="267">
        <v>43.2</v>
      </c>
      <c r="FH22" s="264">
        <v>0</v>
      </c>
      <c r="FI22" s="264" t="s">
        <v>176</v>
      </c>
      <c r="FJ22" s="266">
        <v>0</v>
      </c>
      <c r="FK22" s="266">
        <v>0</v>
      </c>
      <c r="FL22" s="267">
        <v>0</v>
      </c>
      <c r="FM22" s="267">
        <v>0</v>
      </c>
      <c r="FN22" s="267">
        <v>0</v>
      </c>
      <c r="FO22" s="267" t="s">
        <v>176</v>
      </c>
      <c r="FP22" s="267">
        <v>0</v>
      </c>
      <c r="FQ22" s="264">
        <v>0</v>
      </c>
      <c r="FR22" s="264" t="s">
        <v>176</v>
      </c>
      <c r="FS22" s="266">
        <v>0</v>
      </c>
      <c r="FT22" s="266">
        <v>0</v>
      </c>
      <c r="FU22" s="267">
        <v>0</v>
      </c>
      <c r="FV22" s="267">
        <v>0</v>
      </c>
      <c r="FW22" s="267">
        <v>0</v>
      </c>
      <c r="FX22" s="267" t="s">
        <v>176</v>
      </c>
      <c r="FY22" s="267">
        <v>0</v>
      </c>
      <c r="FZ22" s="264">
        <v>0</v>
      </c>
      <c r="GA22" s="264" t="s">
        <v>176</v>
      </c>
      <c r="GB22" s="266">
        <v>0</v>
      </c>
      <c r="GC22" s="266">
        <v>0</v>
      </c>
      <c r="GD22" s="267">
        <v>0</v>
      </c>
      <c r="GE22" s="267">
        <v>0</v>
      </c>
      <c r="GF22" s="267">
        <v>0</v>
      </c>
      <c r="GG22" s="267" t="s">
        <v>176</v>
      </c>
      <c r="GH22" s="267">
        <v>0</v>
      </c>
      <c r="GI22" s="264">
        <v>0</v>
      </c>
      <c r="GJ22" s="264" t="s">
        <v>176</v>
      </c>
      <c r="GK22" s="266">
        <v>0</v>
      </c>
      <c r="GL22" s="266">
        <v>0</v>
      </c>
      <c r="GM22" s="267">
        <v>0</v>
      </c>
      <c r="GN22" s="267">
        <v>0</v>
      </c>
      <c r="GO22" s="267">
        <v>0</v>
      </c>
      <c r="GP22" s="267" t="s">
        <v>176</v>
      </c>
      <c r="GQ22" s="267">
        <v>0</v>
      </c>
      <c r="GR22" s="264">
        <v>0</v>
      </c>
      <c r="GS22" s="264" t="s">
        <v>176</v>
      </c>
      <c r="GT22" s="266">
        <v>0</v>
      </c>
      <c r="GU22" s="266">
        <v>0</v>
      </c>
      <c r="GV22" s="267">
        <v>0</v>
      </c>
      <c r="GW22" s="267">
        <v>0</v>
      </c>
      <c r="GX22" s="267">
        <v>0</v>
      </c>
      <c r="GY22" s="267" t="s">
        <v>176</v>
      </c>
      <c r="GZ22" s="267">
        <v>0</v>
      </c>
      <c r="HA22" s="264">
        <v>0</v>
      </c>
      <c r="HB22" s="264" t="s">
        <v>414</v>
      </c>
      <c r="HC22" s="264">
        <v>4320</v>
      </c>
      <c r="HD22" s="267">
        <v>4320</v>
      </c>
      <c r="HE22" s="267">
        <v>0</v>
      </c>
      <c r="HF22" s="267">
        <v>4320</v>
      </c>
      <c r="HG22" s="267">
        <v>130</v>
      </c>
      <c r="HH22" s="267">
        <v>4320</v>
      </c>
      <c r="HI22" s="267">
        <v>198</v>
      </c>
      <c r="HJ22" s="267">
        <v>180</v>
      </c>
      <c r="HK22" s="267">
        <v>4</v>
      </c>
      <c r="HL22" s="267">
        <v>180</v>
      </c>
      <c r="HM22" s="267">
        <v>0</v>
      </c>
      <c r="HN22" s="267">
        <v>180</v>
      </c>
      <c r="HO22" s="267">
        <v>0</v>
      </c>
      <c r="HP22" s="267" t="s">
        <v>176</v>
      </c>
      <c r="HQ22" s="267">
        <v>0</v>
      </c>
      <c r="HR22" s="267">
        <v>0</v>
      </c>
      <c r="HS22" s="267">
        <v>0</v>
      </c>
      <c r="HT22" s="267">
        <v>0</v>
      </c>
      <c r="HU22" s="267">
        <v>0</v>
      </c>
      <c r="HV22" s="267">
        <v>0</v>
      </c>
      <c r="HW22" s="267">
        <v>0</v>
      </c>
      <c r="HX22" s="267">
        <v>0</v>
      </c>
      <c r="HY22" s="267">
        <v>0</v>
      </c>
      <c r="HZ22" s="267">
        <v>0</v>
      </c>
      <c r="IA22" s="267">
        <v>0</v>
      </c>
      <c r="IB22" s="267">
        <v>0</v>
      </c>
      <c r="IC22" s="267">
        <v>0</v>
      </c>
      <c r="ID22" s="267" t="s">
        <v>176</v>
      </c>
      <c r="IE22" s="267">
        <v>0</v>
      </c>
      <c r="IF22" s="267">
        <v>0</v>
      </c>
      <c r="IG22" s="267">
        <v>0</v>
      </c>
      <c r="IH22" s="267">
        <v>0</v>
      </c>
      <c r="II22" s="267">
        <v>0</v>
      </c>
      <c r="IJ22" s="267">
        <v>0</v>
      </c>
      <c r="IK22" s="267">
        <v>0</v>
      </c>
      <c r="IL22" s="267">
        <v>0</v>
      </c>
      <c r="IM22" s="267">
        <v>0</v>
      </c>
      <c r="IN22" s="267">
        <v>0</v>
      </c>
      <c r="IO22" s="267">
        <v>0</v>
      </c>
      <c r="IP22" s="267">
        <v>0</v>
      </c>
      <c r="IQ22" s="267">
        <v>0</v>
      </c>
      <c r="IR22" s="267" t="s">
        <v>176</v>
      </c>
      <c r="IS22" s="267">
        <v>0</v>
      </c>
      <c r="IT22" s="272">
        <v>0</v>
      </c>
      <c r="IU22" s="272">
        <v>0</v>
      </c>
      <c r="IV22" s="272">
        <v>0</v>
      </c>
      <c r="IW22" s="272">
        <v>0</v>
      </c>
      <c r="IX22" s="272">
        <v>0</v>
      </c>
      <c r="IY22" s="272">
        <v>0</v>
      </c>
      <c r="IZ22" s="267">
        <v>0</v>
      </c>
      <c r="JA22" s="267">
        <v>0</v>
      </c>
      <c r="JB22" s="267">
        <v>0</v>
      </c>
      <c r="JC22" s="267">
        <v>0</v>
      </c>
      <c r="JD22" s="267">
        <v>0</v>
      </c>
      <c r="JE22" s="267">
        <v>0</v>
      </c>
      <c r="JF22" s="267" t="s">
        <v>176</v>
      </c>
      <c r="JG22" s="267">
        <v>0</v>
      </c>
      <c r="JH22" s="267">
        <v>0</v>
      </c>
      <c r="JI22" s="267">
        <v>0</v>
      </c>
      <c r="JJ22" s="267">
        <v>0</v>
      </c>
      <c r="JK22" s="267">
        <v>0</v>
      </c>
      <c r="JL22" s="267">
        <v>0</v>
      </c>
      <c r="JM22" s="267">
        <v>0</v>
      </c>
      <c r="JN22" s="267">
        <v>0</v>
      </c>
      <c r="JO22" s="267">
        <v>0</v>
      </c>
      <c r="JP22" s="267">
        <v>0</v>
      </c>
      <c r="JQ22" s="267">
        <v>0</v>
      </c>
      <c r="JR22" s="267">
        <v>0</v>
      </c>
      <c r="JS22" s="267">
        <v>0</v>
      </c>
      <c r="JT22" s="267" t="s">
        <v>176</v>
      </c>
      <c r="JU22" s="267">
        <v>0</v>
      </c>
      <c r="JV22" s="267">
        <v>0</v>
      </c>
      <c r="JW22" s="267">
        <v>0</v>
      </c>
      <c r="JX22" s="267">
        <v>0</v>
      </c>
      <c r="JY22" s="267">
        <v>0</v>
      </c>
      <c r="JZ22" s="267">
        <v>0</v>
      </c>
      <c r="KA22" s="267">
        <v>0</v>
      </c>
      <c r="KB22" s="267">
        <v>0</v>
      </c>
      <c r="KC22" s="267">
        <v>0</v>
      </c>
      <c r="KD22" s="267">
        <v>0</v>
      </c>
      <c r="KE22" s="267">
        <v>0</v>
      </c>
      <c r="KF22" s="267">
        <v>0</v>
      </c>
      <c r="KG22" s="267">
        <v>0</v>
      </c>
      <c r="KH22" s="266">
        <v>0.93055555555555547</v>
      </c>
      <c r="KI22" s="266">
        <v>1</v>
      </c>
      <c r="KJ22" s="267">
        <v>0</v>
      </c>
      <c r="KK22" s="266">
        <v>0</v>
      </c>
      <c r="KL22" s="266">
        <v>0</v>
      </c>
      <c r="KM22" s="267">
        <v>0</v>
      </c>
      <c r="KN22" s="266">
        <v>0</v>
      </c>
      <c r="KO22" s="266">
        <v>0</v>
      </c>
      <c r="KP22" s="267">
        <v>0</v>
      </c>
      <c r="KQ22" s="266">
        <v>0</v>
      </c>
      <c r="KR22" s="266">
        <v>0</v>
      </c>
      <c r="KS22" s="267">
        <v>0</v>
      </c>
      <c r="KT22" s="266">
        <v>0</v>
      </c>
      <c r="KU22" s="266">
        <v>0</v>
      </c>
      <c r="KV22" s="267">
        <v>0</v>
      </c>
      <c r="KW22" s="266">
        <v>0</v>
      </c>
      <c r="KX22" s="266">
        <v>0</v>
      </c>
      <c r="KY22" s="267">
        <v>0</v>
      </c>
    </row>
    <row r="23" spans="1:311" ht="58">
      <c r="A23" s="263">
        <v>44355</v>
      </c>
      <c r="B23" s="264" t="s">
        <v>211</v>
      </c>
      <c r="C23" s="265">
        <v>0.9285714285714286</v>
      </c>
      <c r="D23" s="265">
        <v>0.30100334448160537</v>
      </c>
      <c r="E23" s="265">
        <v>0.95406360424028269</v>
      </c>
      <c r="F23" s="265">
        <v>0.26666374031560697</v>
      </c>
      <c r="G23" s="266">
        <v>1</v>
      </c>
      <c r="H23" s="266">
        <v>0.33333333333333331</v>
      </c>
      <c r="I23" s="264" t="s">
        <v>423</v>
      </c>
      <c r="J23" s="267">
        <v>480</v>
      </c>
      <c r="K23" s="267">
        <v>420</v>
      </c>
      <c r="L23" s="267">
        <v>30</v>
      </c>
      <c r="M23" s="267">
        <v>390</v>
      </c>
      <c r="N23" s="267">
        <v>117.39130434782609</v>
      </c>
      <c r="O23" s="267">
        <v>650</v>
      </c>
      <c r="P23" s="267">
        <v>0</v>
      </c>
      <c r="Q23" s="267">
        <v>13500</v>
      </c>
      <c r="R23" s="264" t="s">
        <v>212</v>
      </c>
      <c r="S23" s="267">
        <v>30</v>
      </c>
      <c r="T23" s="267">
        <v>30</v>
      </c>
      <c r="U23" s="267">
        <v>0</v>
      </c>
      <c r="V23" s="267" t="s">
        <v>400</v>
      </c>
      <c r="W23" s="264" t="s">
        <v>487</v>
      </c>
      <c r="X23" s="264" t="s">
        <v>212</v>
      </c>
      <c r="Y23" s="267">
        <v>30</v>
      </c>
      <c r="Z23" s="267">
        <v>30</v>
      </c>
      <c r="AA23" s="267">
        <v>0</v>
      </c>
      <c r="AB23" s="267" t="s">
        <v>400</v>
      </c>
      <c r="AC23" s="264" t="s">
        <v>176</v>
      </c>
      <c r="AD23" s="264">
        <v>0</v>
      </c>
      <c r="AE23" s="267">
        <v>0</v>
      </c>
      <c r="AF23" s="267">
        <v>0</v>
      </c>
      <c r="AG23" s="267">
        <v>0</v>
      </c>
      <c r="AH23" s="267">
        <v>0</v>
      </c>
      <c r="AI23" s="264" t="s">
        <v>176</v>
      </c>
      <c r="AJ23" s="264">
        <v>0</v>
      </c>
      <c r="AK23" s="267">
        <v>0</v>
      </c>
      <c r="AL23" s="267">
        <v>0</v>
      </c>
      <c r="AM23" s="267">
        <v>0</v>
      </c>
      <c r="AN23" s="267">
        <v>0</v>
      </c>
      <c r="AO23" s="264" t="s">
        <v>176</v>
      </c>
      <c r="AP23" s="264">
        <v>0</v>
      </c>
      <c r="AQ23" s="267">
        <v>0</v>
      </c>
      <c r="AR23" s="267">
        <v>0</v>
      </c>
      <c r="AS23" s="267">
        <v>0</v>
      </c>
      <c r="AT23" s="267">
        <v>0</v>
      </c>
      <c r="AU23" s="264" t="s">
        <v>176</v>
      </c>
      <c r="AV23" s="264">
        <v>0</v>
      </c>
      <c r="AW23" s="267">
        <v>0</v>
      </c>
      <c r="AX23" s="267">
        <v>0</v>
      </c>
      <c r="AY23" s="267">
        <v>0</v>
      </c>
      <c r="AZ23" s="267">
        <v>0</v>
      </c>
      <c r="BA23" s="264" t="s">
        <v>176</v>
      </c>
      <c r="BB23" s="268">
        <v>0</v>
      </c>
      <c r="BC23" s="268">
        <v>0</v>
      </c>
      <c r="BD23" s="268">
        <v>0</v>
      </c>
      <c r="BE23" s="268">
        <v>0</v>
      </c>
      <c r="BF23" s="268">
        <v>0</v>
      </c>
      <c r="BG23" s="269">
        <v>0</v>
      </c>
      <c r="BH23" s="268">
        <v>0</v>
      </c>
      <c r="BI23" s="268">
        <v>0</v>
      </c>
      <c r="BJ23" s="268">
        <v>0</v>
      </c>
      <c r="BK23" s="268">
        <v>0</v>
      </c>
      <c r="BL23" s="268">
        <v>0</v>
      </c>
      <c r="BM23" s="269">
        <v>0</v>
      </c>
      <c r="BN23" s="268">
        <v>0</v>
      </c>
      <c r="BO23" s="268">
        <v>0</v>
      </c>
      <c r="BP23" s="268">
        <v>0</v>
      </c>
      <c r="BQ23" s="268" t="s">
        <v>176</v>
      </c>
      <c r="BR23" s="268">
        <v>0</v>
      </c>
      <c r="BS23" s="269">
        <v>0</v>
      </c>
      <c r="BT23" s="264" t="s">
        <v>400</v>
      </c>
      <c r="BU23" s="267" t="s">
        <v>399</v>
      </c>
      <c r="BV23" s="264">
        <v>0</v>
      </c>
      <c r="BW23" s="264">
        <v>0</v>
      </c>
      <c r="BX23" s="264">
        <v>0</v>
      </c>
      <c r="BY23" s="267" t="s">
        <v>176</v>
      </c>
      <c r="BZ23" s="264">
        <v>0</v>
      </c>
      <c r="CA23" s="264">
        <v>0</v>
      </c>
      <c r="CB23" s="264">
        <v>0</v>
      </c>
      <c r="CC23" s="267" t="s">
        <v>176</v>
      </c>
      <c r="CD23" s="264">
        <v>0</v>
      </c>
      <c r="CE23" s="264">
        <v>0</v>
      </c>
      <c r="CF23" s="264">
        <v>0</v>
      </c>
      <c r="CG23" s="267" t="s">
        <v>176</v>
      </c>
      <c r="CH23" s="264">
        <v>0</v>
      </c>
      <c r="CI23" s="264">
        <v>0</v>
      </c>
      <c r="CJ23" s="264">
        <v>0</v>
      </c>
      <c r="CK23" s="267" t="s">
        <v>176</v>
      </c>
      <c r="CL23" s="264">
        <v>0</v>
      </c>
      <c r="CM23" s="264">
        <v>0</v>
      </c>
      <c r="CN23" s="264">
        <v>0</v>
      </c>
      <c r="CO23" s="267" t="s">
        <v>176</v>
      </c>
      <c r="CP23" s="264">
        <v>0</v>
      </c>
      <c r="CQ23" s="264">
        <v>0</v>
      </c>
      <c r="CR23" s="264" t="s">
        <v>252</v>
      </c>
      <c r="CS23" s="267">
        <v>30</v>
      </c>
      <c r="CT23" s="264" t="s">
        <v>486</v>
      </c>
      <c r="CU23" s="264" t="s">
        <v>400</v>
      </c>
      <c r="CV23" s="264">
        <v>0</v>
      </c>
      <c r="CW23" s="270">
        <v>0</v>
      </c>
      <c r="CX23" s="267">
        <v>0</v>
      </c>
      <c r="CY23" s="264">
        <v>0</v>
      </c>
      <c r="CZ23" s="264">
        <v>0</v>
      </c>
      <c r="DA23" s="264">
        <v>0</v>
      </c>
      <c r="DB23" s="270">
        <v>0</v>
      </c>
      <c r="DC23" s="267">
        <v>0</v>
      </c>
      <c r="DD23" s="264">
        <v>0</v>
      </c>
      <c r="DE23" s="264">
        <v>0</v>
      </c>
      <c r="DF23" s="264">
        <v>0</v>
      </c>
      <c r="DG23" s="264">
        <v>0</v>
      </c>
      <c r="DH23" s="267">
        <v>0</v>
      </c>
      <c r="DI23" s="264">
        <v>0</v>
      </c>
      <c r="DJ23" s="264">
        <v>0</v>
      </c>
      <c r="DK23" s="264">
        <v>0</v>
      </c>
      <c r="DL23" s="264">
        <v>0</v>
      </c>
      <c r="DM23" s="267">
        <v>0</v>
      </c>
      <c r="DN23" s="264">
        <v>0</v>
      </c>
      <c r="DO23" s="264">
        <v>0</v>
      </c>
      <c r="DP23" s="264">
        <v>0</v>
      </c>
      <c r="DQ23" s="264">
        <v>0</v>
      </c>
      <c r="DR23" s="267">
        <v>0</v>
      </c>
      <c r="DS23" s="264">
        <v>0</v>
      </c>
      <c r="DT23" s="264">
        <v>0</v>
      </c>
      <c r="DU23" s="264">
        <v>0</v>
      </c>
      <c r="DV23" s="264">
        <v>0</v>
      </c>
      <c r="DW23" s="267">
        <v>0</v>
      </c>
      <c r="DX23" s="264">
        <v>0</v>
      </c>
      <c r="DY23" s="264">
        <v>0</v>
      </c>
      <c r="DZ23" s="264">
        <v>0</v>
      </c>
      <c r="EA23" s="264">
        <v>0</v>
      </c>
      <c r="EB23" s="267">
        <v>0</v>
      </c>
      <c r="EC23" s="264">
        <v>0</v>
      </c>
      <c r="ED23" s="264">
        <v>0</v>
      </c>
      <c r="EE23" s="264">
        <v>0</v>
      </c>
      <c r="EF23" s="264">
        <v>0</v>
      </c>
      <c r="EG23" s="267">
        <v>0</v>
      </c>
      <c r="EH23" s="264">
        <v>0</v>
      </c>
      <c r="EI23" s="264">
        <v>0</v>
      </c>
      <c r="EJ23" s="264">
        <v>0</v>
      </c>
      <c r="EK23" s="264">
        <v>0</v>
      </c>
      <c r="EL23" s="267">
        <v>0</v>
      </c>
      <c r="EM23" s="264">
        <v>0</v>
      </c>
      <c r="EN23" s="264">
        <v>0</v>
      </c>
      <c r="EO23" s="264">
        <v>0</v>
      </c>
      <c r="EP23" s="264">
        <v>0</v>
      </c>
      <c r="EQ23" s="267">
        <v>0</v>
      </c>
      <c r="ER23" s="264">
        <v>0</v>
      </c>
      <c r="ES23" s="264">
        <v>0</v>
      </c>
      <c r="ET23" s="264">
        <v>0</v>
      </c>
      <c r="EU23" s="264">
        <v>0</v>
      </c>
      <c r="EV23" s="267">
        <v>0</v>
      </c>
      <c r="EW23" s="264">
        <v>0</v>
      </c>
      <c r="EX23" s="264">
        <v>0</v>
      </c>
      <c r="EY23" s="264">
        <v>0</v>
      </c>
      <c r="EZ23" s="264" t="s">
        <v>400</v>
      </c>
      <c r="FA23" s="266">
        <v>1</v>
      </c>
      <c r="FB23" s="266">
        <v>0.33333333333333331</v>
      </c>
      <c r="FC23" s="267">
        <v>30</v>
      </c>
      <c r="FD23" s="267">
        <v>60</v>
      </c>
      <c r="FE23" s="267">
        <v>270</v>
      </c>
      <c r="FF23" s="267">
        <v>390</v>
      </c>
      <c r="FG23" s="267">
        <v>117.39130434782609</v>
      </c>
      <c r="FH23" s="264">
        <v>0</v>
      </c>
      <c r="FI23" s="264" t="s">
        <v>176</v>
      </c>
      <c r="FJ23" s="266">
        <v>0</v>
      </c>
      <c r="FK23" s="266">
        <v>0</v>
      </c>
      <c r="FL23" s="267">
        <v>0</v>
      </c>
      <c r="FM23" s="267">
        <v>0</v>
      </c>
      <c r="FN23" s="267">
        <v>0</v>
      </c>
      <c r="FO23" s="267" t="s">
        <v>176</v>
      </c>
      <c r="FP23" s="267">
        <v>0</v>
      </c>
      <c r="FQ23" s="264">
        <v>0</v>
      </c>
      <c r="FR23" s="264" t="s">
        <v>176</v>
      </c>
      <c r="FS23" s="266">
        <v>0</v>
      </c>
      <c r="FT23" s="266">
        <v>0</v>
      </c>
      <c r="FU23" s="267">
        <v>0</v>
      </c>
      <c r="FV23" s="267">
        <v>0</v>
      </c>
      <c r="FW23" s="267">
        <v>0</v>
      </c>
      <c r="FX23" s="267" t="s">
        <v>176</v>
      </c>
      <c r="FY23" s="267">
        <v>0</v>
      </c>
      <c r="FZ23" s="264">
        <v>0</v>
      </c>
      <c r="GA23" s="264" t="s">
        <v>176</v>
      </c>
      <c r="GB23" s="266">
        <v>0</v>
      </c>
      <c r="GC23" s="266">
        <v>0</v>
      </c>
      <c r="GD23" s="267">
        <v>0</v>
      </c>
      <c r="GE23" s="267">
        <v>0</v>
      </c>
      <c r="GF23" s="267">
        <v>0</v>
      </c>
      <c r="GG23" s="267" t="s">
        <v>176</v>
      </c>
      <c r="GH23" s="267">
        <v>0</v>
      </c>
      <c r="GI23" s="264">
        <v>0</v>
      </c>
      <c r="GJ23" s="264" t="s">
        <v>176</v>
      </c>
      <c r="GK23" s="266">
        <v>0</v>
      </c>
      <c r="GL23" s="266">
        <v>0</v>
      </c>
      <c r="GM23" s="267">
        <v>0</v>
      </c>
      <c r="GN23" s="267">
        <v>0</v>
      </c>
      <c r="GO23" s="267">
        <v>0</v>
      </c>
      <c r="GP23" s="267" t="s">
        <v>176</v>
      </c>
      <c r="GQ23" s="267">
        <v>0</v>
      </c>
      <c r="GR23" s="264">
        <v>0</v>
      </c>
      <c r="GS23" s="264" t="s">
        <v>176</v>
      </c>
      <c r="GT23" s="266">
        <v>0</v>
      </c>
      <c r="GU23" s="266">
        <v>0</v>
      </c>
      <c r="GV23" s="267">
        <v>0</v>
      </c>
      <c r="GW23" s="267">
        <v>0</v>
      </c>
      <c r="GX23" s="267">
        <v>0</v>
      </c>
      <c r="GY23" s="267" t="s">
        <v>176</v>
      </c>
      <c r="GZ23" s="267">
        <v>0</v>
      </c>
      <c r="HA23" s="264">
        <v>0</v>
      </c>
      <c r="HB23" s="264" t="s">
        <v>400</v>
      </c>
      <c r="HC23" s="264">
        <v>13500</v>
      </c>
      <c r="HD23" s="267">
        <v>13500</v>
      </c>
      <c r="HE23" s="267">
        <v>0</v>
      </c>
      <c r="HF23" s="267">
        <v>13500</v>
      </c>
      <c r="HG23" s="267">
        <v>140</v>
      </c>
      <c r="HH23" s="267">
        <v>13500</v>
      </c>
      <c r="HI23" s="267">
        <v>110</v>
      </c>
      <c r="HJ23" s="267">
        <v>270</v>
      </c>
      <c r="HK23" s="267">
        <v>8</v>
      </c>
      <c r="HL23" s="267">
        <v>270</v>
      </c>
      <c r="HM23" s="267">
        <v>0</v>
      </c>
      <c r="HN23" s="267">
        <v>270</v>
      </c>
      <c r="HO23" s="267">
        <v>0</v>
      </c>
      <c r="HP23" s="267" t="s">
        <v>176</v>
      </c>
      <c r="HQ23" s="267">
        <v>0</v>
      </c>
      <c r="HR23" s="267">
        <v>0</v>
      </c>
      <c r="HS23" s="267">
        <v>0</v>
      </c>
      <c r="HT23" s="267">
        <v>0</v>
      </c>
      <c r="HU23" s="267">
        <v>0</v>
      </c>
      <c r="HV23" s="267">
        <v>0</v>
      </c>
      <c r="HW23" s="267">
        <v>0</v>
      </c>
      <c r="HX23" s="267">
        <v>0</v>
      </c>
      <c r="HY23" s="267">
        <v>0</v>
      </c>
      <c r="HZ23" s="267">
        <v>0</v>
      </c>
      <c r="IA23" s="267">
        <v>0</v>
      </c>
      <c r="IB23" s="267">
        <v>0</v>
      </c>
      <c r="IC23" s="267">
        <v>0</v>
      </c>
      <c r="ID23" s="267" t="s">
        <v>176</v>
      </c>
      <c r="IE23" s="267">
        <v>0</v>
      </c>
      <c r="IF23" s="267">
        <v>0</v>
      </c>
      <c r="IG23" s="267">
        <v>0</v>
      </c>
      <c r="IH23" s="267">
        <v>0</v>
      </c>
      <c r="II23" s="267">
        <v>0</v>
      </c>
      <c r="IJ23" s="267">
        <v>0</v>
      </c>
      <c r="IK23" s="267">
        <v>0</v>
      </c>
      <c r="IL23" s="267">
        <v>0</v>
      </c>
      <c r="IM23" s="267">
        <v>0</v>
      </c>
      <c r="IN23" s="267">
        <v>0</v>
      </c>
      <c r="IO23" s="267">
        <v>0</v>
      </c>
      <c r="IP23" s="267">
        <v>0</v>
      </c>
      <c r="IQ23" s="267">
        <v>0</v>
      </c>
      <c r="IR23" s="267" t="s">
        <v>176</v>
      </c>
      <c r="IS23" s="267">
        <v>0</v>
      </c>
      <c r="IT23" s="272">
        <v>0</v>
      </c>
      <c r="IU23" s="272">
        <v>0</v>
      </c>
      <c r="IV23" s="272">
        <v>0</v>
      </c>
      <c r="IW23" s="272">
        <v>0</v>
      </c>
      <c r="IX23" s="272">
        <v>0</v>
      </c>
      <c r="IY23" s="272">
        <v>0</v>
      </c>
      <c r="IZ23" s="267">
        <v>0</v>
      </c>
      <c r="JA23" s="267">
        <v>0</v>
      </c>
      <c r="JB23" s="267">
        <v>0</v>
      </c>
      <c r="JC23" s="267">
        <v>0</v>
      </c>
      <c r="JD23" s="267">
        <v>0</v>
      </c>
      <c r="JE23" s="267">
        <v>0</v>
      </c>
      <c r="JF23" s="267" t="s">
        <v>176</v>
      </c>
      <c r="JG23" s="267">
        <v>0</v>
      </c>
      <c r="JH23" s="267">
        <v>0</v>
      </c>
      <c r="JI23" s="267">
        <v>0</v>
      </c>
      <c r="JJ23" s="267">
        <v>0</v>
      </c>
      <c r="JK23" s="267">
        <v>0</v>
      </c>
      <c r="JL23" s="267">
        <v>0</v>
      </c>
      <c r="JM23" s="267">
        <v>0</v>
      </c>
      <c r="JN23" s="267">
        <v>0</v>
      </c>
      <c r="JO23" s="267">
        <v>0</v>
      </c>
      <c r="JP23" s="267">
        <v>0</v>
      </c>
      <c r="JQ23" s="267">
        <v>0</v>
      </c>
      <c r="JR23" s="267">
        <v>0</v>
      </c>
      <c r="JS23" s="267">
        <v>0</v>
      </c>
      <c r="JT23" s="267" t="s">
        <v>176</v>
      </c>
      <c r="JU23" s="267">
        <v>0</v>
      </c>
      <c r="JV23" s="267">
        <v>0</v>
      </c>
      <c r="JW23" s="267">
        <v>0</v>
      </c>
      <c r="JX23" s="267">
        <v>0</v>
      </c>
      <c r="JY23" s="267">
        <v>0</v>
      </c>
      <c r="JZ23" s="267">
        <v>0</v>
      </c>
      <c r="KA23" s="267">
        <v>0</v>
      </c>
      <c r="KB23" s="267">
        <v>0</v>
      </c>
      <c r="KC23" s="267">
        <v>0</v>
      </c>
      <c r="KD23" s="267">
        <v>0</v>
      </c>
      <c r="KE23" s="267">
        <v>0</v>
      </c>
      <c r="KF23" s="267">
        <v>0</v>
      </c>
      <c r="KG23" s="267">
        <v>0</v>
      </c>
      <c r="KH23" s="266">
        <v>1</v>
      </c>
      <c r="KI23" s="266">
        <v>0.33333333333333331</v>
      </c>
      <c r="KJ23" s="267">
        <v>60</v>
      </c>
      <c r="KK23" s="266">
        <v>0</v>
      </c>
      <c r="KL23" s="266">
        <v>0</v>
      </c>
      <c r="KM23" s="267">
        <v>0</v>
      </c>
      <c r="KN23" s="266">
        <v>0</v>
      </c>
      <c r="KO23" s="266">
        <v>0</v>
      </c>
      <c r="KP23" s="267">
        <v>0</v>
      </c>
      <c r="KQ23" s="266">
        <v>0</v>
      </c>
      <c r="KR23" s="266">
        <v>0</v>
      </c>
      <c r="KS23" s="267">
        <v>0</v>
      </c>
      <c r="KT23" s="266">
        <v>0</v>
      </c>
      <c r="KU23" s="266">
        <v>0</v>
      </c>
      <c r="KV23" s="267">
        <v>0</v>
      </c>
      <c r="KW23" s="266">
        <v>0</v>
      </c>
      <c r="KX23" s="266">
        <v>0</v>
      </c>
      <c r="KY23" s="267">
        <v>0</v>
      </c>
    </row>
    <row r="24" spans="1:311" ht="58">
      <c r="A24" s="263">
        <v>44366</v>
      </c>
      <c r="B24" s="264" t="s">
        <v>211</v>
      </c>
      <c r="C24" s="265">
        <v>0.62222222222222223</v>
      </c>
      <c r="D24" s="265">
        <v>0.38400000000000001</v>
      </c>
      <c r="E24" s="265">
        <v>0.94689564068692211</v>
      </c>
      <c r="F24" s="265">
        <v>0.2262449317481286</v>
      </c>
      <c r="G24" s="266">
        <v>1</v>
      </c>
      <c r="H24" s="266">
        <v>0.33333333333333331</v>
      </c>
      <c r="I24" s="264" t="s">
        <v>423</v>
      </c>
      <c r="J24" s="267">
        <v>480</v>
      </c>
      <c r="K24" s="267">
        <v>450</v>
      </c>
      <c r="L24" s="267">
        <v>170</v>
      </c>
      <c r="M24" s="267">
        <v>280</v>
      </c>
      <c r="N24" s="267">
        <v>107.52</v>
      </c>
      <c r="O24" s="267">
        <v>603</v>
      </c>
      <c r="P24" s="267">
        <v>0</v>
      </c>
      <c r="Q24" s="267">
        <v>10752</v>
      </c>
      <c r="R24" s="264" t="s">
        <v>212</v>
      </c>
      <c r="S24" s="267">
        <v>30</v>
      </c>
      <c r="T24" s="267">
        <v>30</v>
      </c>
      <c r="U24" s="267">
        <v>0</v>
      </c>
      <c r="V24" s="267" t="s">
        <v>405</v>
      </c>
      <c r="W24" s="264" t="s">
        <v>176</v>
      </c>
      <c r="X24" s="264">
        <v>0</v>
      </c>
      <c r="Y24" s="267">
        <v>0</v>
      </c>
      <c r="Z24" s="267">
        <v>0</v>
      </c>
      <c r="AA24" s="267">
        <v>0</v>
      </c>
      <c r="AB24" s="267">
        <v>0</v>
      </c>
      <c r="AC24" s="264" t="s">
        <v>176</v>
      </c>
      <c r="AD24" s="264">
        <v>0</v>
      </c>
      <c r="AE24" s="267">
        <v>0</v>
      </c>
      <c r="AF24" s="267">
        <v>0</v>
      </c>
      <c r="AG24" s="267">
        <v>0</v>
      </c>
      <c r="AH24" s="267">
        <v>0</v>
      </c>
      <c r="AI24" s="264" t="s">
        <v>176</v>
      </c>
      <c r="AJ24" s="264">
        <v>0</v>
      </c>
      <c r="AK24" s="267">
        <v>0</v>
      </c>
      <c r="AL24" s="267">
        <v>0</v>
      </c>
      <c r="AM24" s="267">
        <v>0</v>
      </c>
      <c r="AN24" s="267">
        <v>0</v>
      </c>
      <c r="AO24" s="264" t="s">
        <v>176</v>
      </c>
      <c r="AP24" s="264">
        <v>0</v>
      </c>
      <c r="AQ24" s="267">
        <v>0</v>
      </c>
      <c r="AR24" s="267">
        <v>0</v>
      </c>
      <c r="AS24" s="267">
        <v>0</v>
      </c>
      <c r="AT24" s="267">
        <v>0</v>
      </c>
      <c r="AU24" s="264" t="s">
        <v>176</v>
      </c>
      <c r="AV24" s="264">
        <v>0</v>
      </c>
      <c r="AW24" s="267">
        <v>0</v>
      </c>
      <c r="AX24" s="267">
        <v>0</v>
      </c>
      <c r="AY24" s="267">
        <v>0</v>
      </c>
      <c r="AZ24" s="267">
        <v>0</v>
      </c>
      <c r="BA24" s="264" t="s">
        <v>176</v>
      </c>
      <c r="BB24" s="268">
        <v>0</v>
      </c>
      <c r="BC24" s="268">
        <v>0</v>
      </c>
      <c r="BD24" s="268">
        <v>0</v>
      </c>
      <c r="BE24" s="268">
        <v>0</v>
      </c>
      <c r="BF24" s="268">
        <v>0</v>
      </c>
      <c r="BG24" s="269">
        <v>0</v>
      </c>
      <c r="BH24" s="268">
        <v>0</v>
      </c>
      <c r="BI24" s="268">
        <v>0</v>
      </c>
      <c r="BJ24" s="268">
        <v>0</v>
      </c>
      <c r="BK24" s="268">
        <v>0</v>
      </c>
      <c r="BL24" s="268">
        <v>0</v>
      </c>
      <c r="BM24" s="269">
        <v>0</v>
      </c>
      <c r="BN24" s="268">
        <v>0</v>
      </c>
      <c r="BO24" s="268">
        <v>0</v>
      </c>
      <c r="BP24" s="268">
        <v>0</v>
      </c>
      <c r="BQ24" s="268" t="s">
        <v>176</v>
      </c>
      <c r="BR24" s="268">
        <v>0</v>
      </c>
      <c r="BS24" s="269">
        <v>0</v>
      </c>
      <c r="BT24" s="264" t="s">
        <v>405</v>
      </c>
      <c r="BU24" s="267" t="s">
        <v>404</v>
      </c>
      <c r="BV24" s="264">
        <v>0</v>
      </c>
      <c r="BW24" s="264" t="s">
        <v>492</v>
      </c>
      <c r="BX24" s="264">
        <v>0</v>
      </c>
      <c r="BY24" s="267" t="s">
        <v>176</v>
      </c>
      <c r="BZ24" s="264">
        <v>0</v>
      </c>
      <c r="CA24" s="264">
        <v>0</v>
      </c>
      <c r="CB24" s="264">
        <v>0</v>
      </c>
      <c r="CC24" s="267" t="s">
        <v>176</v>
      </c>
      <c r="CD24" s="264">
        <v>0</v>
      </c>
      <c r="CE24" s="264">
        <v>0</v>
      </c>
      <c r="CF24" s="264">
        <v>0</v>
      </c>
      <c r="CG24" s="267" t="s">
        <v>176</v>
      </c>
      <c r="CH24" s="264">
        <v>0</v>
      </c>
      <c r="CI24" s="264">
        <v>0</v>
      </c>
      <c r="CJ24" s="264">
        <v>0</v>
      </c>
      <c r="CK24" s="267" t="s">
        <v>176</v>
      </c>
      <c r="CL24" s="264">
        <v>0</v>
      </c>
      <c r="CM24" s="264">
        <v>0</v>
      </c>
      <c r="CN24" s="264">
        <v>0</v>
      </c>
      <c r="CO24" s="267" t="s">
        <v>176</v>
      </c>
      <c r="CP24" s="264">
        <v>0</v>
      </c>
      <c r="CQ24" s="264">
        <v>0</v>
      </c>
      <c r="CR24" s="264" t="s">
        <v>395</v>
      </c>
      <c r="CS24" s="267">
        <v>95</v>
      </c>
      <c r="CT24" s="264" t="s">
        <v>490</v>
      </c>
      <c r="CU24" s="264" t="s">
        <v>405</v>
      </c>
      <c r="CV24" s="264" t="s">
        <v>489</v>
      </c>
      <c r="CW24" s="270" t="s">
        <v>239</v>
      </c>
      <c r="CX24" s="267">
        <v>25</v>
      </c>
      <c r="CY24" s="264" t="s">
        <v>491</v>
      </c>
      <c r="CZ24" s="264" t="s">
        <v>405</v>
      </c>
      <c r="DA24" s="264">
        <v>0</v>
      </c>
      <c r="DB24" s="270" t="s">
        <v>218</v>
      </c>
      <c r="DC24" s="267">
        <v>20</v>
      </c>
      <c r="DD24" s="264" t="s">
        <v>493</v>
      </c>
      <c r="DE24" s="264" t="s">
        <v>405</v>
      </c>
      <c r="DF24" s="264" t="s">
        <v>494</v>
      </c>
      <c r="DG24" s="264" t="s">
        <v>218</v>
      </c>
      <c r="DH24" s="267">
        <v>30</v>
      </c>
      <c r="DI24" s="264" t="s">
        <v>495</v>
      </c>
      <c r="DJ24" s="264" t="s">
        <v>405</v>
      </c>
      <c r="DK24" s="264">
        <v>0</v>
      </c>
      <c r="DL24" s="264">
        <v>0</v>
      </c>
      <c r="DM24" s="267">
        <v>0</v>
      </c>
      <c r="DN24" s="264">
        <v>0</v>
      </c>
      <c r="DO24" s="264">
        <v>0</v>
      </c>
      <c r="DP24" s="264">
        <v>0</v>
      </c>
      <c r="DQ24" s="264">
        <v>0</v>
      </c>
      <c r="DR24" s="267">
        <v>0</v>
      </c>
      <c r="DS24" s="264">
        <v>0</v>
      </c>
      <c r="DT24" s="264">
        <v>0</v>
      </c>
      <c r="DU24" s="264">
        <v>0</v>
      </c>
      <c r="DV24" s="264">
        <v>0</v>
      </c>
      <c r="DW24" s="267">
        <v>0</v>
      </c>
      <c r="DX24" s="264">
        <v>0</v>
      </c>
      <c r="DY24" s="264">
        <v>0</v>
      </c>
      <c r="DZ24" s="264">
        <v>0</v>
      </c>
      <c r="EA24" s="264">
        <v>0</v>
      </c>
      <c r="EB24" s="267">
        <v>0</v>
      </c>
      <c r="EC24" s="264">
        <v>0</v>
      </c>
      <c r="ED24" s="264">
        <v>0</v>
      </c>
      <c r="EE24" s="264">
        <v>0</v>
      </c>
      <c r="EF24" s="264">
        <v>0</v>
      </c>
      <c r="EG24" s="267">
        <v>0</v>
      </c>
      <c r="EH24" s="264">
        <v>0</v>
      </c>
      <c r="EI24" s="264">
        <v>0</v>
      </c>
      <c r="EJ24" s="264">
        <v>0</v>
      </c>
      <c r="EK24" s="264">
        <v>0</v>
      </c>
      <c r="EL24" s="267">
        <v>0</v>
      </c>
      <c r="EM24" s="264">
        <v>0</v>
      </c>
      <c r="EN24" s="264">
        <v>0</v>
      </c>
      <c r="EO24" s="264">
        <v>0</v>
      </c>
      <c r="EP24" s="264">
        <v>0</v>
      </c>
      <c r="EQ24" s="267">
        <v>0</v>
      </c>
      <c r="ER24" s="264">
        <v>0</v>
      </c>
      <c r="ES24" s="264">
        <v>0</v>
      </c>
      <c r="ET24" s="264">
        <v>0</v>
      </c>
      <c r="EU24" s="264">
        <v>0</v>
      </c>
      <c r="EV24" s="267">
        <v>0</v>
      </c>
      <c r="EW24" s="264">
        <v>0</v>
      </c>
      <c r="EX24" s="264">
        <v>0</v>
      </c>
      <c r="EY24" s="264">
        <v>0</v>
      </c>
      <c r="EZ24" s="264" t="s">
        <v>405</v>
      </c>
      <c r="FA24" s="266">
        <v>1</v>
      </c>
      <c r="FB24" s="266">
        <v>0.33333333333333331</v>
      </c>
      <c r="FC24" s="267">
        <v>170</v>
      </c>
      <c r="FD24" s="267">
        <v>30</v>
      </c>
      <c r="FE24" s="267">
        <v>448</v>
      </c>
      <c r="FF24" s="267">
        <v>280</v>
      </c>
      <c r="FG24" s="267">
        <v>107.52</v>
      </c>
      <c r="FH24" s="264">
        <v>0</v>
      </c>
      <c r="FI24" s="264" t="s">
        <v>176</v>
      </c>
      <c r="FJ24" s="266">
        <v>0</v>
      </c>
      <c r="FK24" s="266">
        <v>0</v>
      </c>
      <c r="FL24" s="267">
        <v>0</v>
      </c>
      <c r="FM24" s="267">
        <v>0</v>
      </c>
      <c r="FN24" s="267">
        <v>0</v>
      </c>
      <c r="FO24" s="267" t="s">
        <v>176</v>
      </c>
      <c r="FP24" s="267">
        <v>0</v>
      </c>
      <c r="FQ24" s="264">
        <v>0</v>
      </c>
      <c r="FR24" s="264" t="s">
        <v>176</v>
      </c>
      <c r="FS24" s="266">
        <v>0</v>
      </c>
      <c r="FT24" s="266">
        <v>0</v>
      </c>
      <c r="FU24" s="267">
        <v>0</v>
      </c>
      <c r="FV24" s="267">
        <v>0</v>
      </c>
      <c r="FW24" s="267">
        <v>0</v>
      </c>
      <c r="FX24" s="267" t="s">
        <v>176</v>
      </c>
      <c r="FY24" s="267">
        <v>0</v>
      </c>
      <c r="FZ24" s="264">
        <v>0</v>
      </c>
      <c r="GA24" s="264" t="s">
        <v>176</v>
      </c>
      <c r="GB24" s="266">
        <v>0</v>
      </c>
      <c r="GC24" s="266">
        <v>0</v>
      </c>
      <c r="GD24" s="267">
        <v>0</v>
      </c>
      <c r="GE24" s="267">
        <v>0</v>
      </c>
      <c r="GF24" s="267">
        <v>0</v>
      </c>
      <c r="GG24" s="267" t="s">
        <v>176</v>
      </c>
      <c r="GH24" s="267">
        <v>0</v>
      </c>
      <c r="GI24" s="264">
        <v>0</v>
      </c>
      <c r="GJ24" s="264" t="s">
        <v>176</v>
      </c>
      <c r="GK24" s="266">
        <v>0</v>
      </c>
      <c r="GL24" s="266">
        <v>0</v>
      </c>
      <c r="GM24" s="267">
        <v>0</v>
      </c>
      <c r="GN24" s="267">
        <v>0</v>
      </c>
      <c r="GO24" s="267">
        <v>0</v>
      </c>
      <c r="GP24" s="267" t="s">
        <v>176</v>
      </c>
      <c r="GQ24" s="267">
        <v>0</v>
      </c>
      <c r="GR24" s="264">
        <v>0</v>
      </c>
      <c r="GS24" s="264" t="s">
        <v>176</v>
      </c>
      <c r="GT24" s="266">
        <v>0</v>
      </c>
      <c r="GU24" s="266">
        <v>0</v>
      </c>
      <c r="GV24" s="267">
        <v>0</v>
      </c>
      <c r="GW24" s="267">
        <v>0</v>
      </c>
      <c r="GX24" s="267">
        <v>0</v>
      </c>
      <c r="GY24" s="267" t="s">
        <v>176</v>
      </c>
      <c r="GZ24" s="267">
        <v>0</v>
      </c>
      <c r="HA24" s="264">
        <v>0</v>
      </c>
      <c r="HB24" s="264" t="s">
        <v>405</v>
      </c>
      <c r="HC24" s="264">
        <v>10752</v>
      </c>
      <c r="HD24" s="267">
        <v>10752</v>
      </c>
      <c r="HE24" s="267">
        <v>0</v>
      </c>
      <c r="HF24" s="267">
        <v>10752</v>
      </c>
      <c r="HG24" s="267">
        <v>116</v>
      </c>
      <c r="HH24" s="267">
        <v>10752</v>
      </c>
      <c r="HI24" s="267">
        <v>103</v>
      </c>
      <c r="HJ24" s="267">
        <v>448</v>
      </c>
      <c r="HK24" s="267">
        <v>16</v>
      </c>
      <c r="HL24" s="267">
        <v>448</v>
      </c>
      <c r="HM24" s="267">
        <v>0</v>
      </c>
      <c r="HN24" s="267">
        <v>448</v>
      </c>
      <c r="HO24" s="267">
        <v>0</v>
      </c>
      <c r="HP24" s="267" t="s">
        <v>176</v>
      </c>
      <c r="HQ24" s="267">
        <v>0</v>
      </c>
      <c r="HR24" s="267">
        <v>0</v>
      </c>
      <c r="HS24" s="267">
        <v>0</v>
      </c>
      <c r="HT24" s="267">
        <v>0</v>
      </c>
      <c r="HU24" s="267">
        <v>0</v>
      </c>
      <c r="HV24" s="267">
        <v>0</v>
      </c>
      <c r="HW24" s="267">
        <v>0</v>
      </c>
      <c r="HX24" s="267">
        <v>0</v>
      </c>
      <c r="HY24" s="267">
        <v>0</v>
      </c>
      <c r="HZ24" s="267">
        <v>0</v>
      </c>
      <c r="IA24" s="267">
        <v>0</v>
      </c>
      <c r="IB24" s="267">
        <v>0</v>
      </c>
      <c r="IC24" s="267">
        <v>0</v>
      </c>
      <c r="ID24" s="267" t="s">
        <v>176</v>
      </c>
      <c r="IE24" s="267">
        <v>0</v>
      </c>
      <c r="IF24" s="267">
        <v>0</v>
      </c>
      <c r="IG24" s="267">
        <v>0</v>
      </c>
      <c r="IH24" s="267">
        <v>0</v>
      </c>
      <c r="II24" s="267">
        <v>0</v>
      </c>
      <c r="IJ24" s="267">
        <v>0</v>
      </c>
      <c r="IK24" s="267">
        <v>0</v>
      </c>
      <c r="IL24" s="267">
        <v>0</v>
      </c>
      <c r="IM24" s="267">
        <v>0</v>
      </c>
      <c r="IN24" s="267">
        <v>0</v>
      </c>
      <c r="IO24" s="267">
        <v>0</v>
      </c>
      <c r="IP24" s="267">
        <v>0</v>
      </c>
      <c r="IQ24" s="267">
        <v>0</v>
      </c>
      <c r="IR24" s="267" t="s">
        <v>176</v>
      </c>
      <c r="IS24" s="267">
        <v>0</v>
      </c>
      <c r="IT24" s="272">
        <v>0</v>
      </c>
      <c r="IU24" s="272">
        <v>0</v>
      </c>
      <c r="IV24" s="272">
        <v>0</v>
      </c>
      <c r="IW24" s="272">
        <v>0</v>
      </c>
      <c r="IX24" s="272">
        <v>0</v>
      </c>
      <c r="IY24" s="272">
        <v>0</v>
      </c>
      <c r="IZ24" s="267">
        <v>0</v>
      </c>
      <c r="JA24" s="267">
        <v>0</v>
      </c>
      <c r="JB24" s="267">
        <v>0</v>
      </c>
      <c r="JC24" s="267">
        <v>0</v>
      </c>
      <c r="JD24" s="267">
        <v>0</v>
      </c>
      <c r="JE24" s="267">
        <v>0</v>
      </c>
      <c r="JF24" s="267" t="s">
        <v>176</v>
      </c>
      <c r="JG24" s="267">
        <v>0</v>
      </c>
      <c r="JH24" s="267">
        <v>0</v>
      </c>
      <c r="JI24" s="267">
        <v>0</v>
      </c>
      <c r="JJ24" s="267">
        <v>0</v>
      </c>
      <c r="JK24" s="267">
        <v>0</v>
      </c>
      <c r="JL24" s="267">
        <v>0</v>
      </c>
      <c r="JM24" s="267">
        <v>0</v>
      </c>
      <c r="JN24" s="267">
        <v>0</v>
      </c>
      <c r="JO24" s="267">
        <v>0</v>
      </c>
      <c r="JP24" s="267">
        <v>0</v>
      </c>
      <c r="JQ24" s="267">
        <v>0</v>
      </c>
      <c r="JR24" s="267">
        <v>0</v>
      </c>
      <c r="JS24" s="267">
        <v>0</v>
      </c>
      <c r="JT24" s="267" t="s">
        <v>176</v>
      </c>
      <c r="JU24" s="267">
        <v>0</v>
      </c>
      <c r="JV24" s="267">
        <v>0</v>
      </c>
      <c r="JW24" s="267">
        <v>0</v>
      </c>
      <c r="JX24" s="267">
        <v>0</v>
      </c>
      <c r="JY24" s="267">
        <v>0</v>
      </c>
      <c r="JZ24" s="267">
        <v>0</v>
      </c>
      <c r="KA24" s="267">
        <v>0</v>
      </c>
      <c r="KB24" s="267">
        <v>0</v>
      </c>
      <c r="KC24" s="267">
        <v>0</v>
      </c>
      <c r="KD24" s="267">
        <v>0</v>
      </c>
      <c r="KE24" s="267">
        <v>0</v>
      </c>
      <c r="KF24" s="267">
        <v>0</v>
      </c>
      <c r="KG24" s="267">
        <v>0</v>
      </c>
      <c r="KH24" s="266">
        <v>1</v>
      </c>
      <c r="KI24" s="266">
        <v>0.33333333333333331</v>
      </c>
      <c r="KJ24" s="267">
        <v>30</v>
      </c>
      <c r="KK24" s="266">
        <v>0</v>
      </c>
      <c r="KL24" s="266">
        <v>0</v>
      </c>
      <c r="KM24" s="267">
        <v>0</v>
      </c>
      <c r="KN24" s="266">
        <v>0</v>
      </c>
      <c r="KO24" s="266">
        <v>0</v>
      </c>
      <c r="KP24" s="267">
        <v>0</v>
      </c>
      <c r="KQ24" s="266">
        <v>0</v>
      </c>
      <c r="KR24" s="266">
        <v>0</v>
      </c>
      <c r="KS24" s="267">
        <v>0</v>
      </c>
      <c r="KT24" s="266">
        <v>0</v>
      </c>
      <c r="KU24" s="266">
        <v>0</v>
      </c>
      <c r="KV24" s="267">
        <v>0</v>
      </c>
      <c r="KW24" s="266">
        <v>0</v>
      </c>
      <c r="KX24" s="266">
        <v>0</v>
      </c>
      <c r="KY24" s="267">
        <v>0</v>
      </c>
    </row>
    <row r="25" spans="1:311">
      <c r="J25" s="267"/>
      <c r="K25" s="267"/>
      <c r="L25" s="267"/>
      <c r="M25" s="267"/>
      <c r="N25" s="275"/>
      <c r="O25" s="267"/>
      <c r="P25" s="267"/>
      <c r="Q25" s="267"/>
      <c r="S25" s="267"/>
      <c r="T25" s="267"/>
      <c r="U25" s="267"/>
      <c r="V25" s="267"/>
      <c r="W25" s="264"/>
      <c r="Y25" s="267"/>
      <c r="Z25" s="267"/>
      <c r="AA25" s="267"/>
      <c r="AB25" s="267"/>
      <c r="AE25" s="267"/>
      <c r="AF25" s="267"/>
      <c r="AG25" s="267"/>
      <c r="AH25" s="267"/>
      <c r="AK25" s="267"/>
      <c r="AL25" s="267"/>
      <c r="AM25" s="267"/>
      <c r="AN25" s="267"/>
      <c r="AQ25" s="267"/>
      <c r="AR25" s="267"/>
      <c r="AS25" s="267"/>
      <c r="AT25" s="267"/>
      <c r="AW25" s="267"/>
      <c r="AX25" s="267"/>
      <c r="AY25" s="267"/>
      <c r="AZ25" s="267"/>
      <c r="BG25" s="269"/>
      <c r="BM25" s="269"/>
      <c r="BS25" s="269"/>
      <c r="BU25" s="267"/>
      <c r="BY25" s="267"/>
      <c r="CC25" s="267"/>
      <c r="CG25" s="267"/>
      <c r="CS25" s="267"/>
      <c r="CW25" s="270"/>
      <c r="CX25" s="267"/>
      <c r="DC25" s="267"/>
      <c r="DH25" s="267"/>
      <c r="DM25" s="267"/>
      <c r="DR25" s="267"/>
      <c r="DW25" s="267"/>
      <c r="EB25" s="267"/>
      <c r="EG25" s="267"/>
      <c r="EL25" s="267"/>
      <c r="EQ25" s="267"/>
      <c r="EU25" s="270"/>
      <c r="EV25" s="267"/>
      <c r="FC25" s="267"/>
      <c r="FD25" s="267"/>
      <c r="FE25" s="267"/>
      <c r="FF25" s="267"/>
      <c r="FG25" s="267"/>
      <c r="FL25" s="267"/>
      <c r="FM25" s="267"/>
      <c r="FN25" s="267"/>
      <c r="FO25" s="267"/>
      <c r="FP25" s="267"/>
      <c r="FQ25" s="264"/>
      <c r="FR25" s="264"/>
      <c r="FS25" s="264"/>
      <c r="FT25" s="264"/>
      <c r="FU25" s="267"/>
      <c r="FV25" s="267"/>
      <c r="FW25" s="267"/>
      <c r="FX25" s="267"/>
      <c r="FY25" s="267"/>
      <c r="GD25" s="267"/>
      <c r="GE25" s="267"/>
      <c r="GF25" s="267"/>
      <c r="GG25" s="267"/>
      <c r="GH25" s="267"/>
      <c r="GI25" s="264"/>
      <c r="GJ25" s="264"/>
      <c r="GK25" s="264"/>
      <c r="GL25" s="264"/>
      <c r="HD25" s="267"/>
      <c r="HE25" s="267"/>
      <c r="HF25" s="267"/>
      <c r="HG25" s="267"/>
      <c r="HH25" s="267"/>
      <c r="HI25" s="267"/>
      <c r="HJ25" s="267"/>
      <c r="HK25" s="267"/>
      <c r="HL25" s="267"/>
      <c r="HM25" s="267"/>
      <c r="HN25" s="267"/>
      <c r="HO25" s="267"/>
      <c r="HP25" s="267"/>
      <c r="HQ25" s="267"/>
      <c r="HR25" s="267"/>
      <c r="HS25" s="267"/>
      <c r="HT25" s="267"/>
      <c r="HU25" s="267"/>
      <c r="IH25" s="267"/>
      <c r="IK25" s="267"/>
      <c r="IN25" s="267"/>
      <c r="IQ25" s="267"/>
      <c r="IR25" s="267"/>
      <c r="IS25" s="267"/>
      <c r="IT25" s="274"/>
      <c r="IU25" s="274"/>
      <c r="IV25" s="272"/>
      <c r="IW25" s="274"/>
      <c r="IX25" s="274"/>
      <c r="IY25" s="272"/>
    </row>
    <row r="26" spans="1:311">
      <c r="J26" s="267"/>
      <c r="K26" s="267"/>
      <c r="L26" s="267"/>
      <c r="M26" s="267"/>
      <c r="N26" s="275"/>
      <c r="O26" s="267"/>
      <c r="P26" s="267"/>
      <c r="Q26" s="267"/>
      <c r="S26" s="267"/>
      <c r="T26" s="267"/>
      <c r="U26" s="267"/>
      <c r="V26" s="267"/>
      <c r="W26" s="264"/>
      <c r="Y26" s="267"/>
      <c r="Z26" s="267"/>
      <c r="AA26" s="267"/>
      <c r="AB26" s="267"/>
      <c r="AE26" s="267"/>
      <c r="AF26" s="267"/>
      <c r="AG26" s="267"/>
      <c r="AH26" s="267"/>
      <c r="AK26" s="267"/>
      <c r="AL26" s="267"/>
      <c r="AM26" s="267"/>
      <c r="AN26" s="267"/>
      <c r="AQ26" s="267"/>
      <c r="AR26" s="267"/>
      <c r="AS26" s="267"/>
      <c r="AT26" s="267"/>
      <c r="AW26" s="267"/>
      <c r="AX26" s="267"/>
      <c r="AY26" s="267"/>
      <c r="AZ26" s="267"/>
      <c r="BG26" s="269"/>
      <c r="BM26" s="269"/>
      <c r="BS26" s="269"/>
      <c r="BU26" s="267"/>
      <c r="BY26" s="267"/>
      <c r="CC26" s="267"/>
      <c r="CG26" s="267"/>
      <c r="CS26" s="267"/>
      <c r="CW26" s="270"/>
      <c r="CX26" s="267"/>
      <c r="DC26" s="267"/>
      <c r="DH26" s="267"/>
      <c r="DM26" s="267"/>
      <c r="DR26" s="267"/>
      <c r="DW26" s="267"/>
      <c r="EB26" s="267"/>
      <c r="EG26" s="267"/>
      <c r="EL26" s="267"/>
      <c r="EQ26" s="267"/>
      <c r="EU26" s="270"/>
      <c r="EV26" s="267"/>
      <c r="FC26" s="267"/>
      <c r="FD26" s="267"/>
      <c r="FE26" s="267"/>
      <c r="FF26" s="267"/>
      <c r="FG26" s="267"/>
      <c r="FL26" s="267"/>
      <c r="FM26" s="267"/>
      <c r="FN26" s="267"/>
      <c r="FO26" s="267"/>
      <c r="FP26" s="267"/>
      <c r="FQ26" s="264"/>
      <c r="FR26" s="264"/>
      <c r="FS26" s="264"/>
      <c r="FT26" s="264"/>
      <c r="FU26" s="267"/>
      <c r="FV26" s="267"/>
      <c r="FW26" s="267"/>
      <c r="FX26" s="267"/>
      <c r="FY26" s="267"/>
      <c r="GD26" s="267"/>
      <c r="GE26" s="267"/>
      <c r="GF26" s="267"/>
      <c r="GG26" s="267"/>
      <c r="GH26" s="267"/>
      <c r="GI26" s="264"/>
      <c r="GJ26" s="264"/>
      <c r="GK26" s="264"/>
      <c r="GL26" s="264"/>
      <c r="HD26" s="267"/>
      <c r="HE26" s="267"/>
      <c r="HF26" s="267"/>
      <c r="HG26" s="267"/>
      <c r="HH26" s="267"/>
      <c r="HI26" s="267"/>
      <c r="HJ26" s="267"/>
      <c r="HK26" s="267"/>
      <c r="HL26" s="267"/>
      <c r="HM26" s="267"/>
      <c r="HN26" s="267"/>
      <c r="HO26" s="267"/>
      <c r="HP26" s="267"/>
      <c r="HQ26" s="267"/>
      <c r="HR26" s="267"/>
      <c r="HS26" s="267"/>
      <c r="HT26" s="267"/>
      <c r="HU26" s="267"/>
      <c r="IH26" s="267"/>
      <c r="IK26" s="267"/>
      <c r="IN26" s="267"/>
      <c r="IQ26" s="267"/>
      <c r="IR26" s="267"/>
      <c r="IS26" s="267"/>
      <c r="IT26" s="274"/>
      <c r="IU26" s="274"/>
      <c r="IV26" s="272"/>
      <c r="IW26" s="274"/>
      <c r="IX26" s="274"/>
      <c r="IY26" s="272"/>
    </row>
    <row r="27" spans="1:311">
      <c r="J27" s="267"/>
      <c r="K27" s="267"/>
      <c r="L27" s="267"/>
      <c r="M27" s="267"/>
      <c r="N27" s="275"/>
      <c r="O27" s="267"/>
      <c r="P27" s="267"/>
      <c r="Q27" s="267"/>
      <c r="S27" s="267"/>
      <c r="T27" s="267"/>
      <c r="U27" s="267"/>
      <c r="V27" s="267"/>
      <c r="W27" s="264"/>
      <c r="Y27" s="267"/>
      <c r="Z27" s="267"/>
      <c r="AA27" s="267"/>
      <c r="AB27" s="267"/>
      <c r="AE27" s="267"/>
      <c r="AF27" s="267"/>
      <c r="AG27" s="267"/>
      <c r="AH27" s="267"/>
      <c r="AK27" s="267"/>
      <c r="AL27" s="267"/>
      <c r="AM27" s="267"/>
      <c r="AN27" s="267"/>
      <c r="AQ27" s="267"/>
      <c r="AR27" s="267"/>
      <c r="AS27" s="267"/>
      <c r="AT27" s="267"/>
      <c r="AW27" s="267"/>
      <c r="AX27" s="267"/>
      <c r="AY27" s="267"/>
      <c r="AZ27" s="267"/>
      <c r="BG27" s="269"/>
      <c r="BM27" s="269"/>
      <c r="BS27" s="269"/>
      <c r="BU27" s="267"/>
      <c r="BY27" s="267"/>
      <c r="CC27" s="267"/>
      <c r="CG27" s="267"/>
      <c r="CS27" s="267"/>
      <c r="CW27" s="270"/>
      <c r="CX27" s="267"/>
      <c r="DC27" s="267"/>
      <c r="DH27" s="267"/>
      <c r="DM27" s="267"/>
      <c r="DR27" s="267"/>
      <c r="DW27" s="267"/>
      <c r="EB27" s="267"/>
      <c r="EG27" s="267"/>
      <c r="EL27" s="267"/>
      <c r="EQ27" s="267"/>
      <c r="EU27" s="270"/>
      <c r="EV27" s="267"/>
      <c r="FC27" s="267"/>
      <c r="FD27" s="267"/>
      <c r="FE27" s="267"/>
      <c r="FF27" s="267"/>
      <c r="FG27" s="267"/>
      <c r="FL27" s="267"/>
      <c r="FM27" s="267"/>
      <c r="FN27" s="267"/>
      <c r="FO27" s="267"/>
      <c r="FP27" s="267"/>
      <c r="FQ27" s="264"/>
      <c r="FR27" s="264"/>
      <c r="FS27" s="264"/>
      <c r="FT27" s="264"/>
      <c r="FU27" s="267"/>
      <c r="FV27" s="267"/>
      <c r="FW27" s="267"/>
      <c r="FX27" s="267"/>
      <c r="FY27" s="267"/>
      <c r="GD27" s="267"/>
      <c r="GE27" s="267"/>
      <c r="GF27" s="267"/>
      <c r="GG27" s="267"/>
      <c r="GH27" s="267"/>
      <c r="GI27" s="264"/>
      <c r="GJ27" s="264"/>
      <c r="GK27" s="264"/>
      <c r="GL27" s="264"/>
      <c r="HD27" s="267"/>
      <c r="HE27" s="267"/>
      <c r="HF27" s="267"/>
      <c r="HG27" s="267"/>
      <c r="HH27" s="267"/>
      <c r="HI27" s="267"/>
      <c r="HJ27" s="267"/>
      <c r="HK27" s="267"/>
      <c r="HL27" s="267"/>
      <c r="HM27" s="267"/>
      <c r="HN27" s="267"/>
      <c r="HO27" s="267"/>
      <c r="HP27" s="267"/>
      <c r="HQ27" s="267"/>
      <c r="HR27" s="267"/>
      <c r="HS27" s="267"/>
      <c r="HT27" s="267"/>
      <c r="HU27" s="267"/>
      <c r="IH27" s="267"/>
      <c r="IK27" s="267"/>
      <c r="IN27" s="267"/>
      <c r="IQ27" s="267"/>
      <c r="IR27" s="267"/>
      <c r="IS27" s="267"/>
      <c r="IT27" s="274"/>
      <c r="IU27" s="274"/>
      <c r="IV27" s="272"/>
      <c r="IW27" s="274"/>
      <c r="IX27" s="274"/>
      <c r="IY27" s="272"/>
    </row>
    <row r="28" spans="1:311">
      <c r="J28" s="267"/>
      <c r="K28" s="267"/>
      <c r="L28" s="267"/>
      <c r="M28" s="267"/>
      <c r="N28" s="275"/>
      <c r="O28" s="267"/>
      <c r="P28" s="267"/>
      <c r="Q28" s="267"/>
      <c r="S28" s="267"/>
      <c r="T28" s="267"/>
      <c r="U28" s="267"/>
      <c r="V28" s="267"/>
      <c r="W28" s="264"/>
      <c r="Y28" s="267"/>
      <c r="Z28" s="267"/>
      <c r="AA28" s="267"/>
      <c r="AB28" s="267"/>
      <c r="AE28" s="267"/>
      <c r="AF28" s="267"/>
      <c r="AG28" s="267"/>
      <c r="AH28" s="267"/>
      <c r="AK28" s="267"/>
      <c r="AL28" s="267"/>
      <c r="AM28" s="267"/>
      <c r="AN28" s="267"/>
      <c r="AQ28" s="267"/>
      <c r="AR28" s="267"/>
      <c r="AS28" s="267"/>
      <c r="AT28" s="267"/>
      <c r="AW28" s="267"/>
      <c r="AX28" s="267"/>
      <c r="AY28" s="267"/>
      <c r="AZ28" s="267"/>
      <c r="BG28" s="269"/>
      <c r="BM28" s="269"/>
      <c r="BS28" s="269"/>
      <c r="BU28" s="267"/>
      <c r="BY28" s="267"/>
      <c r="CC28" s="267"/>
      <c r="CG28" s="267"/>
      <c r="CS28" s="267"/>
      <c r="CW28" s="270"/>
      <c r="CX28" s="267"/>
      <c r="DC28" s="267"/>
      <c r="DH28" s="267"/>
      <c r="DM28" s="267"/>
      <c r="DR28" s="267"/>
      <c r="DW28" s="267"/>
      <c r="EB28" s="267"/>
      <c r="EG28" s="267"/>
      <c r="EL28" s="267"/>
      <c r="EQ28" s="267"/>
      <c r="EU28" s="270"/>
      <c r="EV28" s="267"/>
      <c r="FC28" s="267"/>
      <c r="FD28" s="267"/>
      <c r="FE28" s="267"/>
      <c r="FF28" s="267"/>
      <c r="FG28" s="267"/>
      <c r="FL28" s="267"/>
      <c r="FM28" s="267"/>
      <c r="FN28" s="267"/>
      <c r="FO28" s="267"/>
      <c r="FP28" s="267"/>
      <c r="FQ28" s="264"/>
      <c r="FR28" s="264"/>
      <c r="FS28" s="264"/>
      <c r="FT28" s="264"/>
      <c r="FU28" s="267"/>
      <c r="FV28" s="267"/>
      <c r="FW28" s="267"/>
      <c r="FX28" s="267"/>
      <c r="FY28" s="267"/>
      <c r="GD28" s="267"/>
      <c r="GE28" s="267"/>
      <c r="GF28" s="267"/>
      <c r="GG28" s="267"/>
      <c r="GH28" s="267"/>
      <c r="GI28" s="264"/>
      <c r="GJ28" s="264"/>
      <c r="GK28" s="264"/>
      <c r="GL28" s="264"/>
      <c r="HD28" s="267"/>
      <c r="HE28" s="267"/>
      <c r="HF28" s="267"/>
      <c r="HG28" s="267"/>
      <c r="HH28" s="267"/>
      <c r="HI28" s="267"/>
      <c r="HJ28" s="267"/>
      <c r="HK28" s="267"/>
      <c r="HL28" s="267"/>
      <c r="HM28" s="267"/>
      <c r="HN28" s="267"/>
      <c r="HO28" s="267"/>
      <c r="HP28" s="267"/>
      <c r="HQ28" s="267"/>
      <c r="HR28" s="267"/>
      <c r="HS28" s="267"/>
      <c r="HT28" s="267"/>
      <c r="HU28" s="267"/>
      <c r="IH28" s="267"/>
      <c r="IK28" s="267"/>
      <c r="IN28" s="267"/>
      <c r="IQ28" s="267"/>
      <c r="IR28" s="267"/>
      <c r="IS28" s="267"/>
      <c r="IT28" s="274"/>
      <c r="IU28" s="274"/>
      <c r="IV28" s="272"/>
      <c r="IW28" s="274"/>
      <c r="IX28" s="274"/>
      <c r="IY28" s="272"/>
    </row>
    <row r="29" spans="1:311">
      <c r="J29" s="267"/>
      <c r="K29" s="267"/>
      <c r="L29" s="267"/>
      <c r="M29" s="267"/>
      <c r="N29" s="275"/>
      <c r="O29" s="267"/>
      <c r="P29" s="267"/>
      <c r="Q29" s="267"/>
      <c r="S29" s="267"/>
      <c r="T29" s="267"/>
      <c r="U29" s="267"/>
      <c r="V29" s="267"/>
      <c r="W29" s="264"/>
      <c r="Y29" s="267"/>
      <c r="Z29" s="267"/>
      <c r="AA29" s="267"/>
      <c r="AB29" s="267"/>
      <c r="AE29" s="267"/>
      <c r="AF29" s="267"/>
      <c r="AG29" s="267"/>
      <c r="AH29" s="267"/>
      <c r="AK29" s="267"/>
      <c r="AL29" s="267"/>
      <c r="AM29" s="267"/>
      <c r="AN29" s="267"/>
      <c r="AQ29" s="267"/>
      <c r="AR29" s="267"/>
      <c r="AS29" s="267"/>
      <c r="AT29" s="267"/>
      <c r="AW29" s="267"/>
      <c r="AX29" s="267"/>
      <c r="AY29" s="267"/>
      <c r="AZ29" s="267"/>
      <c r="BG29" s="269"/>
      <c r="BM29" s="269"/>
      <c r="BS29" s="269"/>
      <c r="BU29" s="267"/>
      <c r="BY29" s="267"/>
      <c r="CC29" s="267"/>
      <c r="CG29" s="267"/>
      <c r="CS29" s="267"/>
      <c r="CW29" s="270"/>
      <c r="CX29" s="267"/>
      <c r="DC29" s="267"/>
      <c r="DH29" s="267"/>
      <c r="DM29" s="267"/>
      <c r="DR29" s="267"/>
      <c r="DW29" s="267"/>
      <c r="EB29" s="267"/>
      <c r="EG29" s="267"/>
      <c r="EL29" s="267"/>
      <c r="EQ29" s="267"/>
      <c r="EU29" s="270"/>
      <c r="EV29" s="267"/>
      <c r="FC29" s="267"/>
      <c r="FD29" s="267"/>
      <c r="FE29" s="267"/>
      <c r="FF29" s="267"/>
      <c r="FG29" s="267"/>
      <c r="FL29" s="267"/>
      <c r="FM29" s="267"/>
      <c r="FN29" s="267"/>
      <c r="FO29" s="267"/>
      <c r="FP29" s="267"/>
      <c r="FQ29" s="264"/>
      <c r="FR29" s="264"/>
      <c r="FS29" s="264"/>
      <c r="FT29" s="264"/>
      <c r="FU29" s="267"/>
      <c r="FV29" s="267"/>
      <c r="FW29" s="267"/>
      <c r="FX29" s="267"/>
      <c r="FY29" s="267"/>
      <c r="GD29" s="267"/>
      <c r="GE29" s="267"/>
      <c r="GF29" s="267"/>
      <c r="GG29" s="267"/>
      <c r="GH29" s="267"/>
      <c r="GI29" s="264"/>
      <c r="GJ29" s="264"/>
      <c r="GK29" s="264"/>
      <c r="GL29" s="264"/>
      <c r="HD29" s="267"/>
      <c r="HE29" s="267"/>
      <c r="HF29" s="267"/>
      <c r="HG29" s="267"/>
      <c r="HH29" s="267"/>
      <c r="HI29" s="267"/>
      <c r="HJ29" s="267"/>
      <c r="HK29" s="267"/>
      <c r="HL29" s="267"/>
      <c r="HM29" s="267"/>
      <c r="HN29" s="267"/>
      <c r="HO29" s="267"/>
      <c r="HP29" s="267"/>
      <c r="HQ29" s="267"/>
      <c r="HR29" s="267"/>
      <c r="HS29" s="267"/>
      <c r="HT29" s="267"/>
      <c r="HU29" s="267"/>
      <c r="IH29" s="267"/>
      <c r="IK29" s="267"/>
      <c r="IN29" s="267"/>
      <c r="IQ29" s="267"/>
      <c r="IR29" s="267"/>
      <c r="IS29" s="267"/>
      <c r="IT29" s="274"/>
      <c r="IU29" s="274"/>
      <c r="IV29" s="272"/>
      <c r="IW29" s="274"/>
      <c r="IX29" s="274"/>
      <c r="IY29" s="272"/>
    </row>
    <row r="30" spans="1:311">
      <c r="J30" s="267"/>
      <c r="K30" s="267"/>
      <c r="L30" s="267"/>
      <c r="M30" s="267"/>
      <c r="N30" s="275"/>
      <c r="O30" s="267"/>
      <c r="P30" s="267"/>
      <c r="Q30" s="267"/>
      <c r="S30" s="267"/>
      <c r="T30" s="267"/>
      <c r="U30" s="267"/>
      <c r="V30" s="267"/>
      <c r="W30" s="264"/>
      <c r="Y30" s="267"/>
      <c r="Z30" s="267"/>
      <c r="AA30" s="267"/>
      <c r="AB30" s="267"/>
      <c r="AE30" s="267"/>
      <c r="AF30" s="267"/>
      <c r="AG30" s="267"/>
      <c r="AH30" s="267"/>
      <c r="AK30" s="267"/>
      <c r="AL30" s="267"/>
      <c r="AM30" s="267"/>
      <c r="AN30" s="267"/>
      <c r="AQ30" s="267"/>
      <c r="AR30" s="267"/>
      <c r="AS30" s="267"/>
      <c r="AT30" s="267"/>
      <c r="AW30" s="267"/>
      <c r="AX30" s="267"/>
      <c r="AY30" s="267"/>
      <c r="AZ30" s="267"/>
      <c r="BG30" s="269"/>
      <c r="BM30" s="269"/>
      <c r="BS30" s="269"/>
      <c r="BU30" s="267"/>
      <c r="BY30" s="267"/>
      <c r="CC30" s="267"/>
      <c r="CG30" s="267"/>
      <c r="CS30" s="267"/>
      <c r="CW30" s="270"/>
      <c r="CX30" s="267"/>
      <c r="DC30" s="267"/>
      <c r="DH30" s="267"/>
      <c r="DM30" s="267"/>
      <c r="DR30" s="267"/>
      <c r="DW30" s="267"/>
      <c r="EB30" s="267"/>
      <c r="EG30" s="267"/>
      <c r="EL30" s="267"/>
      <c r="EQ30" s="267"/>
      <c r="EU30" s="270"/>
      <c r="EV30" s="267"/>
      <c r="FC30" s="267"/>
      <c r="FD30" s="267"/>
      <c r="FE30" s="267"/>
      <c r="FF30" s="267"/>
      <c r="FG30" s="267"/>
      <c r="FL30" s="267"/>
      <c r="FM30" s="267"/>
      <c r="FN30" s="267"/>
      <c r="FO30" s="267"/>
      <c r="FP30" s="267"/>
      <c r="FQ30" s="264"/>
      <c r="FR30" s="264"/>
      <c r="FS30" s="264"/>
      <c r="FT30" s="264"/>
      <c r="FU30" s="267"/>
      <c r="FV30" s="267"/>
      <c r="FW30" s="267"/>
      <c r="FX30" s="267"/>
      <c r="FY30" s="267"/>
      <c r="GD30" s="267"/>
      <c r="GE30" s="267"/>
      <c r="GF30" s="267"/>
      <c r="GG30" s="267"/>
      <c r="GH30" s="267"/>
      <c r="GI30" s="264"/>
      <c r="GJ30" s="264"/>
      <c r="GK30" s="264"/>
      <c r="GL30" s="264"/>
      <c r="HD30" s="267"/>
      <c r="HE30" s="267"/>
      <c r="HF30" s="267"/>
      <c r="HG30" s="267"/>
      <c r="HH30" s="267"/>
      <c r="HI30" s="267"/>
      <c r="HJ30" s="267"/>
      <c r="HK30" s="267"/>
      <c r="HL30" s="267"/>
      <c r="HM30" s="267"/>
      <c r="HN30" s="267"/>
      <c r="HO30" s="267"/>
      <c r="HP30" s="267"/>
      <c r="HQ30" s="267"/>
      <c r="HR30" s="267"/>
      <c r="HS30" s="267"/>
      <c r="HT30" s="267"/>
      <c r="HU30" s="267"/>
      <c r="IH30" s="267"/>
      <c r="IK30" s="267"/>
      <c r="IN30" s="267"/>
      <c r="IQ30" s="267"/>
      <c r="IR30" s="267"/>
      <c r="IS30" s="267"/>
      <c r="IT30" s="274"/>
      <c r="IU30" s="274"/>
      <c r="IV30" s="272"/>
      <c r="IW30" s="274"/>
      <c r="IX30" s="274"/>
      <c r="IY30" s="272"/>
    </row>
    <row r="31" spans="1:311">
      <c r="J31" s="267"/>
      <c r="K31" s="267"/>
      <c r="L31" s="267"/>
      <c r="M31" s="267"/>
      <c r="N31" s="275"/>
      <c r="O31" s="267"/>
      <c r="P31" s="267"/>
      <c r="Q31" s="267"/>
      <c r="S31" s="267"/>
      <c r="T31" s="267"/>
      <c r="U31" s="267"/>
      <c r="V31" s="267"/>
      <c r="W31" s="264"/>
      <c r="Y31" s="267"/>
      <c r="Z31" s="267"/>
      <c r="AA31" s="267"/>
      <c r="AB31" s="267"/>
      <c r="AE31" s="267"/>
      <c r="AF31" s="267"/>
      <c r="AG31" s="267"/>
      <c r="AH31" s="267"/>
      <c r="AK31" s="267"/>
      <c r="AL31" s="267"/>
      <c r="AM31" s="267"/>
      <c r="AN31" s="267"/>
      <c r="AQ31" s="267"/>
      <c r="AR31" s="267"/>
      <c r="AS31" s="267"/>
      <c r="AT31" s="267"/>
      <c r="AW31" s="267"/>
      <c r="AX31" s="267"/>
      <c r="AY31" s="267"/>
      <c r="AZ31" s="267"/>
      <c r="BG31" s="269"/>
      <c r="BM31" s="269"/>
      <c r="BS31" s="269"/>
      <c r="BU31" s="267"/>
      <c r="BY31" s="267"/>
      <c r="CC31" s="267"/>
      <c r="CG31" s="267"/>
      <c r="CS31" s="267"/>
      <c r="CW31" s="270"/>
      <c r="CX31" s="267"/>
      <c r="DC31" s="267"/>
      <c r="DH31" s="267"/>
      <c r="DM31" s="267"/>
      <c r="DR31" s="267"/>
      <c r="DW31" s="267"/>
      <c r="EB31" s="267"/>
      <c r="EG31" s="267"/>
      <c r="EL31" s="267"/>
      <c r="EQ31" s="267"/>
      <c r="EU31" s="270"/>
      <c r="EV31" s="267"/>
      <c r="FC31" s="267"/>
      <c r="FD31" s="267"/>
      <c r="FE31" s="267"/>
      <c r="FF31" s="267"/>
      <c r="FG31" s="267"/>
      <c r="FL31" s="267"/>
      <c r="FM31" s="267"/>
      <c r="FN31" s="267"/>
      <c r="FO31" s="267"/>
      <c r="FP31" s="267"/>
      <c r="FQ31" s="264"/>
      <c r="FR31" s="264"/>
      <c r="FS31" s="264"/>
      <c r="FT31" s="264"/>
      <c r="FU31" s="267"/>
      <c r="FV31" s="267"/>
      <c r="FW31" s="267"/>
      <c r="FX31" s="267"/>
      <c r="FY31" s="267"/>
      <c r="GD31" s="267"/>
      <c r="GE31" s="267"/>
      <c r="GF31" s="267"/>
      <c r="GG31" s="267"/>
      <c r="GH31" s="267"/>
      <c r="GI31" s="264"/>
      <c r="GJ31" s="264"/>
      <c r="GK31" s="264"/>
      <c r="GL31" s="264"/>
      <c r="HD31" s="267"/>
      <c r="HE31" s="267"/>
      <c r="HF31" s="267"/>
      <c r="HG31" s="267"/>
      <c r="HH31" s="267"/>
      <c r="HI31" s="267"/>
      <c r="HJ31" s="267"/>
      <c r="HK31" s="267"/>
      <c r="HL31" s="267"/>
      <c r="HM31" s="267"/>
      <c r="HN31" s="267"/>
      <c r="HO31" s="267"/>
      <c r="HP31" s="267"/>
      <c r="HQ31" s="267"/>
      <c r="HR31" s="267"/>
      <c r="HS31" s="267"/>
      <c r="HT31" s="267"/>
      <c r="HU31" s="267"/>
      <c r="IH31" s="267"/>
      <c r="IK31" s="267"/>
      <c r="IN31" s="267"/>
      <c r="IQ31" s="267"/>
      <c r="IR31" s="267"/>
      <c r="IS31" s="267"/>
      <c r="IT31" s="274"/>
      <c r="IU31" s="274"/>
      <c r="IV31" s="272"/>
      <c r="IW31" s="274"/>
      <c r="IX31" s="274"/>
      <c r="IY31" s="272"/>
    </row>
    <row r="32" spans="1:311">
      <c r="J32" s="267"/>
      <c r="K32" s="267"/>
      <c r="L32" s="267"/>
      <c r="M32" s="267"/>
      <c r="N32" s="275"/>
      <c r="O32" s="267"/>
      <c r="P32" s="267"/>
      <c r="Q32" s="267"/>
      <c r="S32" s="267"/>
      <c r="T32" s="267"/>
      <c r="U32" s="267"/>
      <c r="V32" s="267"/>
      <c r="W32" s="264"/>
      <c r="Y32" s="267"/>
      <c r="Z32" s="267"/>
      <c r="AA32" s="267"/>
      <c r="AB32" s="267"/>
      <c r="AE32" s="267"/>
      <c r="AF32" s="267"/>
      <c r="AG32" s="267"/>
      <c r="AH32" s="267"/>
      <c r="AK32" s="267"/>
      <c r="AL32" s="267"/>
      <c r="AM32" s="267"/>
      <c r="AN32" s="267"/>
      <c r="AQ32" s="267"/>
      <c r="AR32" s="267"/>
      <c r="AS32" s="267"/>
      <c r="AT32" s="267"/>
      <c r="AW32" s="267"/>
      <c r="AX32" s="267"/>
      <c r="AY32" s="267"/>
      <c r="AZ32" s="267"/>
      <c r="BG32" s="269"/>
      <c r="BM32" s="269"/>
      <c r="BS32" s="269"/>
      <c r="BU32" s="267"/>
      <c r="BY32" s="267"/>
      <c r="CC32" s="267"/>
      <c r="CG32" s="267"/>
      <c r="CS32" s="267"/>
      <c r="CW32" s="270"/>
      <c r="CX32" s="267"/>
      <c r="DC32" s="267"/>
      <c r="DH32" s="267"/>
      <c r="DM32" s="267"/>
      <c r="DR32" s="267"/>
      <c r="DW32" s="267"/>
      <c r="EB32" s="267"/>
      <c r="EG32" s="267"/>
      <c r="EL32" s="267"/>
      <c r="EQ32" s="267"/>
      <c r="EU32" s="270"/>
      <c r="EV32" s="267"/>
      <c r="FC32" s="267"/>
      <c r="FD32" s="267"/>
      <c r="FE32" s="267"/>
      <c r="FF32" s="267"/>
      <c r="FG32" s="267"/>
      <c r="FL32" s="267"/>
      <c r="FM32" s="267"/>
      <c r="FN32" s="267"/>
      <c r="FO32" s="267"/>
      <c r="FP32" s="267"/>
      <c r="FQ32" s="264"/>
      <c r="FR32" s="264"/>
      <c r="FS32" s="264"/>
      <c r="FT32" s="264"/>
      <c r="FU32" s="267"/>
      <c r="FV32" s="267"/>
      <c r="FW32" s="267"/>
      <c r="FX32" s="267"/>
      <c r="FY32" s="267"/>
      <c r="GD32" s="267"/>
      <c r="GE32" s="267"/>
      <c r="GF32" s="267"/>
      <c r="GG32" s="267"/>
      <c r="GH32" s="267"/>
      <c r="GI32" s="264"/>
      <c r="GJ32" s="264"/>
      <c r="GK32" s="264"/>
      <c r="GL32" s="264"/>
      <c r="HD32" s="267"/>
      <c r="HE32" s="267"/>
      <c r="HF32" s="267"/>
      <c r="HG32" s="267"/>
      <c r="HH32" s="267"/>
      <c r="HI32" s="267"/>
      <c r="HJ32" s="267"/>
      <c r="HK32" s="267"/>
      <c r="HL32" s="267"/>
      <c r="HM32" s="267"/>
      <c r="HN32" s="267"/>
      <c r="HO32" s="267"/>
      <c r="HP32" s="267"/>
      <c r="HQ32" s="267"/>
      <c r="HR32" s="267"/>
      <c r="HS32" s="267"/>
      <c r="HT32" s="267"/>
      <c r="HU32" s="267"/>
      <c r="IH32" s="267"/>
      <c r="IK32" s="267"/>
      <c r="IN32" s="267"/>
      <c r="IQ32" s="267"/>
      <c r="IR32" s="267"/>
      <c r="IS32" s="267"/>
      <c r="IT32" s="274"/>
      <c r="IU32" s="274"/>
      <c r="IV32" s="272"/>
      <c r="IW32" s="274"/>
      <c r="IX32" s="274"/>
      <c r="IY32" s="272"/>
    </row>
    <row r="33" spans="10:259">
      <c r="J33" s="267"/>
      <c r="K33" s="267"/>
      <c r="L33" s="267"/>
      <c r="M33" s="267"/>
      <c r="N33" s="275"/>
      <c r="O33" s="267"/>
      <c r="P33" s="267"/>
      <c r="Q33" s="267"/>
      <c r="S33" s="267"/>
      <c r="T33" s="267"/>
      <c r="U33" s="267"/>
      <c r="V33" s="267"/>
      <c r="W33" s="264"/>
      <c r="Y33" s="267"/>
      <c r="Z33" s="267"/>
      <c r="AA33" s="267"/>
      <c r="AB33" s="267"/>
      <c r="AE33" s="267"/>
      <c r="AF33" s="267"/>
      <c r="AG33" s="267"/>
      <c r="AH33" s="267"/>
      <c r="AK33" s="267"/>
      <c r="AL33" s="267"/>
      <c r="AM33" s="267"/>
      <c r="AN33" s="267"/>
      <c r="AQ33" s="267"/>
      <c r="AR33" s="267"/>
      <c r="AS33" s="267"/>
      <c r="AT33" s="267"/>
      <c r="AW33" s="267"/>
      <c r="AX33" s="267"/>
      <c r="AY33" s="267"/>
      <c r="AZ33" s="267"/>
      <c r="BG33" s="269"/>
      <c r="BM33" s="269"/>
      <c r="BS33" s="269"/>
      <c r="BU33" s="267"/>
      <c r="BY33" s="267"/>
      <c r="CC33" s="267"/>
      <c r="CG33" s="267"/>
      <c r="CS33" s="267"/>
      <c r="CW33" s="270"/>
      <c r="CX33" s="267"/>
      <c r="DC33" s="267"/>
      <c r="DH33" s="267"/>
      <c r="DM33" s="267"/>
      <c r="DR33" s="267"/>
      <c r="DW33" s="267"/>
      <c r="EB33" s="267"/>
      <c r="EG33" s="267"/>
      <c r="EL33" s="267"/>
      <c r="EQ33" s="267"/>
      <c r="EU33" s="270"/>
      <c r="EV33" s="267"/>
      <c r="FC33" s="267"/>
      <c r="FD33" s="267"/>
      <c r="FE33" s="267"/>
      <c r="FF33" s="267"/>
      <c r="FG33" s="267"/>
      <c r="FL33" s="267"/>
      <c r="FM33" s="267"/>
      <c r="FN33" s="267"/>
      <c r="FO33" s="267"/>
      <c r="FP33" s="267"/>
      <c r="FQ33" s="264"/>
      <c r="FR33" s="264"/>
      <c r="FS33" s="264"/>
      <c r="FT33" s="264"/>
      <c r="FU33" s="267"/>
      <c r="FV33" s="267"/>
      <c r="FW33" s="267"/>
      <c r="FX33" s="267"/>
      <c r="FY33" s="267"/>
      <c r="GD33" s="267"/>
      <c r="GE33" s="267"/>
      <c r="GF33" s="267"/>
      <c r="GG33" s="267"/>
      <c r="GH33" s="267"/>
      <c r="GI33" s="264"/>
      <c r="GJ33" s="264"/>
      <c r="GK33" s="264"/>
      <c r="GL33" s="264"/>
      <c r="HD33" s="267"/>
      <c r="HE33" s="267"/>
      <c r="HF33" s="267"/>
      <c r="HG33" s="267"/>
      <c r="HH33" s="267"/>
      <c r="HI33" s="267"/>
      <c r="HJ33" s="267"/>
      <c r="HK33" s="267"/>
      <c r="HL33" s="267"/>
      <c r="HM33" s="267"/>
      <c r="HN33" s="267"/>
      <c r="HO33" s="267"/>
      <c r="HP33" s="267"/>
      <c r="HQ33" s="267"/>
      <c r="HR33" s="267"/>
      <c r="HS33" s="267"/>
      <c r="HT33" s="267"/>
      <c r="HU33" s="267"/>
      <c r="IH33" s="267"/>
      <c r="IK33" s="267"/>
      <c r="IN33" s="267"/>
      <c r="IQ33" s="267"/>
      <c r="IR33" s="267"/>
      <c r="IS33" s="267"/>
      <c r="IT33" s="274"/>
      <c r="IU33" s="274"/>
      <c r="IV33" s="272"/>
      <c r="IW33" s="274"/>
      <c r="IX33" s="274"/>
      <c r="IY33" s="272"/>
    </row>
    <row r="34" spans="10:259">
      <c r="J34" s="267"/>
      <c r="K34" s="267"/>
      <c r="L34" s="267"/>
      <c r="M34" s="267"/>
      <c r="N34" s="275"/>
      <c r="O34" s="267"/>
      <c r="P34" s="267"/>
      <c r="Q34" s="267"/>
      <c r="S34" s="267"/>
      <c r="T34" s="267"/>
      <c r="U34" s="267"/>
      <c r="V34" s="267"/>
      <c r="W34" s="264"/>
      <c r="Y34" s="267"/>
      <c r="Z34" s="267"/>
      <c r="AA34" s="267"/>
      <c r="AB34" s="267"/>
      <c r="AE34" s="267"/>
      <c r="AF34" s="267"/>
      <c r="AG34" s="267"/>
      <c r="AH34" s="267"/>
      <c r="AK34" s="267"/>
      <c r="AL34" s="267"/>
      <c r="AM34" s="267"/>
      <c r="AN34" s="267"/>
      <c r="AQ34" s="267"/>
      <c r="AR34" s="267"/>
      <c r="AS34" s="267"/>
      <c r="AT34" s="267"/>
      <c r="AW34" s="267"/>
      <c r="AX34" s="267"/>
      <c r="AY34" s="267"/>
      <c r="AZ34" s="267"/>
      <c r="BG34" s="269"/>
      <c r="BM34" s="269"/>
      <c r="BS34" s="269"/>
      <c r="BU34" s="267"/>
      <c r="BY34" s="267"/>
      <c r="CC34" s="267"/>
      <c r="CG34" s="267"/>
      <c r="CS34" s="267"/>
      <c r="CW34" s="270"/>
      <c r="CX34" s="267"/>
      <c r="DC34" s="267"/>
      <c r="DH34" s="267"/>
      <c r="DM34" s="267"/>
      <c r="DR34" s="267"/>
      <c r="DW34" s="267"/>
      <c r="EB34" s="267"/>
      <c r="EG34" s="267"/>
      <c r="EL34" s="267"/>
      <c r="EQ34" s="267"/>
      <c r="EU34" s="270"/>
      <c r="EV34" s="267"/>
      <c r="FC34" s="267"/>
      <c r="FD34" s="267"/>
      <c r="FE34" s="267"/>
      <c r="FF34" s="267"/>
      <c r="FG34" s="267"/>
      <c r="FL34" s="267"/>
      <c r="FM34" s="267"/>
      <c r="FN34" s="267"/>
      <c r="FO34" s="267"/>
      <c r="FP34" s="267"/>
      <c r="FQ34" s="264"/>
      <c r="FR34" s="264"/>
      <c r="FS34" s="264"/>
      <c r="FT34" s="264"/>
      <c r="FU34" s="267"/>
      <c r="FV34" s="267"/>
      <c r="FW34" s="267"/>
      <c r="FX34" s="267"/>
      <c r="FY34" s="267"/>
      <c r="GD34" s="267"/>
      <c r="GE34" s="267"/>
      <c r="GF34" s="267"/>
      <c r="GG34" s="267"/>
      <c r="GH34" s="267"/>
      <c r="GI34" s="264"/>
      <c r="GJ34" s="264"/>
      <c r="GK34" s="264"/>
      <c r="GL34" s="264"/>
      <c r="HD34" s="267"/>
      <c r="HE34" s="267"/>
      <c r="HF34" s="267"/>
      <c r="HG34" s="267"/>
      <c r="HH34" s="267"/>
      <c r="HI34" s="267"/>
      <c r="HJ34" s="267"/>
      <c r="HK34" s="267"/>
      <c r="HL34" s="267"/>
      <c r="HM34" s="267"/>
      <c r="HN34" s="267"/>
      <c r="HO34" s="267"/>
      <c r="HP34" s="267"/>
      <c r="HQ34" s="267"/>
      <c r="HR34" s="267"/>
      <c r="HS34" s="267"/>
      <c r="HT34" s="267"/>
      <c r="HU34" s="267"/>
      <c r="IH34" s="267"/>
      <c r="IK34" s="267"/>
      <c r="IN34" s="267"/>
      <c r="IQ34" s="267"/>
      <c r="IR34" s="267"/>
      <c r="IS34" s="267"/>
      <c r="IT34" s="274"/>
      <c r="IU34" s="274"/>
      <c r="IV34" s="272"/>
      <c r="IW34" s="274"/>
      <c r="IX34" s="274"/>
      <c r="IY34" s="272"/>
    </row>
    <row r="35" spans="10:259">
      <c r="J35" s="267"/>
      <c r="K35" s="267"/>
      <c r="L35" s="267"/>
      <c r="M35" s="267"/>
      <c r="N35" s="275"/>
      <c r="O35" s="267"/>
      <c r="P35" s="267"/>
      <c r="Q35" s="267"/>
      <c r="S35" s="267"/>
      <c r="T35" s="267"/>
      <c r="U35" s="267"/>
      <c r="V35" s="267"/>
      <c r="W35" s="264"/>
      <c r="Y35" s="267"/>
      <c r="Z35" s="267"/>
      <c r="AA35" s="267"/>
      <c r="AB35" s="267"/>
      <c r="AE35" s="267"/>
      <c r="AF35" s="267"/>
      <c r="AG35" s="267"/>
      <c r="AH35" s="267"/>
      <c r="AK35" s="267"/>
      <c r="AL35" s="267"/>
      <c r="AM35" s="267"/>
      <c r="AN35" s="267"/>
      <c r="AQ35" s="267"/>
      <c r="AR35" s="267"/>
      <c r="AS35" s="267"/>
      <c r="AT35" s="267"/>
      <c r="AW35" s="267"/>
      <c r="AX35" s="267"/>
      <c r="AY35" s="267"/>
      <c r="AZ35" s="267"/>
      <c r="BG35" s="269"/>
      <c r="BM35" s="269"/>
      <c r="BS35" s="269"/>
      <c r="BU35" s="267"/>
      <c r="BY35" s="267"/>
      <c r="CC35" s="267"/>
      <c r="CG35" s="267"/>
      <c r="CS35" s="267"/>
      <c r="CW35" s="270"/>
      <c r="CX35" s="267"/>
      <c r="DC35" s="267"/>
      <c r="DH35" s="267"/>
      <c r="DM35" s="267"/>
      <c r="DR35" s="267"/>
      <c r="DW35" s="267"/>
      <c r="EB35" s="267"/>
      <c r="EG35" s="267"/>
      <c r="EL35" s="267"/>
      <c r="EQ35" s="267"/>
      <c r="EU35" s="270"/>
      <c r="EV35" s="267"/>
      <c r="FC35" s="267"/>
      <c r="FD35" s="267"/>
      <c r="FE35" s="267"/>
      <c r="FF35" s="267"/>
      <c r="FG35" s="267"/>
      <c r="FL35" s="267"/>
      <c r="FM35" s="267"/>
      <c r="FN35" s="267"/>
      <c r="FO35" s="267"/>
      <c r="FP35" s="267"/>
      <c r="FQ35" s="264"/>
      <c r="FR35" s="264"/>
      <c r="FS35" s="264"/>
      <c r="FT35" s="264"/>
      <c r="FU35" s="267"/>
      <c r="FV35" s="267"/>
      <c r="FW35" s="267"/>
      <c r="FX35" s="267"/>
      <c r="FY35" s="267"/>
      <c r="GD35" s="267"/>
      <c r="GE35" s="267"/>
      <c r="GF35" s="267"/>
      <c r="GG35" s="267"/>
      <c r="GH35" s="267"/>
      <c r="GI35" s="264"/>
      <c r="GJ35" s="264"/>
      <c r="GK35" s="264"/>
      <c r="GL35" s="264"/>
      <c r="HD35" s="267"/>
      <c r="HE35" s="267"/>
      <c r="HF35" s="267"/>
      <c r="HG35" s="267"/>
      <c r="HH35" s="267"/>
      <c r="HI35" s="267"/>
      <c r="HJ35" s="267"/>
      <c r="HK35" s="267"/>
      <c r="HL35" s="267"/>
      <c r="HM35" s="267"/>
      <c r="HN35" s="267"/>
      <c r="HO35" s="267"/>
      <c r="HP35" s="267"/>
      <c r="HQ35" s="267"/>
      <c r="HR35" s="267"/>
      <c r="HS35" s="267"/>
      <c r="HT35" s="267"/>
      <c r="HU35" s="267"/>
      <c r="IH35" s="267"/>
      <c r="IK35" s="267"/>
      <c r="IN35" s="267"/>
      <c r="IQ35" s="267"/>
      <c r="IR35" s="267"/>
      <c r="IS35" s="267"/>
      <c r="IT35" s="274"/>
      <c r="IU35" s="274"/>
      <c r="IV35" s="272"/>
      <c r="IW35" s="274"/>
      <c r="IX35" s="274"/>
      <c r="IY35" s="272"/>
    </row>
    <row r="36" spans="10:259">
      <c r="J36" s="267"/>
      <c r="K36" s="267"/>
      <c r="L36" s="267"/>
      <c r="M36" s="267"/>
      <c r="N36" s="275"/>
      <c r="O36" s="267"/>
      <c r="P36" s="267"/>
      <c r="Q36" s="267"/>
      <c r="S36" s="267"/>
      <c r="T36" s="267"/>
      <c r="U36" s="267"/>
      <c r="V36" s="267"/>
      <c r="W36" s="264"/>
      <c r="Y36" s="267"/>
      <c r="Z36" s="267"/>
      <c r="AA36" s="267"/>
      <c r="AB36" s="267"/>
      <c r="AE36" s="267"/>
      <c r="AF36" s="267"/>
      <c r="AG36" s="267"/>
      <c r="AH36" s="267"/>
      <c r="AK36" s="267"/>
      <c r="AL36" s="267"/>
      <c r="AM36" s="267"/>
      <c r="AN36" s="267"/>
      <c r="AQ36" s="267"/>
      <c r="AR36" s="267"/>
      <c r="AS36" s="267"/>
      <c r="AT36" s="267"/>
      <c r="AW36" s="267"/>
      <c r="AX36" s="267"/>
      <c r="AY36" s="267"/>
      <c r="AZ36" s="267"/>
      <c r="BG36" s="269"/>
      <c r="BM36" s="269"/>
      <c r="BS36" s="269"/>
      <c r="BU36" s="267"/>
      <c r="BY36" s="267"/>
      <c r="CC36" s="267"/>
      <c r="CG36" s="267"/>
      <c r="CS36" s="267"/>
      <c r="CW36" s="270"/>
      <c r="CX36" s="267"/>
      <c r="DC36" s="267"/>
      <c r="DH36" s="267"/>
      <c r="DM36" s="267"/>
      <c r="DR36" s="267"/>
      <c r="DW36" s="267"/>
      <c r="EB36" s="267"/>
      <c r="EG36" s="267"/>
      <c r="EL36" s="267"/>
      <c r="EQ36" s="267"/>
      <c r="EU36" s="270"/>
      <c r="EV36" s="267"/>
      <c r="FC36" s="267"/>
      <c r="FD36" s="267"/>
      <c r="FE36" s="267"/>
      <c r="FF36" s="267"/>
      <c r="FG36" s="267"/>
      <c r="FL36" s="267"/>
      <c r="FM36" s="267"/>
      <c r="FN36" s="267"/>
      <c r="FO36" s="267"/>
      <c r="FP36" s="267"/>
      <c r="FQ36" s="264"/>
      <c r="FR36" s="264"/>
      <c r="FS36" s="264"/>
      <c r="FT36" s="264"/>
      <c r="FU36" s="267"/>
      <c r="FV36" s="267"/>
      <c r="FW36" s="267"/>
      <c r="FX36" s="267"/>
      <c r="FY36" s="267"/>
      <c r="GD36" s="267"/>
      <c r="GE36" s="267"/>
      <c r="GF36" s="267"/>
      <c r="GG36" s="267"/>
      <c r="GH36" s="267"/>
      <c r="GI36" s="264"/>
      <c r="GJ36" s="264"/>
      <c r="GK36" s="264"/>
      <c r="GL36" s="264"/>
      <c r="HD36" s="267"/>
      <c r="HE36" s="267"/>
      <c r="HF36" s="267"/>
      <c r="HG36" s="267"/>
      <c r="HH36" s="267"/>
      <c r="HI36" s="267"/>
      <c r="HJ36" s="267"/>
      <c r="HK36" s="267"/>
      <c r="HL36" s="267"/>
      <c r="HM36" s="267"/>
      <c r="HN36" s="267"/>
      <c r="HO36" s="267"/>
      <c r="HP36" s="267"/>
      <c r="HQ36" s="267"/>
      <c r="HR36" s="267"/>
      <c r="HS36" s="267"/>
      <c r="HT36" s="267"/>
      <c r="HU36" s="267"/>
      <c r="IH36" s="267"/>
      <c r="IK36" s="267"/>
      <c r="IN36" s="267"/>
      <c r="IQ36" s="267"/>
      <c r="IR36" s="267"/>
      <c r="IS36" s="267"/>
      <c r="IT36" s="274"/>
      <c r="IU36" s="274"/>
      <c r="IV36" s="272"/>
      <c r="IW36" s="274"/>
      <c r="IX36" s="274"/>
      <c r="IY36" s="272"/>
    </row>
    <row r="37" spans="10:259">
      <c r="J37" s="267"/>
      <c r="K37" s="267"/>
      <c r="L37" s="267"/>
      <c r="M37" s="267"/>
      <c r="N37" s="275"/>
      <c r="O37" s="267"/>
      <c r="P37" s="267"/>
      <c r="Q37" s="267"/>
      <c r="S37" s="267"/>
      <c r="T37" s="267"/>
      <c r="U37" s="267"/>
      <c r="V37" s="267"/>
      <c r="W37" s="264"/>
      <c r="Y37" s="267"/>
      <c r="Z37" s="267"/>
      <c r="AA37" s="267"/>
      <c r="AB37" s="267"/>
      <c r="AE37" s="267"/>
      <c r="AF37" s="267"/>
      <c r="AG37" s="267"/>
      <c r="AH37" s="267"/>
      <c r="AK37" s="267"/>
      <c r="AL37" s="267"/>
      <c r="AM37" s="267"/>
      <c r="AN37" s="267"/>
      <c r="AQ37" s="267"/>
      <c r="AR37" s="267"/>
      <c r="AS37" s="267"/>
      <c r="AT37" s="267"/>
      <c r="AW37" s="267"/>
      <c r="AX37" s="267"/>
      <c r="AY37" s="267"/>
      <c r="AZ37" s="267"/>
      <c r="BG37" s="269"/>
      <c r="BM37" s="269"/>
      <c r="BS37" s="269"/>
      <c r="BU37" s="267"/>
      <c r="BY37" s="267"/>
      <c r="CC37" s="267"/>
      <c r="CG37" s="267"/>
      <c r="CS37" s="267"/>
      <c r="CW37" s="270"/>
      <c r="CX37" s="267"/>
      <c r="DC37" s="267"/>
      <c r="DH37" s="267"/>
      <c r="DM37" s="267"/>
      <c r="DR37" s="267"/>
      <c r="DW37" s="267"/>
      <c r="EB37" s="267"/>
      <c r="EG37" s="267"/>
      <c r="EL37" s="267"/>
      <c r="EQ37" s="267"/>
      <c r="EU37" s="270"/>
      <c r="EV37" s="267"/>
      <c r="FC37" s="267"/>
      <c r="FD37" s="267"/>
      <c r="FE37" s="267"/>
      <c r="FF37" s="267"/>
      <c r="FG37" s="267"/>
      <c r="FL37" s="267"/>
      <c r="FM37" s="267"/>
      <c r="FN37" s="267"/>
      <c r="FO37" s="267"/>
      <c r="FP37" s="267"/>
      <c r="FQ37" s="264"/>
      <c r="FR37" s="264"/>
      <c r="FS37" s="264"/>
      <c r="FT37" s="264"/>
      <c r="FU37" s="267"/>
      <c r="FV37" s="267"/>
      <c r="FW37" s="267"/>
      <c r="FX37" s="267"/>
      <c r="FY37" s="267"/>
      <c r="GD37" s="267"/>
      <c r="GE37" s="267"/>
      <c r="GF37" s="267"/>
      <c r="GG37" s="267"/>
      <c r="GH37" s="267"/>
      <c r="GI37" s="264"/>
      <c r="GJ37" s="264"/>
      <c r="GK37" s="264"/>
      <c r="GL37" s="264"/>
      <c r="HD37" s="267"/>
      <c r="HE37" s="267"/>
      <c r="HF37" s="267"/>
      <c r="HG37" s="267"/>
      <c r="HH37" s="267"/>
      <c r="HI37" s="267"/>
      <c r="HJ37" s="267"/>
      <c r="HK37" s="267"/>
      <c r="HL37" s="267"/>
      <c r="HM37" s="267"/>
      <c r="HN37" s="267"/>
      <c r="HO37" s="267"/>
      <c r="HP37" s="267"/>
      <c r="HQ37" s="267"/>
      <c r="HR37" s="267"/>
      <c r="HS37" s="267"/>
      <c r="HT37" s="267"/>
      <c r="HU37" s="267"/>
      <c r="IH37" s="267"/>
      <c r="IK37" s="267"/>
      <c r="IN37" s="267"/>
      <c r="IQ37" s="267"/>
      <c r="IR37" s="267"/>
      <c r="IS37" s="267"/>
      <c r="IT37" s="274"/>
      <c r="IU37" s="274"/>
      <c r="IV37" s="272"/>
      <c r="IW37" s="274"/>
      <c r="IX37" s="274"/>
      <c r="IY37" s="272"/>
    </row>
    <row r="38" spans="10:259">
      <c r="J38" s="267"/>
      <c r="K38" s="267"/>
      <c r="L38" s="267"/>
      <c r="M38" s="267"/>
      <c r="N38" s="275"/>
      <c r="O38" s="267"/>
      <c r="P38" s="267"/>
      <c r="Q38" s="267"/>
      <c r="S38" s="267"/>
      <c r="T38" s="267"/>
      <c r="U38" s="267"/>
      <c r="V38" s="267"/>
      <c r="W38" s="264"/>
      <c r="Y38" s="267"/>
      <c r="Z38" s="267"/>
      <c r="AA38" s="267"/>
      <c r="AB38" s="267"/>
      <c r="AE38" s="267"/>
      <c r="AF38" s="267"/>
      <c r="AG38" s="267"/>
      <c r="AH38" s="267"/>
      <c r="AK38" s="267"/>
      <c r="AL38" s="267"/>
      <c r="AM38" s="267"/>
      <c r="AN38" s="267"/>
      <c r="AQ38" s="267"/>
      <c r="AR38" s="267"/>
      <c r="AS38" s="267"/>
      <c r="AT38" s="267"/>
      <c r="AW38" s="267"/>
      <c r="AX38" s="267"/>
      <c r="AY38" s="267"/>
      <c r="AZ38" s="267"/>
      <c r="BG38" s="269"/>
      <c r="BM38" s="269"/>
      <c r="BS38" s="269"/>
      <c r="BU38" s="267"/>
      <c r="BY38" s="267"/>
      <c r="CC38" s="267"/>
      <c r="CG38" s="267"/>
      <c r="CS38" s="267"/>
      <c r="CW38" s="270"/>
      <c r="CX38" s="267"/>
      <c r="DC38" s="267"/>
      <c r="DH38" s="267"/>
      <c r="DM38" s="267"/>
      <c r="DR38" s="267"/>
      <c r="DW38" s="267"/>
      <c r="EB38" s="267"/>
      <c r="EG38" s="267"/>
      <c r="EL38" s="267"/>
      <c r="EQ38" s="267"/>
      <c r="EU38" s="270"/>
      <c r="EV38" s="267"/>
      <c r="FC38" s="267"/>
      <c r="FD38" s="267"/>
      <c r="FE38" s="267"/>
      <c r="FF38" s="267"/>
      <c r="FG38" s="267"/>
      <c r="FL38" s="267"/>
      <c r="FM38" s="267"/>
      <c r="FN38" s="267"/>
      <c r="FO38" s="267"/>
      <c r="FP38" s="267"/>
      <c r="FQ38" s="264"/>
      <c r="FR38" s="264"/>
      <c r="FS38" s="264"/>
      <c r="FT38" s="264"/>
      <c r="FU38" s="267"/>
      <c r="FV38" s="267"/>
      <c r="FW38" s="267"/>
      <c r="FX38" s="267"/>
      <c r="FY38" s="267"/>
      <c r="GD38" s="267"/>
      <c r="GE38" s="267"/>
      <c r="GF38" s="267"/>
      <c r="GG38" s="267"/>
      <c r="GH38" s="267"/>
      <c r="GI38" s="264"/>
      <c r="GJ38" s="264"/>
      <c r="GK38" s="264"/>
      <c r="GL38" s="264"/>
      <c r="HD38" s="267"/>
      <c r="HE38" s="267"/>
      <c r="HF38" s="267"/>
      <c r="HG38" s="267"/>
      <c r="HH38" s="267"/>
      <c r="HI38" s="267"/>
      <c r="HJ38" s="267"/>
      <c r="HK38" s="267"/>
      <c r="HL38" s="267"/>
      <c r="HM38" s="267"/>
      <c r="HN38" s="267"/>
      <c r="HO38" s="267"/>
      <c r="HP38" s="267"/>
      <c r="HQ38" s="267"/>
      <c r="HR38" s="267"/>
      <c r="HS38" s="267"/>
      <c r="HT38" s="267"/>
      <c r="HU38" s="267"/>
      <c r="IH38" s="267"/>
      <c r="IK38" s="267"/>
      <c r="IN38" s="267"/>
      <c r="IQ38" s="267"/>
      <c r="IR38" s="267"/>
      <c r="IS38" s="267"/>
      <c r="IT38" s="274"/>
      <c r="IU38" s="274"/>
      <c r="IV38" s="272"/>
      <c r="IW38" s="274"/>
      <c r="IX38" s="274"/>
      <c r="IY38" s="272"/>
    </row>
    <row r="39" spans="10:259">
      <c r="J39" s="267"/>
      <c r="K39" s="267"/>
      <c r="L39" s="267"/>
      <c r="M39" s="267"/>
      <c r="N39" s="275"/>
      <c r="O39" s="267"/>
      <c r="P39" s="267"/>
      <c r="Q39" s="267"/>
      <c r="S39" s="267"/>
      <c r="T39" s="267"/>
      <c r="U39" s="267"/>
      <c r="V39" s="267"/>
      <c r="W39" s="264"/>
      <c r="Y39" s="267"/>
      <c r="Z39" s="267"/>
      <c r="AA39" s="267"/>
      <c r="AB39" s="267"/>
      <c r="AE39" s="267"/>
      <c r="AF39" s="267"/>
      <c r="AG39" s="267"/>
      <c r="AH39" s="267"/>
      <c r="AK39" s="267"/>
      <c r="AL39" s="267"/>
      <c r="AM39" s="267"/>
      <c r="AN39" s="267"/>
      <c r="AQ39" s="267"/>
      <c r="AR39" s="267"/>
      <c r="AS39" s="267"/>
      <c r="AT39" s="267"/>
      <c r="AW39" s="267"/>
      <c r="AX39" s="267"/>
      <c r="AY39" s="267"/>
      <c r="AZ39" s="267"/>
      <c r="BG39" s="269"/>
      <c r="BM39" s="269"/>
      <c r="BS39" s="269"/>
      <c r="BU39" s="267"/>
      <c r="BY39" s="267"/>
      <c r="CC39" s="267"/>
      <c r="CG39" s="267"/>
      <c r="CS39" s="267"/>
      <c r="CW39" s="270"/>
      <c r="CX39" s="267"/>
      <c r="DC39" s="267"/>
      <c r="DH39" s="267"/>
      <c r="DM39" s="267"/>
      <c r="DR39" s="267"/>
      <c r="DW39" s="267"/>
      <c r="EB39" s="267"/>
      <c r="EG39" s="267"/>
      <c r="EL39" s="267"/>
      <c r="EQ39" s="267"/>
      <c r="EU39" s="270"/>
      <c r="EV39" s="267"/>
      <c r="FC39" s="267"/>
      <c r="FD39" s="267"/>
      <c r="FE39" s="267"/>
      <c r="FF39" s="267"/>
      <c r="FG39" s="267"/>
      <c r="FL39" s="267"/>
      <c r="FM39" s="267"/>
      <c r="FN39" s="267"/>
      <c r="FO39" s="267"/>
      <c r="FP39" s="267"/>
      <c r="FQ39" s="264"/>
      <c r="FR39" s="264"/>
      <c r="FS39" s="264"/>
      <c r="FT39" s="264"/>
      <c r="FU39" s="267"/>
      <c r="FV39" s="267"/>
      <c r="FW39" s="267"/>
      <c r="FX39" s="267"/>
      <c r="FY39" s="267"/>
      <c r="GD39" s="267"/>
      <c r="GE39" s="267"/>
      <c r="GF39" s="267"/>
      <c r="GG39" s="267"/>
      <c r="GH39" s="267"/>
      <c r="GI39" s="264"/>
      <c r="GJ39" s="264"/>
      <c r="GK39" s="264"/>
      <c r="GL39" s="264"/>
      <c r="HD39" s="267"/>
      <c r="HE39" s="267"/>
      <c r="HF39" s="267"/>
      <c r="HG39" s="267"/>
      <c r="HH39" s="267"/>
      <c r="HI39" s="267"/>
      <c r="HJ39" s="267"/>
      <c r="HK39" s="267"/>
      <c r="HL39" s="267"/>
      <c r="HM39" s="267"/>
      <c r="HN39" s="267"/>
      <c r="HO39" s="267"/>
      <c r="HP39" s="267"/>
      <c r="HQ39" s="267"/>
      <c r="HR39" s="267"/>
      <c r="HS39" s="267"/>
      <c r="HT39" s="267"/>
      <c r="HU39" s="267"/>
      <c r="IH39" s="267"/>
      <c r="IK39" s="267"/>
      <c r="IN39" s="267"/>
      <c r="IQ39" s="267"/>
      <c r="IR39" s="267"/>
      <c r="IS39" s="267"/>
      <c r="IT39" s="274"/>
      <c r="IU39" s="274"/>
      <c r="IV39" s="272"/>
      <c r="IW39" s="274"/>
      <c r="IX39" s="274"/>
      <c r="IY39" s="272"/>
    </row>
    <row r="40" spans="10:259">
      <c r="J40" s="267"/>
      <c r="K40" s="267"/>
      <c r="L40" s="267"/>
      <c r="M40" s="267"/>
      <c r="N40" s="275"/>
      <c r="O40" s="267"/>
      <c r="P40" s="267"/>
      <c r="Q40" s="267"/>
      <c r="S40" s="267"/>
      <c r="T40" s="267"/>
      <c r="U40" s="267"/>
      <c r="V40" s="267"/>
      <c r="W40" s="264"/>
      <c r="Y40" s="267"/>
      <c r="Z40" s="267"/>
      <c r="AA40" s="267"/>
      <c r="AB40" s="267"/>
      <c r="AE40" s="267"/>
      <c r="AF40" s="267"/>
      <c r="AG40" s="267"/>
      <c r="AH40" s="267"/>
      <c r="AK40" s="267"/>
      <c r="AL40" s="267"/>
      <c r="AM40" s="267"/>
      <c r="AN40" s="267"/>
      <c r="AQ40" s="267"/>
      <c r="AR40" s="267"/>
      <c r="AS40" s="267"/>
      <c r="AT40" s="267"/>
      <c r="AW40" s="267"/>
      <c r="AX40" s="267"/>
      <c r="AY40" s="267"/>
      <c r="AZ40" s="267"/>
      <c r="BG40" s="269"/>
      <c r="BM40" s="269"/>
      <c r="BS40" s="269"/>
      <c r="BU40" s="267"/>
      <c r="BY40" s="267"/>
      <c r="CC40" s="267"/>
      <c r="CG40" s="267"/>
      <c r="CS40" s="267"/>
      <c r="CW40" s="270"/>
      <c r="CX40" s="267"/>
      <c r="DC40" s="267"/>
      <c r="DH40" s="267"/>
      <c r="DM40" s="267"/>
      <c r="DR40" s="267"/>
      <c r="DW40" s="267"/>
      <c r="EB40" s="267"/>
      <c r="EG40" s="267"/>
      <c r="EL40" s="267"/>
      <c r="EQ40" s="267"/>
      <c r="EU40" s="270"/>
      <c r="EV40" s="267"/>
      <c r="FC40" s="267"/>
      <c r="FD40" s="267"/>
      <c r="FE40" s="267"/>
      <c r="FF40" s="267"/>
      <c r="FG40" s="267"/>
      <c r="FL40" s="267"/>
      <c r="FM40" s="267"/>
      <c r="FN40" s="267"/>
      <c r="FO40" s="267"/>
      <c r="FP40" s="267"/>
      <c r="FQ40" s="264"/>
      <c r="FR40" s="264"/>
      <c r="FS40" s="264"/>
      <c r="FT40" s="264"/>
      <c r="FU40" s="267"/>
      <c r="FV40" s="267"/>
      <c r="FW40" s="267"/>
      <c r="FX40" s="267"/>
      <c r="FY40" s="267"/>
      <c r="GD40" s="267"/>
      <c r="GE40" s="267"/>
      <c r="GF40" s="267"/>
      <c r="GG40" s="267"/>
      <c r="GH40" s="267"/>
      <c r="GI40" s="264"/>
      <c r="GJ40" s="264"/>
      <c r="GK40" s="264"/>
      <c r="GL40" s="264"/>
      <c r="HD40" s="267"/>
      <c r="HE40" s="267"/>
      <c r="HF40" s="267"/>
      <c r="HG40" s="267"/>
      <c r="HH40" s="267"/>
      <c r="HI40" s="267"/>
      <c r="HJ40" s="267"/>
      <c r="HK40" s="267"/>
      <c r="HL40" s="267"/>
      <c r="HM40" s="267"/>
      <c r="HN40" s="267"/>
      <c r="HO40" s="267"/>
      <c r="HP40" s="267"/>
      <c r="HQ40" s="267"/>
      <c r="HR40" s="267"/>
      <c r="HS40" s="267"/>
      <c r="HT40" s="267"/>
      <c r="HU40" s="267"/>
      <c r="IH40" s="267"/>
      <c r="IK40" s="267"/>
      <c r="IN40" s="267"/>
      <c r="IQ40" s="267"/>
      <c r="IR40" s="267"/>
      <c r="IS40" s="267"/>
      <c r="IT40" s="274"/>
      <c r="IU40" s="274"/>
      <c r="IV40" s="272"/>
      <c r="IW40" s="274"/>
      <c r="IX40" s="274"/>
      <c r="IY40" s="272"/>
    </row>
    <row r="41" spans="10:259">
      <c r="J41" s="267"/>
      <c r="K41" s="267"/>
      <c r="L41" s="267"/>
      <c r="M41" s="267"/>
      <c r="N41" s="275"/>
      <c r="O41" s="267"/>
      <c r="P41" s="267"/>
      <c r="Q41" s="267"/>
      <c r="S41" s="267"/>
      <c r="T41" s="267"/>
      <c r="U41" s="267"/>
      <c r="V41" s="267"/>
      <c r="W41" s="264"/>
      <c r="Y41" s="267"/>
      <c r="Z41" s="267"/>
      <c r="AA41" s="267"/>
      <c r="AB41" s="267"/>
      <c r="AE41" s="267"/>
      <c r="AF41" s="267"/>
      <c r="AG41" s="267"/>
      <c r="AH41" s="267"/>
      <c r="AK41" s="267"/>
      <c r="AL41" s="267"/>
      <c r="AM41" s="267"/>
      <c r="AN41" s="267"/>
      <c r="AQ41" s="267"/>
      <c r="AR41" s="267"/>
      <c r="AS41" s="267"/>
      <c r="AT41" s="267"/>
      <c r="AW41" s="267"/>
      <c r="AX41" s="267"/>
      <c r="AY41" s="267"/>
      <c r="AZ41" s="267"/>
      <c r="BG41" s="269"/>
      <c r="BM41" s="269"/>
      <c r="BS41" s="269"/>
      <c r="BU41" s="267"/>
      <c r="BY41" s="267"/>
      <c r="CC41" s="267"/>
      <c r="CG41" s="267"/>
      <c r="CS41" s="267"/>
      <c r="CW41" s="270"/>
      <c r="CX41" s="267"/>
      <c r="DC41" s="267"/>
      <c r="DH41" s="267"/>
      <c r="DM41" s="267"/>
      <c r="DR41" s="267"/>
      <c r="DW41" s="267"/>
      <c r="EB41" s="267"/>
      <c r="EG41" s="267"/>
      <c r="EL41" s="267"/>
      <c r="EQ41" s="267"/>
      <c r="EU41" s="270"/>
      <c r="EV41" s="267"/>
      <c r="FC41" s="267"/>
      <c r="FD41" s="267"/>
      <c r="FE41" s="267"/>
      <c r="FF41" s="267"/>
      <c r="FG41" s="267"/>
      <c r="FL41" s="267"/>
      <c r="FM41" s="267"/>
      <c r="FN41" s="267"/>
      <c r="FO41" s="267"/>
      <c r="FP41" s="267"/>
      <c r="FQ41" s="264"/>
      <c r="FR41" s="264"/>
      <c r="FS41" s="264"/>
      <c r="FT41" s="264"/>
      <c r="FU41" s="267"/>
      <c r="FV41" s="267"/>
      <c r="FW41" s="267"/>
      <c r="FX41" s="267"/>
      <c r="FY41" s="267"/>
      <c r="GD41" s="267"/>
      <c r="GE41" s="267"/>
      <c r="GF41" s="267"/>
      <c r="GG41" s="267"/>
      <c r="GH41" s="267"/>
      <c r="GI41" s="264"/>
      <c r="GJ41" s="264"/>
      <c r="GK41" s="264"/>
      <c r="GL41" s="264"/>
      <c r="HD41" s="267"/>
      <c r="HE41" s="267"/>
      <c r="HF41" s="267"/>
      <c r="HG41" s="267"/>
      <c r="HH41" s="267"/>
      <c r="HI41" s="267"/>
      <c r="HJ41" s="267"/>
      <c r="HK41" s="267"/>
      <c r="HL41" s="267"/>
      <c r="HM41" s="267"/>
      <c r="HN41" s="267"/>
      <c r="HO41" s="267"/>
      <c r="HP41" s="267"/>
      <c r="HQ41" s="267"/>
      <c r="HR41" s="267"/>
      <c r="HS41" s="267"/>
      <c r="HT41" s="267"/>
      <c r="HU41" s="267"/>
      <c r="IH41" s="267"/>
      <c r="IK41" s="267"/>
      <c r="IN41" s="267"/>
      <c r="IQ41" s="267"/>
      <c r="IR41" s="267"/>
      <c r="IS41" s="267"/>
      <c r="IT41" s="274"/>
      <c r="IU41" s="274"/>
      <c r="IV41" s="272"/>
      <c r="IW41" s="274"/>
      <c r="IX41" s="274"/>
      <c r="IY41" s="272"/>
    </row>
    <row r="42" spans="10:259">
      <c r="J42" s="267"/>
      <c r="K42" s="267"/>
      <c r="L42" s="267"/>
      <c r="M42" s="267"/>
      <c r="N42" s="275"/>
      <c r="O42" s="267"/>
      <c r="P42" s="267"/>
      <c r="Q42" s="267"/>
      <c r="S42" s="267"/>
      <c r="T42" s="267"/>
      <c r="U42" s="267"/>
      <c r="V42" s="267"/>
      <c r="W42" s="264"/>
      <c r="Y42" s="267"/>
      <c r="Z42" s="267"/>
      <c r="AA42" s="267"/>
      <c r="AB42" s="267"/>
      <c r="AE42" s="267"/>
      <c r="AF42" s="267"/>
      <c r="AG42" s="267"/>
      <c r="AH42" s="267"/>
      <c r="AK42" s="267"/>
      <c r="AL42" s="267"/>
      <c r="AM42" s="267"/>
      <c r="AN42" s="267"/>
      <c r="AQ42" s="267"/>
      <c r="AR42" s="267"/>
      <c r="AS42" s="267"/>
      <c r="AT42" s="267"/>
      <c r="AW42" s="267"/>
      <c r="AX42" s="267"/>
      <c r="AY42" s="267"/>
      <c r="AZ42" s="267"/>
      <c r="BG42" s="269"/>
      <c r="BM42" s="269"/>
      <c r="BS42" s="269"/>
      <c r="BU42" s="267"/>
      <c r="BY42" s="267"/>
      <c r="CC42" s="267"/>
      <c r="CG42" s="267"/>
      <c r="CS42" s="267"/>
      <c r="CW42" s="270"/>
      <c r="CX42" s="267"/>
      <c r="DC42" s="267"/>
      <c r="DH42" s="267"/>
      <c r="DM42" s="267"/>
      <c r="DR42" s="267"/>
      <c r="DW42" s="267"/>
      <c r="EB42" s="267"/>
      <c r="EG42" s="267"/>
      <c r="EL42" s="267"/>
      <c r="EQ42" s="267"/>
      <c r="EU42" s="270"/>
      <c r="EV42" s="267"/>
      <c r="FC42" s="267"/>
      <c r="FD42" s="267"/>
      <c r="FE42" s="267"/>
      <c r="FF42" s="267"/>
      <c r="FG42" s="267"/>
      <c r="FL42" s="267"/>
      <c r="FM42" s="267"/>
      <c r="FN42" s="267"/>
      <c r="FO42" s="267"/>
      <c r="FP42" s="267"/>
      <c r="FQ42" s="264"/>
      <c r="FR42" s="264"/>
      <c r="FS42" s="264"/>
      <c r="FT42" s="264"/>
      <c r="FU42" s="267"/>
      <c r="FV42" s="267"/>
      <c r="FW42" s="267"/>
      <c r="FX42" s="267"/>
      <c r="FY42" s="267"/>
      <c r="GD42" s="267"/>
      <c r="GE42" s="267"/>
      <c r="GF42" s="267"/>
      <c r="GG42" s="267"/>
      <c r="GH42" s="267"/>
      <c r="GI42" s="264"/>
      <c r="GJ42" s="264"/>
      <c r="GK42" s="264"/>
      <c r="GL42" s="264"/>
      <c r="HD42" s="267"/>
      <c r="HE42" s="267"/>
      <c r="HF42" s="267"/>
      <c r="HG42" s="267"/>
      <c r="HH42" s="267"/>
      <c r="HI42" s="267"/>
      <c r="HJ42" s="267"/>
      <c r="HK42" s="267"/>
      <c r="HL42" s="267"/>
      <c r="HM42" s="267"/>
      <c r="HN42" s="267"/>
      <c r="HO42" s="267"/>
      <c r="HP42" s="267"/>
      <c r="HQ42" s="267"/>
      <c r="HR42" s="267"/>
      <c r="HS42" s="267"/>
      <c r="HT42" s="267"/>
      <c r="HU42" s="267"/>
      <c r="IH42" s="267"/>
      <c r="IK42" s="267"/>
      <c r="IN42" s="267"/>
      <c r="IQ42" s="267"/>
      <c r="IR42" s="267"/>
      <c r="IS42" s="267"/>
      <c r="IT42" s="274"/>
      <c r="IU42" s="274"/>
      <c r="IV42" s="272"/>
      <c r="IW42" s="274"/>
      <c r="IX42" s="274"/>
      <c r="IY42" s="272"/>
    </row>
    <row r="43" spans="10:259">
      <c r="J43" s="267"/>
      <c r="K43" s="267"/>
      <c r="L43" s="267"/>
      <c r="M43" s="267"/>
      <c r="N43" s="275"/>
      <c r="O43" s="267"/>
      <c r="P43" s="267"/>
      <c r="Q43" s="267"/>
      <c r="S43" s="267"/>
      <c r="T43" s="267"/>
      <c r="U43" s="267"/>
      <c r="V43" s="267"/>
      <c r="W43" s="264"/>
      <c r="Y43" s="267"/>
      <c r="Z43" s="267"/>
      <c r="AA43" s="267"/>
      <c r="AB43" s="267"/>
      <c r="AE43" s="267"/>
      <c r="AF43" s="267"/>
      <c r="AG43" s="267"/>
      <c r="AH43" s="267"/>
      <c r="AK43" s="267"/>
      <c r="AL43" s="267"/>
      <c r="AM43" s="267"/>
      <c r="AN43" s="267"/>
      <c r="AQ43" s="267"/>
      <c r="AR43" s="267"/>
      <c r="AS43" s="267"/>
      <c r="AT43" s="267"/>
      <c r="AW43" s="267"/>
      <c r="AX43" s="267"/>
      <c r="AY43" s="267"/>
      <c r="AZ43" s="267"/>
      <c r="BG43" s="269"/>
      <c r="BM43" s="269"/>
      <c r="BS43" s="269"/>
      <c r="BU43" s="267"/>
      <c r="BY43" s="267"/>
      <c r="CC43" s="267"/>
      <c r="CG43" s="267"/>
      <c r="CS43" s="267"/>
      <c r="CW43" s="270"/>
      <c r="CX43" s="267"/>
      <c r="DC43" s="267"/>
      <c r="DH43" s="267"/>
      <c r="DM43" s="267"/>
      <c r="DR43" s="267"/>
      <c r="DW43" s="267"/>
      <c r="EB43" s="267"/>
      <c r="EG43" s="267"/>
      <c r="EL43" s="267"/>
      <c r="EQ43" s="267"/>
      <c r="EU43" s="270"/>
      <c r="EV43" s="267"/>
      <c r="FC43" s="267"/>
      <c r="FD43" s="267"/>
      <c r="FE43" s="267"/>
      <c r="FF43" s="267"/>
      <c r="FG43" s="267"/>
      <c r="FL43" s="267"/>
      <c r="FM43" s="267"/>
      <c r="FN43" s="267"/>
      <c r="FO43" s="267"/>
      <c r="FP43" s="267"/>
      <c r="FQ43" s="264"/>
      <c r="FR43" s="264"/>
      <c r="FS43" s="264"/>
      <c r="FT43" s="264"/>
      <c r="FU43" s="267"/>
      <c r="FV43" s="267"/>
      <c r="FW43" s="267"/>
      <c r="FX43" s="267"/>
      <c r="FY43" s="267"/>
      <c r="GD43" s="267"/>
      <c r="GE43" s="267"/>
      <c r="GF43" s="267"/>
      <c r="GG43" s="267"/>
      <c r="GH43" s="267"/>
      <c r="GI43" s="264"/>
      <c r="GJ43" s="264"/>
      <c r="GK43" s="264"/>
      <c r="GL43" s="264"/>
      <c r="HD43" s="267"/>
      <c r="HE43" s="267"/>
      <c r="HF43" s="267"/>
      <c r="HG43" s="267"/>
      <c r="HH43" s="267"/>
      <c r="HI43" s="267"/>
      <c r="HJ43" s="267"/>
      <c r="HK43" s="267"/>
      <c r="HL43" s="267"/>
      <c r="HM43" s="267"/>
      <c r="HN43" s="267"/>
      <c r="HO43" s="267"/>
      <c r="HP43" s="267"/>
      <c r="HQ43" s="267"/>
      <c r="HR43" s="267"/>
      <c r="HS43" s="267"/>
      <c r="HT43" s="267"/>
      <c r="HU43" s="267"/>
      <c r="IH43" s="267"/>
      <c r="IK43" s="267"/>
      <c r="IN43" s="267"/>
      <c r="IQ43" s="267"/>
      <c r="IR43" s="267"/>
      <c r="IS43" s="267"/>
      <c r="IT43" s="274"/>
      <c r="IU43" s="274"/>
      <c r="IV43" s="272"/>
      <c r="IW43" s="274"/>
      <c r="IX43" s="274"/>
      <c r="IY43" s="272"/>
    </row>
    <row r="44" spans="10:259">
      <c r="J44" s="267"/>
      <c r="K44" s="267"/>
      <c r="L44" s="267"/>
      <c r="M44" s="267"/>
      <c r="N44" s="275"/>
      <c r="O44" s="267"/>
      <c r="P44" s="267"/>
      <c r="Q44" s="267"/>
      <c r="S44" s="267"/>
      <c r="T44" s="267"/>
      <c r="U44" s="267"/>
      <c r="V44" s="267"/>
      <c r="W44" s="264"/>
      <c r="Y44" s="267"/>
      <c r="Z44" s="267"/>
      <c r="AA44" s="267"/>
      <c r="AB44" s="267"/>
      <c r="AE44" s="267"/>
      <c r="AF44" s="267"/>
      <c r="AG44" s="267"/>
      <c r="AH44" s="267"/>
      <c r="AK44" s="267"/>
      <c r="AL44" s="267"/>
      <c r="AM44" s="267"/>
      <c r="AN44" s="267"/>
      <c r="AQ44" s="267"/>
      <c r="AR44" s="267"/>
      <c r="AS44" s="267"/>
      <c r="AT44" s="267"/>
      <c r="AW44" s="267"/>
      <c r="AX44" s="267"/>
      <c r="AY44" s="267"/>
      <c r="AZ44" s="267"/>
      <c r="BG44" s="269"/>
      <c r="BM44" s="269"/>
      <c r="BS44" s="269"/>
      <c r="BU44" s="267"/>
      <c r="BY44" s="267"/>
      <c r="CC44" s="267"/>
      <c r="CG44" s="267"/>
      <c r="CS44" s="267"/>
      <c r="CW44" s="270"/>
      <c r="CX44" s="267"/>
      <c r="DC44" s="267"/>
      <c r="DH44" s="267"/>
      <c r="DM44" s="267"/>
      <c r="DR44" s="267"/>
      <c r="DW44" s="267"/>
      <c r="EB44" s="267"/>
      <c r="EG44" s="267"/>
      <c r="EL44" s="267"/>
      <c r="EQ44" s="267"/>
      <c r="EU44" s="270"/>
      <c r="EV44" s="267"/>
      <c r="FC44" s="267"/>
      <c r="FD44" s="267"/>
      <c r="FE44" s="267"/>
      <c r="FF44" s="267"/>
      <c r="FG44" s="267"/>
      <c r="FL44" s="267"/>
      <c r="FM44" s="267"/>
      <c r="FN44" s="267"/>
      <c r="FO44" s="267"/>
      <c r="FP44" s="267"/>
      <c r="FQ44" s="264"/>
      <c r="FR44" s="264"/>
      <c r="FS44" s="264"/>
      <c r="FT44" s="264"/>
      <c r="FU44" s="267"/>
      <c r="FV44" s="267"/>
      <c r="FW44" s="267"/>
      <c r="FX44" s="267"/>
      <c r="FY44" s="267"/>
      <c r="GD44" s="267"/>
      <c r="GE44" s="267"/>
      <c r="GF44" s="267"/>
      <c r="GG44" s="267"/>
      <c r="GH44" s="267"/>
      <c r="GI44" s="264"/>
      <c r="GJ44" s="264"/>
      <c r="GK44" s="264"/>
      <c r="GL44" s="264"/>
      <c r="HD44" s="267"/>
      <c r="HE44" s="267"/>
      <c r="HF44" s="267"/>
      <c r="HG44" s="267"/>
      <c r="HH44" s="267"/>
      <c r="HI44" s="267"/>
      <c r="HJ44" s="267"/>
      <c r="HK44" s="267"/>
      <c r="HL44" s="267"/>
      <c r="HM44" s="267"/>
      <c r="HN44" s="267"/>
      <c r="HO44" s="267"/>
      <c r="HP44" s="267"/>
      <c r="HQ44" s="267"/>
      <c r="HR44" s="267"/>
      <c r="HS44" s="267"/>
      <c r="HT44" s="267"/>
      <c r="HU44" s="267"/>
      <c r="IH44" s="267"/>
      <c r="IK44" s="267"/>
      <c r="IN44" s="267"/>
      <c r="IQ44" s="267"/>
      <c r="IR44" s="267"/>
      <c r="IS44" s="267"/>
      <c r="IT44" s="274"/>
      <c r="IU44" s="274"/>
      <c r="IV44" s="272"/>
      <c r="IW44" s="274"/>
      <c r="IX44" s="274"/>
      <c r="IY44" s="272"/>
    </row>
    <row r="45" spans="10:259">
      <c r="J45" s="267"/>
      <c r="K45" s="267"/>
      <c r="L45" s="267"/>
      <c r="M45" s="267"/>
      <c r="N45" s="275"/>
      <c r="O45" s="267"/>
      <c r="P45" s="267"/>
      <c r="Q45" s="267"/>
      <c r="S45" s="267"/>
      <c r="T45" s="267"/>
      <c r="U45" s="267"/>
      <c r="V45" s="267"/>
      <c r="W45" s="264"/>
      <c r="Y45" s="267"/>
      <c r="Z45" s="267"/>
      <c r="AA45" s="267"/>
      <c r="AB45" s="267"/>
      <c r="AE45" s="267"/>
      <c r="AF45" s="267"/>
      <c r="AG45" s="267"/>
      <c r="AH45" s="267"/>
      <c r="AK45" s="267"/>
      <c r="AL45" s="267"/>
      <c r="AM45" s="267"/>
      <c r="AN45" s="267"/>
      <c r="AQ45" s="267"/>
      <c r="AR45" s="267"/>
      <c r="AS45" s="267"/>
      <c r="AT45" s="267"/>
      <c r="AW45" s="267"/>
      <c r="AX45" s="267"/>
      <c r="AY45" s="267"/>
      <c r="AZ45" s="267"/>
      <c r="BG45" s="269"/>
      <c r="BM45" s="269"/>
      <c r="BS45" s="269"/>
      <c r="BU45" s="267"/>
      <c r="BY45" s="267"/>
      <c r="CC45" s="267"/>
      <c r="CG45" s="267"/>
      <c r="CS45" s="267"/>
      <c r="CW45" s="270"/>
      <c r="CX45" s="267"/>
      <c r="DC45" s="267"/>
      <c r="DH45" s="267"/>
      <c r="DM45" s="267"/>
      <c r="DR45" s="267"/>
      <c r="DW45" s="267"/>
      <c r="EB45" s="267"/>
      <c r="EG45" s="267"/>
      <c r="EL45" s="267"/>
      <c r="EQ45" s="267"/>
      <c r="EU45" s="270"/>
      <c r="EV45" s="267"/>
      <c r="FC45" s="267"/>
      <c r="FD45" s="267"/>
      <c r="FE45" s="267"/>
      <c r="FF45" s="267"/>
      <c r="FG45" s="267"/>
      <c r="FL45" s="267"/>
      <c r="FM45" s="267"/>
      <c r="FN45" s="267"/>
      <c r="FO45" s="267"/>
      <c r="FP45" s="267"/>
      <c r="FQ45" s="264"/>
      <c r="FR45" s="264"/>
      <c r="FS45" s="264"/>
      <c r="FT45" s="264"/>
      <c r="FU45" s="267"/>
      <c r="FV45" s="267"/>
      <c r="FW45" s="267"/>
      <c r="FX45" s="267"/>
      <c r="FY45" s="267"/>
      <c r="GD45" s="267"/>
      <c r="GE45" s="267"/>
      <c r="GF45" s="267"/>
      <c r="GG45" s="267"/>
      <c r="GH45" s="267"/>
      <c r="GI45" s="264"/>
      <c r="GJ45" s="264"/>
      <c r="GK45" s="264"/>
      <c r="GL45" s="264"/>
      <c r="HD45" s="267"/>
      <c r="HE45" s="267"/>
      <c r="HF45" s="267"/>
      <c r="HG45" s="267"/>
      <c r="HH45" s="267"/>
      <c r="HI45" s="267"/>
      <c r="HJ45" s="267"/>
      <c r="HK45" s="267"/>
      <c r="HL45" s="267"/>
      <c r="HM45" s="267"/>
      <c r="HN45" s="267"/>
      <c r="HO45" s="267"/>
      <c r="HP45" s="267"/>
      <c r="HQ45" s="267"/>
      <c r="HR45" s="267"/>
      <c r="HS45" s="267"/>
      <c r="HT45" s="267"/>
      <c r="HU45" s="267"/>
      <c r="IH45" s="267"/>
      <c r="IK45" s="267"/>
      <c r="IN45" s="267"/>
      <c r="IQ45" s="267"/>
      <c r="IR45" s="267"/>
      <c r="IS45" s="267"/>
      <c r="IT45" s="274"/>
      <c r="IU45" s="274"/>
      <c r="IV45" s="272"/>
      <c r="IW45" s="274"/>
      <c r="IX45" s="274"/>
      <c r="IY45" s="272"/>
    </row>
    <row r="46" spans="10:259">
      <c r="J46" s="267"/>
      <c r="K46" s="267"/>
      <c r="L46" s="267"/>
      <c r="M46" s="267"/>
      <c r="N46" s="275"/>
      <c r="O46" s="267"/>
      <c r="P46" s="267"/>
      <c r="Q46" s="267"/>
      <c r="S46" s="267"/>
      <c r="T46" s="267"/>
      <c r="U46" s="267"/>
      <c r="V46" s="267"/>
      <c r="W46" s="264"/>
      <c r="Y46" s="267"/>
      <c r="Z46" s="267"/>
      <c r="AA46" s="267"/>
      <c r="AB46" s="267"/>
      <c r="AE46" s="267"/>
      <c r="AF46" s="267"/>
      <c r="AG46" s="267"/>
      <c r="AH46" s="267"/>
      <c r="AK46" s="267"/>
      <c r="AL46" s="267"/>
      <c r="AM46" s="267"/>
      <c r="AN46" s="267"/>
      <c r="AQ46" s="267"/>
      <c r="AR46" s="267"/>
      <c r="AS46" s="267"/>
      <c r="AT46" s="267"/>
      <c r="AW46" s="267"/>
      <c r="AX46" s="267"/>
      <c r="AY46" s="267"/>
      <c r="AZ46" s="267"/>
      <c r="BG46" s="269"/>
      <c r="BM46" s="269"/>
      <c r="BS46" s="269"/>
      <c r="BU46" s="267"/>
      <c r="BY46" s="267"/>
      <c r="CC46" s="267"/>
      <c r="CG46" s="267"/>
      <c r="CS46" s="267"/>
      <c r="CW46" s="270"/>
      <c r="CX46" s="267"/>
      <c r="DC46" s="267"/>
      <c r="DH46" s="267"/>
      <c r="DM46" s="267"/>
      <c r="DR46" s="267"/>
      <c r="DW46" s="267"/>
      <c r="EB46" s="267"/>
      <c r="EG46" s="267"/>
      <c r="EL46" s="267"/>
      <c r="EQ46" s="267"/>
      <c r="EU46" s="270"/>
      <c r="EV46" s="267"/>
      <c r="FC46" s="267"/>
      <c r="FD46" s="267"/>
      <c r="FE46" s="267"/>
      <c r="FF46" s="267"/>
      <c r="FG46" s="267"/>
      <c r="FL46" s="267"/>
      <c r="FM46" s="267"/>
      <c r="FN46" s="267"/>
      <c r="FO46" s="267"/>
      <c r="FP46" s="267"/>
      <c r="FQ46" s="264"/>
      <c r="FR46" s="264"/>
      <c r="FS46" s="264"/>
      <c r="FT46" s="264"/>
      <c r="FU46" s="267"/>
      <c r="FV46" s="267"/>
      <c r="FW46" s="267"/>
      <c r="FX46" s="267"/>
      <c r="FY46" s="267"/>
      <c r="GD46" s="267"/>
      <c r="GE46" s="267"/>
      <c r="GF46" s="267"/>
      <c r="GG46" s="267"/>
      <c r="GH46" s="267"/>
      <c r="GI46" s="264"/>
      <c r="GJ46" s="264"/>
      <c r="GK46" s="264"/>
      <c r="GL46" s="264"/>
      <c r="HD46" s="267"/>
      <c r="HE46" s="267"/>
      <c r="HF46" s="267"/>
      <c r="HG46" s="267"/>
      <c r="HH46" s="267"/>
      <c r="HI46" s="267"/>
      <c r="HJ46" s="267"/>
      <c r="HK46" s="267"/>
      <c r="HL46" s="267"/>
      <c r="HM46" s="267"/>
      <c r="HN46" s="267"/>
      <c r="HO46" s="267"/>
      <c r="HP46" s="267"/>
      <c r="HQ46" s="267"/>
      <c r="HR46" s="267"/>
      <c r="HS46" s="267"/>
      <c r="HT46" s="267"/>
      <c r="HU46" s="267"/>
      <c r="IH46" s="267"/>
      <c r="IK46" s="267"/>
      <c r="IN46" s="267"/>
      <c r="IQ46" s="267"/>
      <c r="IR46" s="267"/>
      <c r="IS46" s="267"/>
      <c r="IT46" s="274"/>
      <c r="IU46" s="274"/>
      <c r="IV46" s="272"/>
      <c r="IW46" s="274"/>
      <c r="IX46" s="274"/>
      <c r="IY46" s="272"/>
    </row>
    <row r="47" spans="10:259">
      <c r="J47" s="267"/>
      <c r="K47" s="267"/>
      <c r="L47" s="267"/>
      <c r="M47" s="267"/>
      <c r="N47" s="275"/>
      <c r="O47" s="267"/>
      <c r="P47" s="267"/>
      <c r="Q47" s="267"/>
      <c r="S47" s="267"/>
      <c r="T47" s="267"/>
      <c r="U47" s="267"/>
      <c r="V47" s="267"/>
      <c r="W47" s="264"/>
      <c r="Y47" s="267"/>
      <c r="Z47" s="267"/>
      <c r="AA47" s="267"/>
      <c r="AB47" s="267"/>
      <c r="AE47" s="267"/>
      <c r="AF47" s="267"/>
      <c r="AG47" s="267"/>
      <c r="AH47" s="267"/>
      <c r="AK47" s="267"/>
      <c r="AL47" s="267"/>
      <c r="AM47" s="267"/>
      <c r="AN47" s="267"/>
      <c r="AQ47" s="267"/>
      <c r="AR47" s="267"/>
      <c r="AS47" s="267"/>
      <c r="AT47" s="267"/>
      <c r="AW47" s="267"/>
      <c r="AX47" s="267"/>
      <c r="AY47" s="267"/>
      <c r="AZ47" s="267"/>
      <c r="BG47" s="269"/>
      <c r="BM47" s="269"/>
      <c r="BS47" s="269"/>
      <c r="BU47" s="267"/>
      <c r="BY47" s="267"/>
      <c r="CC47" s="267"/>
      <c r="CG47" s="267"/>
      <c r="CS47" s="267"/>
      <c r="CW47" s="270"/>
      <c r="CX47" s="267"/>
      <c r="DC47" s="267"/>
      <c r="DH47" s="267"/>
      <c r="DM47" s="267"/>
      <c r="DR47" s="267"/>
      <c r="DW47" s="267"/>
      <c r="EB47" s="267"/>
      <c r="EG47" s="267"/>
      <c r="EL47" s="267"/>
      <c r="EQ47" s="267"/>
      <c r="EU47" s="270"/>
      <c r="EV47" s="267"/>
      <c r="FC47" s="267"/>
      <c r="FD47" s="267"/>
      <c r="FE47" s="267"/>
      <c r="FF47" s="267"/>
      <c r="FG47" s="267"/>
      <c r="FL47" s="267"/>
      <c r="FM47" s="267"/>
      <c r="FN47" s="267"/>
      <c r="FO47" s="267"/>
      <c r="FP47" s="267"/>
      <c r="FQ47" s="264"/>
      <c r="FR47" s="264"/>
      <c r="FS47" s="264"/>
      <c r="FT47" s="264"/>
      <c r="FU47" s="267"/>
      <c r="FV47" s="267"/>
      <c r="FW47" s="267"/>
      <c r="FX47" s="267"/>
      <c r="FY47" s="267"/>
      <c r="GD47" s="267"/>
      <c r="GE47" s="267"/>
      <c r="GF47" s="267"/>
      <c r="GG47" s="267"/>
      <c r="GH47" s="267"/>
      <c r="GI47" s="264"/>
      <c r="GJ47" s="264"/>
      <c r="GK47" s="264"/>
      <c r="GL47" s="264"/>
      <c r="HD47" s="267"/>
      <c r="HE47" s="267"/>
      <c r="HF47" s="267"/>
      <c r="HG47" s="267"/>
      <c r="HH47" s="267"/>
      <c r="HI47" s="267"/>
      <c r="HJ47" s="267"/>
      <c r="HK47" s="267"/>
      <c r="HL47" s="267"/>
      <c r="HM47" s="267"/>
      <c r="HN47" s="267"/>
      <c r="HO47" s="267"/>
      <c r="HP47" s="267"/>
      <c r="HQ47" s="267"/>
      <c r="HR47" s="267"/>
      <c r="HS47" s="267"/>
      <c r="HT47" s="267"/>
      <c r="HU47" s="267"/>
      <c r="IH47" s="267"/>
      <c r="IK47" s="267"/>
      <c r="IN47" s="267"/>
      <c r="IQ47" s="267"/>
      <c r="IR47" s="267"/>
      <c r="IS47" s="267"/>
      <c r="IT47" s="274"/>
      <c r="IU47" s="274"/>
      <c r="IV47" s="272"/>
      <c r="IW47" s="274"/>
      <c r="IX47" s="274"/>
      <c r="IY47" s="272"/>
    </row>
    <row r="48" spans="10:259">
      <c r="J48" s="267"/>
      <c r="K48" s="267"/>
      <c r="L48" s="267"/>
      <c r="M48" s="267"/>
      <c r="N48" s="275"/>
      <c r="O48" s="267"/>
      <c r="P48" s="267"/>
      <c r="Q48" s="267"/>
      <c r="S48" s="267"/>
      <c r="T48" s="267"/>
      <c r="U48" s="267"/>
      <c r="V48" s="267"/>
      <c r="W48" s="264"/>
      <c r="Y48" s="267"/>
      <c r="Z48" s="267"/>
      <c r="AA48" s="267"/>
      <c r="AB48" s="267"/>
      <c r="AE48" s="267"/>
      <c r="AF48" s="267"/>
      <c r="AG48" s="267"/>
      <c r="AH48" s="267"/>
      <c r="AK48" s="267"/>
      <c r="AL48" s="267"/>
      <c r="AM48" s="267"/>
      <c r="AN48" s="267"/>
      <c r="AQ48" s="267"/>
      <c r="AR48" s="267"/>
      <c r="AS48" s="267"/>
      <c r="AT48" s="267"/>
      <c r="AW48" s="267"/>
      <c r="AX48" s="267"/>
      <c r="AY48" s="267"/>
      <c r="AZ48" s="267"/>
      <c r="BG48" s="269"/>
      <c r="BM48" s="269"/>
      <c r="BS48" s="269"/>
      <c r="BU48" s="267"/>
      <c r="BY48" s="267"/>
      <c r="CC48" s="267"/>
      <c r="CG48" s="267"/>
      <c r="CS48" s="267"/>
      <c r="CW48" s="270"/>
      <c r="CX48" s="267"/>
      <c r="DC48" s="267"/>
      <c r="DH48" s="267"/>
      <c r="DM48" s="267"/>
      <c r="DR48" s="267"/>
      <c r="DW48" s="267"/>
      <c r="EB48" s="267"/>
      <c r="EG48" s="267"/>
      <c r="EL48" s="267"/>
      <c r="EQ48" s="267"/>
      <c r="EU48" s="270"/>
      <c r="EV48" s="267"/>
      <c r="FC48" s="267"/>
      <c r="FD48" s="267"/>
      <c r="FE48" s="267"/>
      <c r="FF48" s="267"/>
      <c r="FG48" s="267"/>
      <c r="FL48" s="267"/>
      <c r="FM48" s="267"/>
      <c r="FN48" s="267"/>
      <c r="FO48" s="267"/>
      <c r="FP48" s="267"/>
      <c r="FQ48" s="264"/>
      <c r="FR48" s="264"/>
      <c r="FS48" s="264"/>
      <c r="FT48" s="264"/>
      <c r="FU48" s="267"/>
      <c r="FV48" s="267"/>
      <c r="FW48" s="267"/>
      <c r="FX48" s="267"/>
      <c r="FY48" s="267"/>
      <c r="GD48" s="267"/>
      <c r="GE48" s="267"/>
      <c r="GF48" s="267"/>
      <c r="GG48" s="267"/>
      <c r="GH48" s="267"/>
      <c r="GI48" s="264"/>
      <c r="GJ48" s="264"/>
      <c r="GK48" s="264"/>
      <c r="GL48" s="264"/>
      <c r="HD48" s="267"/>
      <c r="HE48" s="267"/>
      <c r="HF48" s="267"/>
      <c r="HG48" s="267"/>
      <c r="HH48" s="267"/>
      <c r="HI48" s="267"/>
      <c r="HJ48" s="267"/>
      <c r="HK48" s="267"/>
      <c r="HL48" s="267"/>
      <c r="HM48" s="267"/>
      <c r="HN48" s="267"/>
      <c r="HO48" s="267"/>
      <c r="HP48" s="267"/>
      <c r="HQ48" s="267"/>
      <c r="HR48" s="267"/>
      <c r="HS48" s="267"/>
      <c r="HT48" s="267"/>
      <c r="HU48" s="267"/>
      <c r="IH48" s="267"/>
      <c r="IK48" s="267"/>
      <c r="IN48" s="267"/>
      <c r="IQ48" s="267"/>
      <c r="IR48" s="267"/>
      <c r="IS48" s="267"/>
      <c r="IT48" s="274"/>
      <c r="IU48" s="274"/>
      <c r="IV48" s="272"/>
      <c r="IW48" s="274"/>
      <c r="IX48" s="274"/>
      <c r="IY48" s="272"/>
    </row>
    <row r="49" spans="10:259">
      <c r="J49" s="267"/>
      <c r="K49" s="267"/>
      <c r="L49" s="267"/>
      <c r="M49" s="267"/>
      <c r="N49" s="275"/>
      <c r="O49" s="267"/>
      <c r="P49" s="267"/>
      <c r="Q49" s="267"/>
      <c r="S49" s="267"/>
      <c r="T49" s="267"/>
      <c r="U49" s="267"/>
      <c r="V49" s="267"/>
      <c r="W49" s="264"/>
      <c r="Y49" s="267"/>
      <c r="Z49" s="267"/>
      <c r="AA49" s="267"/>
      <c r="AB49" s="267"/>
      <c r="AE49" s="267"/>
      <c r="AF49" s="267"/>
      <c r="AG49" s="267"/>
      <c r="AH49" s="267"/>
      <c r="AK49" s="267"/>
      <c r="AL49" s="267"/>
      <c r="AM49" s="267"/>
      <c r="AN49" s="267"/>
      <c r="AQ49" s="267"/>
      <c r="AR49" s="267"/>
      <c r="AS49" s="267"/>
      <c r="AT49" s="267"/>
      <c r="AW49" s="267"/>
      <c r="AX49" s="267"/>
      <c r="AY49" s="267"/>
      <c r="AZ49" s="267"/>
      <c r="BG49" s="269"/>
      <c r="BM49" s="269"/>
      <c r="BS49" s="269"/>
      <c r="BU49" s="267"/>
      <c r="BY49" s="267"/>
      <c r="CC49" s="267"/>
      <c r="CG49" s="267"/>
      <c r="CS49" s="267"/>
      <c r="CW49" s="270"/>
      <c r="CX49" s="267"/>
      <c r="DC49" s="267"/>
      <c r="DH49" s="267"/>
      <c r="DM49" s="267"/>
      <c r="DR49" s="267"/>
      <c r="DW49" s="267"/>
      <c r="EB49" s="267"/>
      <c r="EG49" s="267"/>
      <c r="EL49" s="267"/>
      <c r="EQ49" s="267"/>
      <c r="EU49" s="270"/>
      <c r="EV49" s="267"/>
      <c r="FC49" s="267"/>
      <c r="FD49" s="267"/>
      <c r="FE49" s="267"/>
      <c r="FF49" s="267"/>
      <c r="FG49" s="267"/>
      <c r="FL49" s="267"/>
      <c r="FM49" s="267"/>
      <c r="FN49" s="267"/>
      <c r="FO49" s="267"/>
      <c r="FP49" s="267"/>
      <c r="FQ49" s="264"/>
      <c r="FR49" s="264"/>
      <c r="FS49" s="264"/>
      <c r="FT49" s="264"/>
      <c r="FU49" s="267"/>
      <c r="FV49" s="267"/>
      <c r="FW49" s="267"/>
      <c r="FX49" s="267"/>
      <c r="FY49" s="267"/>
      <c r="GD49" s="267"/>
      <c r="GE49" s="267"/>
      <c r="GF49" s="267"/>
      <c r="GG49" s="267"/>
      <c r="GH49" s="267"/>
      <c r="GI49" s="264"/>
      <c r="GJ49" s="264"/>
      <c r="GK49" s="264"/>
      <c r="GL49" s="264"/>
      <c r="HD49" s="267"/>
      <c r="HE49" s="267"/>
      <c r="HF49" s="267"/>
      <c r="HG49" s="267"/>
      <c r="HH49" s="267"/>
      <c r="HI49" s="267"/>
      <c r="HJ49" s="267"/>
      <c r="HK49" s="267"/>
      <c r="HL49" s="267"/>
      <c r="HM49" s="267"/>
      <c r="HN49" s="267"/>
      <c r="HO49" s="267"/>
      <c r="HP49" s="267"/>
      <c r="HQ49" s="267"/>
      <c r="HR49" s="267"/>
      <c r="HS49" s="267"/>
      <c r="HT49" s="267"/>
      <c r="HU49" s="267"/>
      <c r="IH49" s="267"/>
      <c r="IK49" s="267"/>
      <c r="IN49" s="267"/>
      <c r="IQ49" s="267"/>
      <c r="IR49" s="267"/>
      <c r="IS49" s="267"/>
      <c r="IT49" s="274"/>
      <c r="IU49" s="274"/>
      <c r="IV49" s="272"/>
      <c r="IW49" s="274"/>
      <c r="IX49" s="274"/>
      <c r="IY49" s="272"/>
    </row>
    <row r="50" spans="10:259">
      <c r="J50" s="267"/>
      <c r="K50" s="267"/>
      <c r="L50" s="267"/>
      <c r="M50" s="267"/>
      <c r="N50" s="275"/>
      <c r="O50" s="267"/>
      <c r="P50" s="267"/>
      <c r="Q50" s="267"/>
      <c r="S50" s="267"/>
      <c r="T50" s="267"/>
      <c r="U50" s="267"/>
      <c r="V50" s="267"/>
      <c r="W50" s="264"/>
      <c r="Y50" s="267"/>
      <c r="Z50" s="267"/>
      <c r="AA50" s="267"/>
      <c r="AB50" s="267"/>
      <c r="AE50" s="267"/>
      <c r="AF50" s="267"/>
      <c r="AG50" s="267"/>
      <c r="AH50" s="267"/>
      <c r="AK50" s="267"/>
      <c r="AL50" s="267"/>
      <c r="AM50" s="267"/>
      <c r="AN50" s="267"/>
      <c r="AQ50" s="267"/>
      <c r="AR50" s="267"/>
      <c r="AS50" s="267"/>
      <c r="AT50" s="267"/>
      <c r="AW50" s="267"/>
      <c r="AX50" s="267"/>
      <c r="AY50" s="267"/>
      <c r="AZ50" s="267"/>
      <c r="BG50" s="269"/>
      <c r="BM50" s="269"/>
      <c r="BS50" s="269"/>
      <c r="BU50" s="267"/>
      <c r="BY50" s="267"/>
      <c r="CC50" s="267"/>
      <c r="CG50" s="267"/>
      <c r="CS50" s="267"/>
      <c r="CW50" s="270"/>
      <c r="CX50" s="267"/>
      <c r="DC50" s="267"/>
      <c r="DH50" s="267"/>
      <c r="DM50" s="267"/>
      <c r="DR50" s="267"/>
      <c r="DW50" s="267"/>
      <c r="EB50" s="267"/>
      <c r="EG50" s="267"/>
      <c r="EL50" s="267"/>
      <c r="EQ50" s="267"/>
      <c r="EU50" s="270"/>
      <c r="EV50" s="267"/>
      <c r="FC50" s="267"/>
      <c r="FD50" s="267"/>
      <c r="FE50" s="267"/>
      <c r="FF50" s="267"/>
      <c r="FG50" s="267"/>
      <c r="FL50" s="267"/>
      <c r="FM50" s="267"/>
      <c r="FN50" s="267"/>
      <c r="FO50" s="267"/>
      <c r="FP50" s="267"/>
      <c r="FQ50" s="264"/>
      <c r="FR50" s="264"/>
      <c r="FS50" s="264"/>
      <c r="FT50" s="264"/>
      <c r="FU50" s="267"/>
      <c r="FV50" s="267"/>
      <c r="FW50" s="267"/>
      <c r="FX50" s="267"/>
      <c r="FY50" s="267"/>
      <c r="GD50" s="267"/>
      <c r="GE50" s="267"/>
      <c r="GF50" s="267"/>
      <c r="GG50" s="267"/>
      <c r="GH50" s="267"/>
      <c r="GI50" s="264"/>
      <c r="GJ50" s="264"/>
      <c r="GK50" s="264"/>
      <c r="GL50" s="264"/>
      <c r="HD50" s="267"/>
      <c r="HE50" s="267"/>
      <c r="HF50" s="267"/>
      <c r="HG50" s="267"/>
      <c r="HH50" s="267"/>
      <c r="HI50" s="267"/>
      <c r="HJ50" s="267"/>
      <c r="HK50" s="267"/>
      <c r="HL50" s="267"/>
      <c r="HM50" s="267"/>
      <c r="HN50" s="267"/>
      <c r="HO50" s="267"/>
      <c r="HP50" s="267"/>
      <c r="HQ50" s="267"/>
      <c r="HR50" s="267"/>
      <c r="HS50" s="267"/>
      <c r="HT50" s="267"/>
      <c r="HU50" s="267"/>
      <c r="IH50" s="267"/>
      <c r="IK50" s="267"/>
      <c r="IN50" s="267"/>
      <c r="IQ50" s="267"/>
      <c r="IR50" s="267"/>
      <c r="IS50" s="267"/>
      <c r="IT50" s="274"/>
      <c r="IU50" s="274"/>
      <c r="IV50" s="272"/>
      <c r="IW50" s="274"/>
      <c r="IX50" s="274"/>
      <c r="IY50" s="272"/>
    </row>
    <row r="51" spans="10:259">
      <c r="J51" s="267"/>
      <c r="K51" s="267"/>
      <c r="L51" s="267"/>
      <c r="M51" s="267"/>
      <c r="N51" s="275"/>
      <c r="O51" s="267"/>
      <c r="P51" s="267"/>
      <c r="Q51" s="267"/>
      <c r="S51" s="267"/>
      <c r="T51" s="267"/>
      <c r="U51" s="267"/>
      <c r="V51" s="267"/>
      <c r="W51" s="264"/>
      <c r="Y51" s="267"/>
      <c r="Z51" s="267"/>
      <c r="AA51" s="267"/>
      <c r="AB51" s="267"/>
      <c r="AE51" s="267"/>
      <c r="AF51" s="267"/>
      <c r="AG51" s="267"/>
      <c r="AH51" s="267"/>
      <c r="AK51" s="267"/>
      <c r="AL51" s="267"/>
      <c r="AM51" s="267"/>
      <c r="AN51" s="267"/>
      <c r="AQ51" s="267"/>
      <c r="AR51" s="267"/>
      <c r="AS51" s="267"/>
      <c r="AT51" s="267"/>
      <c r="AW51" s="267"/>
      <c r="AX51" s="267"/>
      <c r="AY51" s="267"/>
      <c r="AZ51" s="267"/>
      <c r="BG51" s="269"/>
      <c r="BM51" s="269"/>
      <c r="BS51" s="269"/>
      <c r="BU51" s="267"/>
      <c r="BY51" s="267"/>
      <c r="CC51" s="267"/>
      <c r="CG51" s="267"/>
      <c r="CS51" s="267"/>
      <c r="CW51" s="270"/>
      <c r="CX51" s="267"/>
      <c r="DC51" s="267"/>
      <c r="DH51" s="267"/>
      <c r="DM51" s="267"/>
      <c r="DR51" s="267"/>
      <c r="DW51" s="267"/>
      <c r="EB51" s="267"/>
      <c r="EG51" s="267"/>
      <c r="EL51" s="267"/>
      <c r="EQ51" s="267"/>
      <c r="EU51" s="270"/>
      <c r="EV51" s="267"/>
      <c r="FC51" s="267"/>
      <c r="FD51" s="267"/>
      <c r="FE51" s="267"/>
      <c r="FF51" s="267"/>
      <c r="FG51" s="267"/>
      <c r="FL51" s="267"/>
      <c r="FM51" s="267"/>
      <c r="FN51" s="267"/>
      <c r="FO51" s="267"/>
      <c r="FP51" s="267"/>
      <c r="FQ51" s="264"/>
      <c r="FR51" s="264"/>
      <c r="FS51" s="264"/>
      <c r="FT51" s="264"/>
      <c r="FU51" s="267"/>
      <c r="FV51" s="267"/>
      <c r="FW51" s="267"/>
      <c r="FX51" s="267"/>
      <c r="FY51" s="267"/>
      <c r="GD51" s="267"/>
      <c r="GE51" s="267"/>
      <c r="GF51" s="267"/>
      <c r="GG51" s="267"/>
      <c r="GH51" s="267"/>
      <c r="GI51" s="264"/>
      <c r="GJ51" s="264"/>
      <c r="GK51" s="264"/>
      <c r="GL51" s="264"/>
      <c r="HD51" s="267"/>
      <c r="HE51" s="267"/>
      <c r="HF51" s="267"/>
      <c r="HG51" s="267"/>
      <c r="HH51" s="267"/>
      <c r="HI51" s="267"/>
      <c r="HJ51" s="267"/>
      <c r="HK51" s="267"/>
      <c r="HL51" s="267"/>
      <c r="HM51" s="267"/>
      <c r="HN51" s="267"/>
      <c r="HO51" s="267"/>
      <c r="HP51" s="267"/>
      <c r="HQ51" s="267"/>
      <c r="HR51" s="267"/>
      <c r="HS51" s="267"/>
      <c r="HT51" s="267"/>
      <c r="HU51" s="267"/>
      <c r="IH51" s="267"/>
      <c r="IK51" s="267"/>
      <c r="IN51" s="267"/>
      <c r="IQ51" s="267"/>
      <c r="IR51" s="267"/>
      <c r="IS51" s="267"/>
      <c r="IT51" s="274"/>
      <c r="IU51" s="274"/>
      <c r="IV51" s="272"/>
      <c r="IW51" s="274"/>
      <c r="IX51" s="274"/>
      <c r="IY51" s="272"/>
    </row>
    <row r="52" spans="10:259">
      <c r="J52" s="267"/>
      <c r="K52" s="267"/>
      <c r="L52" s="267"/>
      <c r="M52" s="267"/>
      <c r="N52" s="267"/>
      <c r="O52" s="267"/>
      <c r="P52" s="267"/>
      <c r="Q52" s="267"/>
      <c r="S52" s="267"/>
      <c r="T52" s="267"/>
      <c r="U52" s="267"/>
      <c r="V52" s="267"/>
      <c r="W52" s="264"/>
      <c r="Y52" s="267"/>
      <c r="Z52" s="267"/>
      <c r="AA52" s="267"/>
      <c r="AB52" s="267"/>
      <c r="AE52" s="267"/>
      <c r="AF52" s="267"/>
      <c r="AG52" s="267"/>
      <c r="AH52" s="267"/>
      <c r="AK52" s="267"/>
      <c r="AL52" s="267"/>
      <c r="AM52" s="267"/>
      <c r="AN52" s="267"/>
      <c r="AQ52" s="267"/>
      <c r="AR52" s="267"/>
      <c r="AS52" s="267"/>
      <c r="AT52" s="267"/>
      <c r="AW52" s="267"/>
      <c r="AX52" s="267"/>
      <c r="AY52" s="267"/>
      <c r="AZ52" s="267"/>
      <c r="BG52" s="269"/>
      <c r="BM52" s="269"/>
      <c r="BS52" s="269"/>
      <c r="BU52" s="267"/>
      <c r="BY52" s="267"/>
      <c r="CC52" s="267"/>
      <c r="CG52" s="267"/>
      <c r="CS52" s="267"/>
      <c r="CW52" s="270"/>
      <c r="CX52" s="267"/>
      <c r="DC52" s="267"/>
      <c r="DH52" s="267"/>
      <c r="DM52" s="267"/>
      <c r="DR52" s="267"/>
      <c r="DW52" s="267"/>
      <c r="EB52" s="267"/>
      <c r="EG52" s="267"/>
      <c r="EL52" s="267"/>
      <c r="EQ52" s="267"/>
      <c r="EU52" s="270"/>
      <c r="EV52" s="267"/>
      <c r="FC52" s="267"/>
      <c r="FD52" s="267"/>
      <c r="FE52" s="267"/>
      <c r="FF52" s="267"/>
      <c r="FG52" s="267"/>
      <c r="FL52" s="267"/>
      <c r="FM52" s="267"/>
      <c r="FN52" s="267"/>
      <c r="FO52" s="267"/>
      <c r="FP52" s="267"/>
      <c r="FQ52" s="264"/>
      <c r="FR52" s="264"/>
      <c r="FS52" s="264"/>
      <c r="FT52" s="264"/>
      <c r="FU52" s="267"/>
      <c r="FV52" s="267"/>
      <c r="FW52" s="267"/>
      <c r="FX52" s="267"/>
      <c r="FY52" s="267"/>
      <c r="GD52" s="267"/>
      <c r="GE52" s="267"/>
      <c r="GF52" s="267"/>
      <c r="GG52" s="267"/>
      <c r="GH52" s="267"/>
      <c r="GI52" s="264"/>
      <c r="GJ52" s="264"/>
      <c r="GK52" s="264"/>
      <c r="GL52" s="264"/>
      <c r="HD52" s="267"/>
      <c r="HE52" s="267"/>
      <c r="HF52" s="267"/>
      <c r="HG52" s="267"/>
      <c r="HH52" s="267"/>
      <c r="HI52" s="267"/>
      <c r="HJ52" s="267"/>
      <c r="HK52" s="267"/>
      <c r="HL52" s="267"/>
      <c r="HM52" s="267"/>
      <c r="HN52" s="267"/>
      <c r="HO52" s="267"/>
      <c r="HP52" s="267"/>
      <c r="HQ52" s="267"/>
      <c r="HR52" s="267"/>
      <c r="HS52" s="267"/>
      <c r="HT52" s="267"/>
      <c r="HU52" s="267"/>
      <c r="IH52" s="267"/>
      <c r="IK52" s="267"/>
      <c r="IN52" s="267"/>
      <c r="IQ52" s="267"/>
      <c r="IR52" s="267"/>
      <c r="IS52" s="267"/>
      <c r="IT52" s="274"/>
      <c r="IU52" s="274"/>
      <c r="IV52" s="272"/>
      <c r="IW52" s="274"/>
      <c r="IX52" s="274"/>
      <c r="IY52" s="272"/>
    </row>
    <row r="53" spans="10:259">
      <c r="J53" s="267"/>
      <c r="K53" s="267"/>
      <c r="L53" s="267"/>
      <c r="M53" s="267"/>
      <c r="N53" s="267"/>
      <c r="O53" s="267"/>
      <c r="P53" s="267"/>
      <c r="Q53" s="267"/>
      <c r="S53" s="267"/>
      <c r="T53" s="267"/>
      <c r="U53" s="267"/>
      <c r="V53" s="267"/>
      <c r="W53" s="264"/>
      <c r="Y53" s="267"/>
      <c r="Z53" s="267"/>
      <c r="AA53" s="267"/>
      <c r="AB53" s="267"/>
      <c r="AE53" s="267"/>
      <c r="AF53" s="267"/>
      <c r="AG53" s="267"/>
      <c r="AH53" s="267"/>
      <c r="AK53" s="267"/>
      <c r="AL53" s="267"/>
      <c r="AM53" s="267"/>
      <c r="AN53" s="267"/>
      <c r="AQ53" s="267"/>
      <c r="AR53" s="267"/>
      <c r="AS53" s="267"/>
      <c r="AT53" s="267"/>
      <c r="AW53" s="267"/>
      <c r="AX53" s="267"/>
      <c r="AY53" s="267"/>
      <c r="AZ53" s="267"/>
      <c r="BG53" s="269"/>
      <c r="BM53" s="269"/>
      <c r="BS53" s="269"/>
      <c r="BU53" s="267"/>
      <c r="BY53" s="267"/>
      <c r="CC53" s="267"/>
      <c r="CG53" s="267"/>
      <c r="CS53" s="267"/>
      <c r="CW53" s="270"/>
      <c r="CX53" s="267"/>
      <c r="DC53" s="267"/>
      <c r="DH53" s="267"/>
      <c r="DM53" s="267"/>
      <c r="DR53" s="267"/>
      <c r="DW53" s="267"/>
      <c r="EB53" s="267"/>
      <c r="EG53" s="267"/>
      <c r="EL53" s="267"/>
      <c r="EQ53" s="267"/>
      <c r="EU53" s="270"/>
      <c r="EV53" s="267"/>
      <c r="FC53" s="267"/>
      <c r="FD53" s="267"/>
      <c r="FE53" s="267"/>
      <c r="FF53" s="267"/>
      <c r="FG53" s="267"/>
      <c r="FL53" s="267"/>
      <c r="FM53" s="267"/>
      <c r="FN53" s="267"/>
      <c r="FO53" s="267"/>
      <c r="FP53" s="267"/>
      <c r="FQ53" s="264"/>
      <c r="FR53" s="264"/>
      <c r="FS53" s="264"/>
      <c r="FT53" s="264"/>
      <c r="FU53" s="267"/>
      <c r="FV53" s="267"/>
      <c r="FW53" s="267"/>
      <c r="FX53" s="267"/>
      <c r="FY53" s="267"/>
      <c r="GD53" s="267"/>
      <c r="GE53" s="267"/>
      <c r="GF53" s="267"/>
      <c r="GG53" s="267"/>
      <c r="GH53" s="267"/>
      <c r="GI53" s="264"/>
      <c r="GJ53" s="264"/>
      <c r="GK53" s="264"/>
      <c r="GL53" s="264"/>
      <c r="HD53" s="267"/>
      <c r="HE53" s="267"/>
      <c r="HF53" s="267"/>
      <c r="HG53" s="267"/>
      <c r="HH53" s="267"/>
      <c r="HI53" s="267"/>
      <c r="HJ53" s="267"/>
      <c r="HK53" s="267"/>
      <c r="HL53" s="267"/>
      <c r="HM53" s="267"/>
      <c r="HN53" s="267"/>
      <c r="HO53" s="267"/>
      <c r="HP53" s="267"/>
      <c r="HQ53" s="267"/>
      <c r="HR53" s="267"/>
      <c r="HS53" s="267"/>
      <c r="HT53" s="267"/>
      <c r="HU53" s="267"/>
      <c r="IH53" s="267"/>
      <c r="IK53" s="267"/>
      <c r="IN53" s="267"/>
      <c r="IQ53" s="267"/>
      <c r="IR53" s="267"/>
      <c r="IS53" s="267"/>
      <c r="IT53" s="274"/>
      <c r="IU53" s="274"/>
      <c r="IV53" s="272"/>
      <c r="IW53" s="274"/>
      <c r="IX53" s="274"/>
      <c r="IY53" s="272"/>
    </row>
    <row r="54" spans="10:259">
      <c r="J54" s="267"/>
      <c r="K54" s="267"/>
      <c r="L54" s="267"/>
      <c r="M54" s="267"/>
      <c r="N54" s="275"/>
      <c r="O54" s="267"/>
      <c r="P54" s="267"/>
      <c r="Q54" s="267"/>
      <c r="S54" s="267"/>
      <c r="T54" s="267"/>
      <c r="U54" s="267"/>
      <c r="V54" s="267"/>
      <c r="W54" s="264"/>
      <c r="Y54" s="267"/>
      <c r="Z54" s="267"/>
      <c r="AA54" s="267"/>
      <c r="AB54" s="267"/>
      <c r="AE54" s="267"/>
      <c r="AF54" s="267"/>
      <c r="AG54" s="267"/>
      <c r="AH54" s="267"/>
      <c r="AK54" s="267"/>
      <c r="AL54" s="267"/>
      <c r="AM54" s="267"/>
      <c r="AN54" s="267"/>
      <c r="AQ54" s="267"/>
      <c r="AR54" s="267"/>
      <c r="AS54" s="267"/>
      <c r="AT54" s="267"/>
      <c r="AW54" s="267"/>
      <c r="AX54" s="267"/>
      <c r="AY54" s="267"/>
      <c r="AZ54" s="267"/>
      <c r="BG54" s="269"/>
      <c r="BM54" s="269"/>
      <c r="BS54" s="269"/>
      <c r="BU54" s="267"/>
      <c r="BY54" s="267"/>
      <c r="CC54" s="267"/>
      <c r="CG54" s="267"/>
      <c r="CS54" s="267"/>
      <c r="CW54" s="270"/>
      <c r="CX54" s="267"/>
      <c r="DC54" s="267"/>
      <c r="DH54" s="267"/>
      <c r="DM54" s="267"/>
      <c r="DR54" s="267"/>
      <c r="DW54" s="267"/>
      <c r="EB54" s="267"/>
      <c r="EG54" s="267"/>
      <c r="EL54" s="267"/>
      <c r="EQ54" s="267"/>
      <c r="EU54" s="270"/>
      <c r="EV54" s="267"/>
      <c r="FC54" s="267"/>
      <c r="FD54" s="267"/>
      <c r="FE54" s="267"/>
      <c r="FF54" s="267"/>
      <c r="FG54" s="267"/>
      <c r="FL54" s="267"/>
      <c r="FM54" s="267"/>
      <c r="FN54" s="267"/>
      <c r="FO54" s="267"/>
      <c r="FP54" s="267"/>
      <c r="FQ54" s="264"/>
      <c r="FR54" s="264"/>
      <c r="FS54" s="264"/>
      <c r="FT54" s="264"/>
      <c r="FU54" s="267"/>
      <c r="FV54" s="267"/>
      <c r="FW54" s="267"/>
      <c r="FX54" s="267"/>
      <c r="FY54" s="267"/>
      <c r="GD54" s="267"/>
      <c r="GE54" s="267"/>
      <c r="GF54" s="267"/>
      <c r="GG54" s="267"/>
      <c r="GH54" s="267"/>
      <c r="GI54" s="264"/>
      <c r="GJ54" s="264"/>
      <c r="GK54" s="264"/>
      <c r="GL54" s="264"/>
      <c r="HD54" s="267"/>
      <c r="HE54" s="267"/>
      <c r="HF54" s="267"/>
      <c r="HG54" s="267"/>
      <c r="HH54" s="267"/>
      <c r="HI54" s="267"/>
      <c r="HJ54" s="267"/>
      <c r="HK54" s="267"/>
      <c r="HL54" s="267"/>
      <c r="HM54" s="267"/>
      <c r="HN54" s="267"/>
      <c r="HO54" s="267"/>
      <c r="HP54" s="267"/>
      <c r="HQ54" s="267"/>
      <c r="HR54" s="267"/>
      <c r="HS54" s="267"/>
      <c r="HT54" s="267"/>
      <c r="HU54" s="267"/>
      <c r="IH54" s="267"/>
      <c r="IK54" s="267"/>
      <c r="IN54" s="267"/>
      <c r="IQ54" s="267"/>
      <c r="IR54" s="267"/>
      <c r="IS54" s="267"/>
      <c r="IT54" s="274"/>
      <c r="IU54" s="274"/>
      <c r="IV54" s="272"/>
      <c r="IW54" s="274"/>
      <c r="IX54" s="274"/>
      <c r="IY54" s="272"/>
    </row>
    <row r="55" spans="10:259">
      <c r="J55" s="267"/>
      <c r="K55" s="267"/>
      <c r="L55" s="267"/>
      <c r="M55" s="267"/>
      <c r="N55" s="275"/>
      <c r="O55" s="267"/>
      <c r="P55" s="267"/>
      <c r="Q55" s="267"/>
      <c r="S55" s="267"/>
      <c r="T55" s="267"/>
      <c r="U55" s="267"/>
      <c r="V55" s="267"/>
      <c r="W55" s="264"/>
      <c r="Y55" s="267"/>
      <c r="Z55" s="267"/>
      <c r="AA55" s="267"/>
      <c r="AB55" s="267"/>
      <c r="AE55" s="267"/>
      <c r="AF55" s="267"/>
      <c r="AG55" s="267"/>
      <c r="AH55" s="267"/>
      <c r="AK55" s="267"/>
      <c r="AL55" s="267"/>
      <c r="AM55" s="267"/>
      <c r="AN55" s="267"/>
      <c r="AQ55" s="267"/>
      <c r="AR55" s="267"/>
      <c r="AS55" s="267"/>
      <c r="AT55" s="267"/>
      <c r="AW55" s="267"/>
      <c r="AX55" s="267"/>
      <c r="AY55" s="267"/>
      <c r="AZ55" s="267"/>
      <c r="BG55" s="269"/>
      <c r="BM55" s="269"/>
      <c r="BS55" s="269"/>
      <c r="BU55" s="267"/>
      <c r="BY55" s="267"/>
      <c r="CC55" s="267"/>
      <c r="CG55" s="267"/>
      <c r="CS55" s="267"/>
      <c r="CW55" s="270"/>
      <c r="CX55" s="267"/>
      <c r="DC55" s="267"/>
      <c r="DH55" s="267"/>
      <c r="DM55" s="267"/>
      <c r="DR55" s="267"/>
      <c r="DW55" s="267"/>
      <c r="EB55" s="267"/>
      <c r="EG55" s="267"/>
      <c r="EL55" s="267"/>
      <c r="EQ55" s="267"/>
      <c r="EU55" s="270"/>
      <c r="EV55" s="267"/>
      <c r="FC55" s="267"/>
      <c r="FD55" s="267"/>
      <c r="FE55" s="267"/>
      <c r="FF55" s="267"/>
      <c r="FG55" s="267"/>
      <c r="FL55" s="267"/>
      <c r="FM55" s="267"/>
      <c r="FN55" s="267"/>
      <c r="FO55" s="267"/>
      <c r="FP55" s="267"/>
      <c r="FQ55" s="264"/>
      <c r="FR55" s="264"/>
      <c r="FS55" s="264"/>
      <c r="FT55" s="264"/>
      <c r="FU55" s="267"/>
      <c r="FV55" s="267"/>
      <c r="FW55" s="267"/>
      <c r="FX55" s="267"/>
      <c r="FY55" s="267"/>
      <c r="GD55" s="267"/>
      <c r="GE55" s="267"/>
      <c r="GF55" s="267"/>
      <c r="GG55" s="267"/>
      <c r="GH55" s="267"/>
      <c r="GI55" s="264"/>
      <c r="GJ55" s="264"/>
      <c r="GK55" s="264"/>
      <c r="GL55" s="264"/>
      <c r="HD55" s="267"/>
      <c r="HE55" s="267"/>
      <c r="HF55" s="267"/>
      <c r="HG55" s="267"/>
      <c r="HH55" s="267"/>
      <c r="HI55" s="267"/>
      <c r="HJ55" s="267"/>
      <c r="HK55" s="267"/>
      <c r="HL55" s="267"/>
      <c r="HM55" s="267"/>
      <c r="HN55" s="267"/>
      <c r="HO55" s="267"/>
      <c r="HP55" s="267"/>
      <c r="HQ55" s="267"/>
      <c r="HR55" s="267"/>
      <c r="HS55" s="267"/>
      <c r="HT55" s="267"/>
      <c r="HU55" s="267"/>
      <c r="IH55" s="267"/>
      <c r="IK55" s="267"/>
      <c r="IN55" s="267"/>
      <c r="IQ55" s="267"/>
      <c r="IR55" s="267"/>
      <c r="IS55" s="267"/>
      <c r="IT55" s="274"/>
      <c r="IU55" s="274"/>
      <c r="IV55" s="272"/>
      <c r="IW55" s="274"/>
      <c r="IX55" s="274"/>
      <c r="IY55" s="272"/>
    </row>
    <row r="56" spans="10:259">
      <c r="J56" s="267"/>
      <c r="K56" s="267"/>
      <c r="L56" s="267"/>
      <c r="M56" s="267"/>
      <c r="N56" s="275"/>
      <c r="O56" s="267"/>
      <c r="P56" s="267"/>
      <c r="Q56" s="267"/>
      <c r="S56" s="267"/>
      <c r="T56" s="267"/>
      <c r="U56" s="267"/>
      <c r="V56" s="267"/>
      <c r="W56" s="264"/>
      <c r="Y56" s="267"/>
      <c r="Z56" s="267"/>
      <c r="AA56" s="267"/>
      <c r="AB56" s="267"/>
      <c r="AE56" s="267"/>
      <c r="AF56" s="267"/>
      <c r="AG56" s="267"/>
      <c r="AH56" s="267"/>
      <c r="AK56" s="267"/>
      <c r="AL56" s="267"/>
      <c r="AM56" s="267"/>
      <c r="AN56" s="267"/>
      <c r="AQ56" s="267"/>
      <c r="AR56" s="267"/>
      <c r="AS56" s="267"/>
      <c r="AT56" s="267"/>
      <c r="AW56" s="267"/>
      <c r="AX56" s="267"/>
      <c r="AY56" s="267"/>
      <c r="AZ56" s="267"/>
      <c r="BG56" s="269"/>
      <c r="BM56" s="269"/>
      <c r="BS56" s="269"/>
      <c r="BU56" s="267"/>
      <c r="BY56" s="267"/>
      <c r="CC56" s="267"/>
      <c r="CG56" s="267"/>
      <c r="CS56" s="267"/>
      <c r="CW56" s="270"/>
      <c r="CX56" s="267"/>
      <c r="DC56" s="267"/>
      <c r="DH56" s="267"/>
      <c r="DM56" s="267"/>
      <c r="DR56" s="267"/>
      <c r="DW56" s="267"/>
      <c r="EB56" s="267"/>
      <c r="EG56" s="267"/>
      <c r="EL56" s="267"/>
      <c r="EQ56" s="267"/>
      <c r="EU56" s="270"/>
      <c r="EV56" s="267"/>
      <c r="FC56" s="267"/>
      <c r="FD56" s="267"/>
      <c r="FE56" s="267"/>
      <c r="FF56" s="267"/>
      <c r="FG56" s="267"/>
      <c r="FL56" s="267"/>
      <c r="FM56" s="267"/>
      <c r="FN56" s="267"/>
      <c r="FO56" s="267"/>
      <c r="FP56" s="267"/>
      <c r="FQ56" s="264"/>
      <c r="FR56" s="264"/>
      <c r="FS56" s="264"/>
      <c r="FT56" s="264"/>
      <c r="FU56" s="267"/>
      <c r="FV56" s="267"/>
      <c r="FW56" s="267"/>
      <c r="FX56" s="267"/>
      <c r="FY56" s="267"/>
      <c r="GD56" s="267"/>
      <c r="GE56" s="267"/>
      <c r="GF56" s="267"/>
      <c r="GG56" s="267"/>
      <c r="GH56" s="267"/>
      <c r="GI56" s="264"/>
      <c r="GJ56" s="264"/>
      <c r="GK56" s="264"/>
      <c r="GL56" s="264"/>
      <c r="HD56" s="267"/>
      <c r="HE56" s="267"/>
      <c r="HF56" s="267"/>
      <c r="HG56" s="267"/>
      <c r="HH56" s="267"/>
      <c r="HI56" s="267"/>
      <c r="HJ56" s="267"/>
      <c r="HK56" s="267"/>
      <c r="HL56" s="267"/>
      <c r="HM56" s="267"/>
      <c r="HN56" s="267"/>
      <c r="HO56" s="267"/>
      <c r="HP56" s="267"/>
      <c r="HQ56" s="267"/>
      <c r="HR56" s="267"/>
      <c r="HS56" s="267"/>
      <c r="HT56" s="267"/>
      <c r="HU56" s="267"/>
      <c r="IH56" s="267"/>
      <c r="IK56" s="267"/>
      <c r="IN56" s="267"/>
      <c r="IQ56" s="267"/>
      <c r="IR56" s="267"/>
      <c r="IS56" s="267"/>
      <c r="IT56" s="274"/>
      <c r="IU56" s="274"/>
      <c r="IV56" s="272"/>
      <c r="IW56" s="274"/>
      <c r="IX56" s="274"/>
      <c r="IY56" s="272"/>
    </row>
    <row r="57" spans="10:259">
      <c r="J57" s="267"/>
      <c r="K57" s="267"/>
      <c r="L57" s="267"/>
      <c r="M57" s="267"/>
      <c r="N57" s="275"/>
      <c r="O57" s="267"/>
      <c r="P57" s="267"/>
      <c r="Q57" s="267"/>
      <c r="S57" s="267"/>
      <c r="T57" s="267"/>
      <c r="U57" s="267"/>
      <c r="V57" s="267"/>
      <c r="W57" s="264"/>
      <c r="Y57" s="267"/>
      <c r="Z57" s="267"/>
      <c r="AA57" s="267"/>
      <c r="AB57" s="267"/>
      <c r="AE57" s="267"/>
      <c r="AF57" s="267"/>
      <c r="AG57" s="267"/>
      <c r="AH57" s="267"/>
      <c r="AK57" s="267"/>
      <c r="AL57" s="267"/>
      <c r="AM57" s="267"/>
      <c r="AN57" s="267"/>
      <c r="AQ57" s="267"/>
      <c r="AR57" s="267"/>
      <c r="AS57" s="267"/>
      <c r="AT57" s="267"/>
      <c r="AW57" s="267"/>
      <c r="AX57" s="267"/>
      <c r="AY57" s="267"/>
      <c r="AZ57" s="267"/>
      <c r="BG57" s="269"/>
      <c r="BM57" s="269"/>
      <c r="BS57" s="269"/>
      <c r="BU57" s="267"/>
      <c r="BY57" s="267"/>
      <c r="CC57" s="267"/>
      <c r="CG57" s="267"/>
      <c r="CS57" s="267"/>
      <c r="CW57" s="270"/>
      <c r="CX57" s="267"/>
      <c r="DC57" s="267"/>
      <c r="DH57" s="267"/>
      <c r="DM57" s="267"/>
      <c r="DR57" s="267"/>
      <c r="DW57" s="267"/>
      <c r="EB57" s="267"/>
      <c r="EG57" s="267"/>
      <c r="EL57" s="267"/>
      <c r="EQ57" s="267"/>
      <c r="EU57" s="270"/>
      <c r="EV57" s="267"/>
      <c r="FC57" s="267"/>
      <c r="FD57" s="267"/>
      <c r="FE57" s="267"/>
      <c r="FF57" s="267"/>
      <c r="FG57" s="267"/>
      <c r="FL57" s="267"/>
      <c r="FM57" s="267"/>
      <c r="FN57" s="267"/>
      <c r="FO57" s="267"/>
      <c r="FP57" s="267"/>
      <c r="FQ57" s="264"/>
      <c r="FR57" s="264"/>
      <c r="FS57" s="264"/>
      <c r="FT57" s="264"/>
      <c r="FU57" s="267"/>
      <c r="FV57" s="267"/>
      <c r="FW57" s="267"/>
      <c r="FX57" s="267"/>
      <c r="FY57" s="267"/>
      <c r="GD57" s="267"/>
      <c r="GE57" s="267"/>
      <c r="GF57" s="267"/>
      <c r="GG57" s="267"/>
      <c r="GH57" s="267"/>
      <c r="GI57" s="264"/>
      <c r="GJ57" s="264"/>
      <c r="GK57" s="264"/>
      <c r="GL57" s="264"/>
      <c r="HD57" s="267"/>
      <c r="HE57" s="267"/>
      <c r="HF57" s="267"/>
      <c r="HG57" s="267"/>
      <c r="HH57" s="267"/>
      <c r="HI57" s="267"/>
      <c r="HJ57" s="267"/>
      <c r="HK57" s="267"/>
      <c r="HL57" s="267"/>
      <c r="HM57" s="267"/>
      <c r="HN57" s="267"/>
      <c r="HO57" s="267"/>
      <c r="HP57" s="267"/>
      <c r="HQ57" s="267"/>
      <c r="HR57" s="267"/>
      <c r="HS57" s="267"/>
      <c r="HT57" s="267"/>
      <c r="HU57" s="267"/>
      <c r="IH57" s="267"/>
      <c r="IK57" s="267"/>
      <c r="IN57" s="267"/>
      <c r="IQ57" s="267"/>
      <c r="IR57" s="267"/>
      <c r="IS57" s="267"/>
      <c r="IT57" s="274"/>
      <c r="IU57" s="274"/>
      <c r="IV57" s="272"/>
      <c r="IW57" s="274"/>
      <c r="IX57" s="274"/>
      <c r="IY57" s="272"/>
    </row>
    <row r="58" spans="10:259">
      <c r="J58" s="267"/>
      <c r="K58" s="267"/>
      <c r="L58" s="267"/>
      <c r="M58" s="267"/>
      <c r="N58" s="275"/>
      <c r="O58" s="267"/>
      <c r="P58" s="267"/>
      <c r="Q58" s="267"/>
      <c r="S58" s="267"/>
      <c r="T58" s="267"/>
      <c r="U58" s="267"/>
      <c r="V58" s="267"/>
      <c r="W58" s="264"/>
      <c r="Y58" s="267"/>
      <c r="Z58" s="267"/>
      <c r="AA58" s="267"/>
      <c r="AB58" s="267"/>
      <c r="AE58" s="267"/>
      <c r="AF58" s="267"/>
      <c r="AG58" s="267"/>
      <c r="AH58" s="267"/>
      <c r="AK58" s="267"/>
      <c r="AL58" s="267"/>
      <c r="AM58" s="267"/>
      <c r="AN58" s="267"/>
      <c r="AQ58" s="267"/>
      <c r="AR58" s="267"/>
      <c r="AS58" s="267"/>
      <c r="AT58" s="267"/>
      <c r="AW58" s="267"/>
      <c r="AX58" s="267"/>
      <c r="AY58" s="267"/>
      <c r="AZ58" s="267"/>
      <c r="BG58" s="269"/>
      <c r="BM58" s="269"/>
      <c r="BS58" s="269"/>
      <c r="BU58" s="267"/>
      <c r="BY58" s="267"/>
      <c r="CC58" s="267"/>
      <c r="CG58" s="267"/>
      <c r="CS58" s="267"/>
      <c r="CW58" s="270"/>
      <c r="CX58" s="267"/>
      <c r="DC58" s="267"/>
      <c r="DH58" s="267"/>
      <c r="DM58" s="267"/>
      <c r="DR58" s="267"/>
      <c r="DW58" s="267"/>
      <c r="EB58" s="267"/>
      <c r="EG58" s="267"/>
      <c r="EL58" s="267"/>
      <c r="EQ58" s="267"/>
      <c r="EU58" s="270"/>
      <c r="EV58" s="267"/>
      <c r="FC58" s="267"/>
      <c r="FD58" s="267"/>
      <c r="FE58" s="267"/>
      <c r="FF58" s="267"/>
      <c r="FG58" s="267"/>
      <c r="FL58" s="267"/>
      <c r="FM58" s="267"/>
      <c r="FN58" s="267"/>
      <c r="FO58" s="267"/>
      <c r="FP58" s="267"/>
      <c r="FQ58" s="264"/>
      <c r="FR58" s="264"/>
      <c r="FS58" s="264"/>
      <c r="FT58" s="264"/>
      <c r="FU58" s="267"/>
      <c r="FV58" s="267"/>
      <c r="FW58" s="267"/>
      <c r="FX58" s="267"/>
      <c r="FY58" s="267"/>
      <c r="GD58" s="267"/>
      <c r="GE58" s="267"/>
      <c r="GF58" s="267"/>
      <c r="GG58" s="267"/>
      <c r="GH58" s="267"/>
      <c r="GI58" s="264"/>
      <c r="GJ58" s="264"/>
      <c r="GK58" s="264"/>
      <c r="GL58" s="264"/>
      <c r="HD58" s="267"/>
      <c r="HE58" s="267"/>
      <c r="HF58" s="267"/>
      <c r="HG58" s="267"/>
      <c r="HH58" s="267"/>
      <c r="HI58" s="267"/>
      <c r="HJ58" s="267"/>
      <c r="HK58" s="267"/>
      <c r="HL58" s="267"/>
      <c r="HM58" s="267"/>
      <c r="HN58" s="267"/>
      <c r="HO58" s="267"/>
      <c r="HP58" s="267"/>
      <c r="HQ58" s="267"/>
      <c r="HR58" s="267"/>
      <c r="HS58" s="267"/>
      <c r="HT58" s="267"/>
      <c r="HU58" s="267"/>
      <c r="IH58" s="267"/>
      <c r="IK58" s="267"/>
      <c r="IN58" s="267"/>
      <c r="IQ58" s="267"/>
      <c r="IR58" s="267"/>
      <c r="IS58" s="267"/>
      <c r="IT58" s="274"/>
      <c r="IU58" s="274"/>
      <c r="IV58" s="272"/>
      <c r="IW58" s="274"/>
      <c r="IX58" s="274"/>
      <c r="IY58" s="272"/>
    </row>
    <row r="59" spans="10:259">
      <c r="J59" s="267"/>
      <c r="K59" s="267"/>
      <c r="L59" s="267"/>
      <c r="M59" s="267"/>
      <c r="N59" s="275"/>
      <c r="O59" s="267"/>
      <c r="P59" s="267"/>
      <c r="Q59" s="267"/>
      <c r="S59" s="267"/>
      <c r="T59" s="267"/>
      <c r="U59" s="267"/>
      <c r="V59" s="267"/>
      <c r="W59" s="264"/>
      <c r="Y59" s="267"/>
      <c r="Z59" s="267"/>
      <c r="AA59" s="267"/>
      <c r="AB59" s="267"/>
      <c r="AE59" s="267"/>
      <c r="AF59" s="267"/>
      <c r="AG59" s="267"/>
      <c r="AH59" s="267"/>
      <c r="AK59" s="267"/>
      <c r="AL59" s="267"/>
      <c r="AM59" s="267"/>
      <c r="AN59" s="267"/>
      <c r="AQ59" s="267"/>
      <c r="AR59" s="267"/>
      <c r="AS59" s="267"/>
      <c r="AT59" s="267"/>
      <c r="AW59" s="267"/>
      <c r="AX59" s="267"/>
      <c r="AY59" s="267"/>
      <c r="AZ59" s="267"/>
      <c r="BG59" s="269"/>
      <c r="BM59" s="269"/>
      <c r="BS59" s="269"/>
      <c r="BU59" s="267"/>
      <c r="BY59" s="267"/>
      <c r="CC59" s="267"/>
      <c r="CG59" s="267"/>
      <c r="CS59" s="267"/>
      <c r="CW59" s="270"/>
      <c r="CX59" s="267"/>
      <c r="DC59" s="267"/>
      <c r="DH59" s="267"/>
      <c r="DM59" s="267"/>
      <c r="DR59" s="267"/>
      <c r="DW59" s="267"/>
      <c r="EB59" s="267"/>
      <c r="EG59" s="267"/>
      <c r="EL59" s="267"/>
      <c r="EQ59" s="267"/>
      <c r="EU59" s="270"/>
      <c r="EV59" s="267"/>
      <c r="FC59" s="267"/>
      <c r="FD59" s="267"/>
      <c r="FE59" s="267"/>
      <c r="FF59" s="267"/>
      <c r="FG59" s="267"/>
      <c r="FL59" s="267"/>
      <c r="FM59" s="267"/>
      <c r="FN59" s="267"/>
      <c r="FO59" s="267"/>
      <c r="FP59" s="267"/>
      <c r="FQ59" s="264"/>
      <c r="FR59" s="264"/>
      <c r="FS59" s="264"/>
      <c r="FT59" s="264"/>
      <c r="FU59" s="267"/>
      <c r="FV59" s="267"/>
      <c r="FW59" s="267"/>
      <c r="FX59" s="267"/>
      <c r="FY59" s="267"/>
      <c r="GD59" s="267"/>
      <c r="GE59" s="267"/>
      <c r="GF59" s="267"/>
      <c r="GG59" s="267"/>
      <c r="GH59" s="267"/>
      <c r="GI59" s="264"/>
      <c r="GJ59" s="264"/>
      <c r="GK59" s="264"/>
      <c r="GL59" s="264"/>
      <c r="HD59" s="267"/>
      <c r="HE59" s="267"/>
      <c r="HF59" s="267"/>
      <c r="HG59" s="267"/>
      <c r="HH59" s="267"/>
      <c r="HI59" s="267"/>
      <c r="HJ59" s="267"/>
      <c r="HK59" s="267"/>
      <c r="HL59" s="267"/>
      <c r="HM59" s="267"/>
      <c r="HN59" s="267"/>
      <c r="HO59" s="267"/>
      <c r="HP59" s="267"/>
      <c r="HQ59" s="267"/>
      <c r="HR59" s="267"/>
      <c r="HS59" s="267"/>
      <c r="HT59" s="267"/>
      <c r="HU59" s="267"/>
      <c r="IH59" s="267"/>
      <c r="IK59" s="267"/>
      <c r="IN59" s="267"/>
      <c r="IQ59" s="267"/>
      <c r="IR59" s="267"/>
      <c r="IS59" s="267"/>
      <c r="IT59" s="274"/>
      <c r="IU59" s="274"/>
      <c r="IV59" s="272"/>
      <c r="IW59" s="274"/>
      <c r="IX59" s="274"/>
      <c r="IY59" s="272"/>
    </row>
    <row r="60" spans="10:259">
      <c r="J60" s="267"/>
      <c r="K60" s="267"/>
      <c r="L60" s="267"/>
      <c r="M60" s="267"/>
      <c r="N60" s="275"/>
      <c r="O60" s="267"/>
      <c r="P60" s="267"/>
      <c r="Q60" s="267"/>
      <c r="S60" s="267"/>
      <c r="T60" s="267"/>
      <c r="U60" s="267"/>
      <c r="V60" s="267"/>
      <c r="W60" s="264"/>
      <c r="Y60" s="267"/>
      <c r="Z60" s="267"/>
      <c r="AA60" s="267"/>
      <c r="AB60" s="267"/>
      <c r="AE60" s="267"/>
      <c r="AF60" s="267"/>
      <c r="AG60" s="267"/>
      <c r="AH60" s="267"/>
      <c r="AK60" s="267"/>
      <c r="AL60" s="267"/>
      <c r="AM60" s="267"/>
      <c r="AN60" s="267"/>
      <c r="AQ60" s="267"/>
      <c r="AR60" s="267"/>
      <c r="AS60" s="267"/>
      <c r="AT60" s="267"/>
      <c r="AW60" s="267"/>
      <c r="AX60" s="267"/>
      <c r="AY60" s="267"/>
      <c r="AZ60" s="267"/>
      <c r="BG60" s="269"/>
      <c r="BM60" s="269"/>
      <c r="BS60" s="269"/>
      <c r="BU60" s="267"/>
      <c r="BY60" s="267"/>
      <c r="CC60" s="267"/>
      <c r="CG60" s="267"/>
      <c r="CS60" s="267"/>
      <c r="CW60" s="270"/>
      <c r="CX60" s="267"/>
      <c r="DC60" s="267"/>
      <c r="DH60" s="267"/>
      <c r="DM60" s="267"/>
      <c r="DR60" s="267"/>
      <c r="DW60" s="267"/>
      <c r="EB60" s="267"/>
      <c r="EG60" s="267"/>
      <c r="EL60" s="267"/>
      <c r="EQ60" s="267"/>
      <c r="EU60" s="270"/>
      <c r="EV60" s="267"/>
      <c r="FC60" s="267"/>
      <c r="FD60" s="267"/>
      <c r="FE60" s="267"/>
      <c r="FF60" s="267"/>
      <c r="FG60" s="267"/>
      <c r="FL60" s="267"/>
      <c r="FM60" s="267"/>
      <c r="FN60" s="267"/>
      <c r="FO60" s="267"/>
      <c r="FP60" s="267"/>
      <c r="FQ60" s="264"/>
      <c r="FR60" s="264"/>
      <c r="FS60" s="264"/>
      <c r="FT60" s="264"/>
      <c r="FU60" s="267"/>
      <c r="FV60" s="267"/>
      <c r="FW60" s="267"/>
      <c r="FX60" s="267"/>
      <c r="FY60" s="267"/>
      <c r="GD60" s="267"/>
      <c r="GE60" s="267"/>
      <c r="GF60" s="267"/>
      <c r="GG60" s="267"/>
      <c r="GH60" s="267"/>
      <c r="GI60" s="264"/>
      <c r="GJ60" s="264"/>
      <c r="GK60" s="264"/>
      <c r="GL60" s="264"/>
      <c r="HD60" s="267"/>
      <c r="HE60" s="267"/>
      <c r="HF60" s="267"/>
      <c r="HG60" s="267"/>
      <c r="HH60" s="267"/>
      <c r="HI60" s="267"/>
      <c r="HJ60" s="267"/>
      <c r="HK60" s="267"/>
      <c r="HL60" s="267"/>
      <c r="HM60" s="267"/>
      <c r="HN60" s="267"/>
      <c r="HO60" s="267"/>
      <c r="HP60" s="267"/>
      <c r="HQ60" s="267"/>
      <c r="HR60" s="267"/>
      <c r="HS60" s="267"/>
      <c r="HT60" s="267"/>
      <c r="HU60" s="267"/>
      <c r="IH60" s="267"/>
      <c r="IK60" s="267"/>
      <c r="IN60" s="267"/>
      <c r="IQ60" s="267"/>
      <c r="IR60" s="267"/>
      <c r="IS60" s="267"/>
      <c r="IT60" s="274"/>
      <c r="IU60" s="274"/>
      <c r="IV60" s="272"/>
      <c r="IW60" s="274"/>
      <c r="IX60" s="274"/>
      <c r="IY60" s="272"/>
    </row>
    <row r="61" spans="10:259">
      <c r="J61" s="267"/>
      <c r="K61" s="267"/>
      <c r="L61" s="267"/>
      <c r="M61" s="267"/>
      <c r="N61" s="275"/>
      <c r="O61" s="267"/>
      <c r="P61" s="267"/>
      <c r="Q61" s="267"/>
      <c r="S61" s="267"/>
      <c r="T61" s="267"/>
      <c r="U61" s="267"/>
      <c r="V61" s="267"/>
      <c r="W61" s="264"/>
      <c r="Y61" s="267"/>
      <c r="Z61" s="267"/>
      <c r="AA61" s="267"/>
      <c r="AB61" s="267"/>
      <c r="AE61" s="267"/>
      <c r="AF61" s="267"/>
      <c r="AG61" s="267"/>
      <c r="AH61" s="267"/>
      <c r="AK61" s="267"/>
      <c r="AL61" s="267"/>
      <c r="AM61" s="267"/>
      <c r="AN61" s="267"/>
      <c r="AQ61" s="267"/>
      <c r="AR61" s="267"/>
      <c r="AS61" s="267"/>
      <c r="AT61" s="267"/>
      <c r="AW61" s="267"/>
      <c r="AX61" s="267"/>
      <c r="AY61" s="267"/>
      <c r="AZ61" s="267"/>
      <c r="BG61" s="269"/>
      <c r="BM61" s="269"/>
      <c r="BS61" s="269"/>
      <c r="BU61" s="267"/>
      <c r="BY61" s="267"/>
      <c r="CC61" s="267"/>
      <c r="CG61" s="267"/>
      <c r="CS61" s="267"/>
      <c r="CW61" s="270"/>
      <c r="CX61" s="267"/>
      <c r="DC61" s="267"/>
      <c r="DH61" s="267"/>
      <c r="DM61" s="267"/>
      <c r="DR61" s="267"/>
      <c r="DW61" s="267"/>
      <c r="EB61" s="267"/>
      <c r="EG61" s="267"/>
      <c r="EL61" s="267"/>
      <c r="EQ61" s="267"/>
      <c r="EU61" s="270"/>
      <c r="EV61" s="267"/>
      <c r="FC61" s="267"/>
      <c r="FD61" s="267"/>
      <c r="FE61" s="267"/>
      <c r="FF61" s="267"/>
      <c r="FG61" s="267"/>
      <c r="FL61" s="267"/>
      <c r="FM61" s="267"/>
      <c r="FN61" s="267"/>
      <c r="FO61" s="267"/>
      <c r="FP61" s="267"/>
      <c r="FQ61" s="264"/>
      <c r="FR61" s="264"/>
      <c r="FS61" s="264"/>
      <c r="FT61" s="264"/>
      <c r="FU61" s="267"/>
      <c r="FV61" s="267"/>
      <c r="FW61" s="267"/>
      <c r="FX61" s="267"/>
      <c r="FY61" s="267"/>
      <c r="GD61" s="267"/>
      <c r="GE61" s="267"/>
      <c r="GF61" s="267"/>
      <c r="GG61" s="267"/>
      <c r="GH61" s="267"/>
      <c r="GI61" s="264"/>
      <c r="GJ61" s="264"/>
      <c r="GK61" s="264"/>
      <c r="GL61" s="264"/>
      <c r="HD61" s="267"/>
      <c r="HE61" s="267"/>
      <c r="HF61" s="267"/>
      <c r="HG61" s="267"/>
      <c r="HH61" s="267"/>
      <c r="HI61" s="267"/>
      <c r="HJ61" s="267"/>
      <c r="HK61" s="267"/>
      <c r="HL61" s="267"/>
      <c r="HM61" s="267"/>
      <c r="HN61" s="267"/>
      <c r="HO61" s="267"/>
      <c r="HP61" s="267"/>
      <c r="HQ61" s="267"/>
      <c r="HR61" s="267"/>
      <c r="HS61" s="267"/>
      <c r="HT61" s="267"/>
      <c r="HU61" s="267"/>
      <c r="IH61" s="267"/>
      <c r="IK61" s="267"/>
      <c r="IN61" s="267"/>
      <c r="IQ61" s="267"/>
      <c r="IR61" s="267"/>
      <c r="IS61" s="267"/>
      <c r="IT61" s="274"/>
      <c r="IU61" s="274"/>
      <c r="IV61" s="272"/>
      <c r="IW61" s="274"/>
      <c r="IX61" s="274"/>
      <c r="IY61" s="272"/>
    </row>
    <row r="62" spans="10:259">
      <c r="N62" s="275"/>
      <c r="P62" s="267"/>
      <c r="FC62" s="264"/>
      <c r="FD62" s="264"/>
      <c r="FE62" s="264"/>
      <c r="FN62" s="264"/>
      <c r="FO62" s="264"/>
      <c r="FP62" s="264"/>
      <c r="FQ62" s="264"/>
      <c r="FR62" s="264"/>
      <c r="FS62" s="264"/>
      <c r="FT62" s="264"/>
      <c r="GF62" s="264"/>
      <c r="GG62" s="264"/>
      <c r="GH62" s="264"/>
      <c r="GI62" s="264"/>
      <c r="GJ62" s="264"/>
      <c r="GK62" s="264"/>
      <c r="GL62" s="264"/>
      <c r="HF62" s="264"/>
      <c r="HG62" s="264"/>
      <c r="HK62" s="264"/>
      <c r="HN62" s="264"/>
      <c r="HO62" s="264"/>
      <c r="HP62" s="264"/>
      <c r="HQ62" s="264"/>
      <c r="IT62" s="274"/>
      <c r="IU62" s="274"/>
      <c r="IV62" s="272"/>
      <c r="IW62" s="274"/>
      <c r="IX62" s="274"/>
      <c r="IY62" s="272"/>
    </row>
    <row r="63" spans="10:259">
      <c r="N63" s="275"/>
      <c r="FC63" s="264"/>
      <c r="FD63" s="264"/>
      <c r="FE63" s="264"/>
      <c r="FN63" s="264"/>
      <c r="FO63" s="264"/>
      <c r="FP63" s="264"/>
      <c r="FQ63" s="264"/>
      <c r="FR63" s="264"/>
      <c r="FS63" s="264"/>
      <c r="FT63" s="264"/>
      <c r="GF63" s="264"/>
      <c r="GG63" s="264"/>
      <c r="GH63" s="264"/>
      <c r="GI63" s="264"/>
      <c r="GJ63" s="264"/>
      <c r="GK63" s="264"/>
      <c r="GL63" s="264"/>
      <c r="HF63" s="264"/>
      <c r="HG63" s="264"/>
      <c r="HK63" s="264"/>
      <c r="HN63" s="264"/>
      <c r="HO63" s="264"/>
      <c r="HP63" s="264"/>
      <c r="HQ63" s="264"/>
      <c r="IT63" s="274"/>
      <c r="IU63" s="274"/>
      <c r="IV63" s="272"/>
      <c r="IW63" s="274"/>
      <c r="IX63" s="274"/>
      <c r="IY63" s="272"/>
    </row>
    <row r="64" spans="10:259">
      <c r="J64" s="267"/>
      <c r="K64" s="267"/>
      <c r="L64" s="267"/>
      <c r="M64" s="267"/>
      <c r="N64" s="275"/>
      <c r="O64" s="267"/>
      <c r="P64" s="267"/>
      <c r="Q64" s="267"/>
      <c r="S64" s="267"/>
      <c r="T64" s="267"/>
      <c r="U64" s="267"/>
      <c r="V64" s="267"/>
      <c r="W64" s="264"/>
      <c r="Y64" s="267"/>
      <c r="Z64" s="267"/>
      <c r="AA64" s="267"/>
      <c r="AB64" s="267"/>
      <c r="AE64" s="267"/>
      <c r="AF64" s="267"/>
      <c r="AG64" s="267"/>
      <c r="AH64" s="267"/>
      <c r="AK64" s="267"/>
      <c r="AL64" s="267"/>
      <c r="AM64" s="267"/>
      <c r="AN64" s="267"/>
      <c r="AQ64" s="267"/>
      <c r="AR64" s="267"/>
      <c r="AS64" s="267"/>
      <c r="AT64" s="267"/>
      <c r="AW64" s="267"/>
      <c r="AX64" s="267"/>
      <c r="AY64" s="267"/>
      <c r="AZ64" s="267"/>
      <c r="BG64" s="269"/>
      <c r="BM64" s="269"/>
      <c r="BS64" s="269"/>
      <c r="BU64" s="267"/>
      <c r="BY64" s="267"/>
      <c r="CC64" s="267"/>
      <c r="CG64" s="267"/>
      <c r="CS64" s="267"/>
      <c r="CW64" s="270"/>
      <c r="CX64" s="267"/>
      <c r="DC64" s="267"/>
      <c r="DH64" s="267"/>
      <c r="DM64" s="267"/>
      <c r="DR64" s="267"/>
      <c r="DW64" s="267"/>
      <c r="EB64" s="267"/>
      <c r="EG64" s="267"/>
      <c r="EL64" s="267"/>
      <c r="EQ64" s="267"/>
      <c r="EU64" s="270"/>
      <c r="EV64" s="267"/>
      <c r="FC64" s="267"/>
      <c r="FD64" s="267"/>
      <c r="FE64" s="267"/>
      <c r="FF64" s="267"/>
      <c r="FG64" s="267"/>
      <c r="FL64" s="267"/>
      <c r="FM64" s="267"/>
      <c r="FN64" s="267"/>
      <c r="FO64" s="267"/>
      <c r="FP64" s="267"/>
      <c r="FQ64" s="264"/>
      <c r="FR64" s="264"/>
      <c r="FS64" s="264"/>
      <c r="FT64" s="264"/>
      <c r="FU64" s="267"/>
      <c r="FV64" s="267"/>
      <c r="FW64" s="267"/>
      <c r="FX64" s="267"/>
      <c r="FY64" s="267"/>
      <c r="GD64" s="267"/>
      <c r="GE64" s="267"/>
      <c r="GF64" s="267"/>
      <c r="GG64" s="267"/>
      <c r="GH64" s="267"/>
      <c r="GI64" s="264"/>
      <c r="GJ64" s="264"/>
      <c r="GK64" s="264"/>
      <c r="GL64" s="264"/>
      <c r="HD64" s="267"/>
      <c r="HE64" s="267"/>
      <c r="HF64" s="267"/>
      <c r="HG64" s="267"/>
      <c r="HH64" s="267"/>
      <c r="HI64" s="267"/>
      <c r="HJ64" s="267"/>
      <c r="HK64" s="267"/>
      <c r="HL64" s="267"/>
      <c r="HM64" s="267"/>
      <c r="HN64" s="267"/>
      <c r="HO64" s="267"/>
      <c r="HP64" s="267"/>
      <c r="HQ64" s="267"/>
      <c r="HR64" s="267"/>
      <c r="HS64" s="267"/>
      <c r="HT64" s="267"/>
      <c r="HU64" s="267"/>
      <c r="IH64" s="267"/>
      <c r="IK64" s="267"/>
      <c r="IN64" s="267"/>
      <c r="IQ64" s="267"/>
      <c r="IR64" s="267"/>
      <c r="IS64" s="267"/>
      <c r="IT64" s="274"/>
      <c r="IU64" s="274"/>
      <c r="IV64" s="272"/>
      <c r="IW64" s="274"/>
      <c r="IX64" s="274"/>
      <c r="IY64" s="272"/>
    </row>
    <row r="65" spans="10:259">
      <c r="J65" s="267"/>
      <c r="K65" s="267"/>
      <c r="L65" s="267"/>
      <c r="M65" s="267"/>
      <c r="N65" s="275"/>
      <c r="O65" s="267"/>
      <c r="P65" s="267"/>
      <c r="Q65" s="267"/>
      <c r="S65" s="267"/>
      <c r="T65" s="267"/>
      <c r="U65" s="267"/>
      <c r="V65" s="267"/>
      <c r="W65" s="264"/>
      <c r="Y65" s="267"/>
      <c r="Z65" s="267"/>
      <c r="AA65" s="267"/>
      <c r="AB65" s="267"/>
      <c r="AE65" s="267"/>
      <c r="AF65" s="267"/>
      <c r="AG65" s="267"/>
      <c r="AH65" s="267"/>
      <c r="AK65" s="267"/>
      <c r="AL65" s="267"/>
      <c r="AM65" s="267"/>
      <c r="AN65" s="267"/>
      <c r="AQ65" s="267"/>
      <c r="AR65" s="267"/>
      <c r="AS65" s="267"/>
      <c r="AT65" s="267"/>
      <c r="AW65" s="267"/>
      <c r="AX65" s="267"/>
      <c r="AY65" s="267"/>
      <c r="AZ65" s="267"/>
      <c r="BG65" s="269"/>
      <c r="BM65" s="269"/>
      <c r="BS65" s="269"/>
      <c r="BU65" s="267"/>
      <c r="BY65" s="267"/>
      <c r="CC65" s="267"/>
      <c r="CG65" s="267"/>
      <c r="CS65" s="267"/>
      <c r="CW65" s="270"/>
      <c r="CX65" s="267"/>
      <c r="DC65" s="267"/>
      <c r="DH65" s="267"/>
      <c r="DM65" s="267"/>
      <c r="DR65" s="267"/>
      <c r="DW65" s="267"/>
      <c r="EB65" s="267"/>
      <c r="EG65" s="267"/>
      <c r="EL65" s="267"/>
      <c r="EQ65" s="267"/>
      <c r="EU65" s="270"/>
      <c r="EV65" s="267"/>
      <c r="FC65" s="267"/>
      <c r="FD65" s="267"/>
      <c r="FE65" s="267"/>
      <c r="FF65" s="267"/>
      <c r="FG65" s="267"/>
      <c r="FL65" s="267"/>
      <c r="FM65" s="267"/>
      <c r="FN65" s="267"/>
      <c r="FO65" s="267"/>
      <c r="FP65" s="267"/>
      <c r="FQ65" s="264"/>
      <c r="FR65" s="264"/>
      <c r="FS65" s="264"/>
      <c r="FT65" s="264"/>
      <c r="FU65" s="267"/>
      <c r="FV65" s="267"/>
      <c r="FW65" s="267"/>
      <c r="FX65" s="267"/>
      <c r="FY65" s="267"/>
      <c r="GD65" s="267"/>
      <c r="GE65" s="267"/>
      <c r="GF65" s="267"/>
      <c r="GG65" s="267"/>
      <c r="GH65" s="267"/>
      <c r="GI65" s="264"/>
      <c r="GJ65" s="264"/>
      <c r="GK65" s="264"/>
      <c r="GL65" s="264"/>
      <c r="HD65" s="267"/>
      <c r="HE65" s="267"/>
      <c r="HF65" s="267"/>
      <c r="HG65" s="267"/>
      <c r="HH65" s="267"/>
      <c r="HI65" s="267"/>
      <c r="HJ65" s="267"/>
      <c r="HK65" s="267"/>
      <c r="HL65" s="267"/>
      <c r="HM65" s="267"/>
      <c r="HN65" s="267"/>
      <c r="HO65" s="267"/>
      <c r="HP65" s="267"/>
      <c r="HQ65" s="267"/>
      <c r="HR65" s="267"/>
      <c r="HS65" s="267"/>
      <c r="HT65" s="267"/>
      <c r="HU65" s="267"/>
      <c r="IH65" s="267"/>
      <c r="IK65" s="267"/>
      <c r="IN65" s="267"/>
      <c r="IQ65" s="267"/>
      <c r="IR65" s="267"/>
      <c r="IS65" s="267"/>
      <c r="IT65" s="274"/>
      <c r="IU65" s="274"/>
      <c r="IV65" s="272"/>
      <c r="IW65" s="274"/>
      <c r="IX65" s="274"/>
      <c r="IY65" s="272"/>
    </row>
    <row r="66" spans="10:259">
      <c r="J66" s="267"/>
      <c r="K66" s="267"/>
      <c r="L66" s="267"/>
      <c r="M66" s="267"/>
      <c r="N66" s="275"/>
      <c r="O66" s="267"/>
      <c r="P66" s="267"/>
      <c r="Q66" s="267"/>
      <c r="S66" s="267"/>
      <c r="T66" s="267"/>
      <c r="U66" s="267"/>
      <c r="V66" s="267"/>
      <c r="W66" s="264"/>
      <c r="Y66" s="267"/>
      <c r="Z66" s="267"/>
      <c r="AA66" s="267"/>
      <c r="AB66" s="267"/>
      <c r="AE66" s="267"/>
      <c r="AF66" s="267"/>
      <c r="AG66" s="267"/>
      <c r="AH66" s="267"/>
      <c r="AK66" s="267"/>
      <c r="AL66" s="267"/>
      <c r="AM66" s="267"/>
      <c r="AN66" s="267"/>
      <c r="AQ66" s="267"/>
      <c r="AR66" s="267"/>
      <c r="AS66" s="267"/>
      <c r="AT66" s="267"/>
      <c r="AW66" s="267"/>
      <c r="AX66" s="267"/>
      <c r="AY66" s="267"/>
      <c r="AZ66" s="267"/>
      <c r="BG66" s="269"/>
      <c r="BM66" s="269"/>
      <c r="BS66" s="269"/>
      <c r="BU66" s="267"/>
      <c r="BY66" s="267"/>
      <c r="CC66" s="267"/>
      <c r="CG66" s="267"/>
      <c r="CS66" s="267"/>
      <c r="CW66" s="270"/>
      <c r="CX66" s="267"/>
      <c r="DC66" s="267"/>
      <c r="DH66" s="267"/>
      <c r="DM66" s="267"/>
      <c r="DR66" s="267"/>
      <c r="DW66" s="267"/>
      <c r="EB66" s="267"/>
      <c r="EG66" s="267"/>
      <c r="EL66" s="267"/>
      <c r="EQ66" s="267"/>
      <c r="EU66" s="270"/>
      <c r="EV66" s="267"/>
      <c r="FC66" s="267"/>
      <c r="FD66" s="267"/>
      <c r="FE66" s="267"/>
      <c r="FF66" s="267"/>
      <c r="FG66" s="267"/>
      <c r="FL66" s="267"/>
      <c r="FM66" s="267"/>
      <c r="FN66" s="267"/>
      <c r="FO66" s="267"/>
      <c r="FP66" s="267"/>
      <c r="FQ66" s="264"/>
      <c r="FR66" s="264"/>
      <c r="FS66" s="264"/>
      <c r="FT66" s="264"/>
      <c r="FU66" s="267"/>
      <c r="FV66" s="267"/>
      <c r="FW66" s="267"/>
      <c r="FX66" s="267"/>
      <c r="FY66" s="267"/>
      <c r="GD66" s="267"/>
      <c r="GE66" s="267"/>
      <c r="GF66" s="267"/>
      <c r="GG66" s="267"/>
      <c r="GH66" s="267"/>
      <c r="GI66" s="264"/>
      <c r="GJ66" s="264"/>
      <c r="GK66" s="264"/>
      <c r="GL66" s="264"/>
      <c r="HD66" s="267"/>
      <c r="HE66" s="267"/>
      <c r="HF66" s="267"/>
      <c r="HG66" s="267"/>
      <c r="HH66" s="267"/>
      <c r="HI66" s="267"/>
      <c r="HJ66" s="267"/>
      <c r="HK66" s="267"/>
      <c r="HL66" s="267"/>
      <c r="HM66" s="267"/>
      <c r="HN66" s="267"/>
      <c r="HO66" s="267"/>
      <c r="HP66" s="267"/>
      <c r="HQ66" s="267"/>
      <c r="HR66" s="267"/>
      <c r="HS66" s="267"/>
      <c r="HT66" s="267"/>
      <c r="HU66" s="267"/>
      <c r="IH66" s="267"/>
      <c r="IK66" s="267"/>
      <c r="IN66" s="267"/>
      <c r="IQ66" s="267"/>
      <c r="IR66" s="267"/>
      <c r="IS66" s="267"/>
      <c r="IT66" s="274"/>
      <c r="IU66" s="274"/>
      <c r="IV66" s="272"/>
      <c r="IW66" s="274"/>
      <c r="IX66" s="274"/>
      <c r="IY66" s="272"/>
    </row>
    <row r="67" spans="10:259">
      <c r="J67" s="267"/>
      <c r="K67" s="267"/>
      <c r="L67" s="267"/>
      <c r="M67" s="267"/>
      <c r="N67" s="275"/>
      <c r="O67" s="267"/>
      <c r="P67" s="267"/>
      <c r="Q67" s="267"/>
      <c r="S67" s="267"/>
      <c r="T67" s="267"/>
      <c r="U67" s="267"/>
      <c r="V67" s="267"/>
      <c r="W67" s="264"/>
      <c r="Y67" s="267"/>
      <c r="Z67" s="267"/>
      <c r="AA67" s="267"/>
      <c r="AB67" s="267"/>
      <c r="AE67" s="267"/>
      <c r="AF67" s="267"/>
      <c r="AG67" s="267"/>
      <c r="AH67" s="267"/>
      <c r="AK67" s="267"/>
      <c r="AL67" s="267"/>
      <c r="AM67" s="267"/>
      <c r="AN67" s="267"/>
      <c r="AQ67" s="267"/>
      <c r="AR67" s="267"/>
      <c r="AS67" s="267"/>
      <c r="AT67" s="267"/>
      <c r="AW67" s="267"/>
      <c r="AX67" s="267"/>
      <c r="AY67" s="267"/>
      <c r="AZ67" s="267"/>
      <c r="BG67" s="269"/>
      <c r="BM67" s="269"/>
      <c r="BS67" s="269"/>
      <c r="BU67" s="267"/>
      <c r="BY67" s="267"/>
      <c r="CC67" s="267"/>
      <c r="CG67" s="267"/>
      <c r="CS67" s="267"/>
      <c r="CW67" s="270"/>
      <c r="CX67" s="267"/>
      <c r="DC67" s="267"/>
      <c r="DH67" s="267"/>
      <c r="DM67" s="267"/>
      <c r="DR67" s="267"/>
      <c r="DW67" s="267"/>
      <c r="EB67" s="267"/>
      <c r="EG67" s="267"/>
      <c r="EL67" s="267"/>
      <c r="EQ67" s="267"/>
      <c r="EU67" s="270"/>
      <c r="EV67" s="267"/>
      <c r="FC67" s="267"/>
      <c r="FD67" s="267"/>
      <c r="FE67" s="267"/>
      <c r="FF67" s="267"/>
      <c r="FG67" s="267"/>
      <c r="FL67" s="267"/>
      <c r="FM67" s="267"/>
      <c r="FN67" s="267"/>
      <c r="FO67" s="267"/>
      <c r="FP67" s="267"/>
      <c r="FQ67" s="264"/>
      <c r="FR67" s="264"/>
      <c r="FS67" s="264"/>
      <c r="FT67" s="264"/>
      <c r="FU67" s="267"/>
      <c r="FV67" s="267"/>
      <c r="FW67" s="267"/>
      <c r="FX67" s="267"/>
      <c r="FY67" s="267"/>
      <c r="GD67" s="267"/>
      <c r="GE67" s="267"/>
      <c r="GF67" s="267"/>
      <c r="GG67" s="267"/>
      <c r="GH67" s="267"/>
      <c r="GI67" s="264"/>
      <c r="GJ67" s="264"/>
      <c r="GK67" s="264"/>
      <c r="GL67" s="264"/>
      <c r="HD67" s="267"/>
      <c r="HE67" s="267"/>
      <c r="HF67" s="267"/>
      <c r="HG67" s="267"/>
      <c r="HH67" s="267"/>
      <c r="HI67" s="267"/>
      <c r="HJ67" s="267"/>
      <c r="HK67" s="267"/>
      <c r="HL67" s="267"/>
      <c r="HM67" s="267"/>
      <c r="HN67" s="267"/>
      <c r="HO67" s="267"/>
      <c r="HP67" s="267"/>
      <c r="HQ67" s="267"/>
      <c r="HR67" s="267"/>
      <c r="HS67" s="267"/>
      <c r="HT67" s="267"/>
      <c r="HU67" s="267"/>
      <c r="IH67" s="267"/>
      <c r="IK67" s="267"/>
      <c r="IN67" s="267"/>
      <c r="IQ67" s="267"/>
      <c r="IR67" s="267"/>
      <c r="IS67" s="267"/>
      <c r="IT67" s="274"/>
      <c r="IU67" s="274"/>
      <c r="IV67" s="272"/>
      <c r="IW67" s="274"/>
      <c r="IX67" s="274"/>
      <c r="IY67" s="272"/>
    </row>
    <row r="68" spans="10:259">
      <c r="J68" s="267"/>
      <c r="K68" s="267"/>
      <c r="L68" s="267"/>
      <c r="M68" s="267"/>
      <c r="N68" s="275"/>
      <c r="O68" s="267"/>
      <c r="P68" s="267"/>
      <c r="Q68" s="267"/>
      <c r="S68" s="267"/>
      <c r="T68" s="267"/>
      <c r="U68" s="267"/>
      <c r="V68" s="267"/>
      <c r="W68" s="264"/>
      <c r="Y68" s="267"/>
      <c r="Z68" s="267"/>
      <c r="AA68" s="267"/>
      <c r="AB68" s="267"/>
      <c r="AE68" s="267"/>
      <c r="AF68" s="267"/>
      <c r="AG68" s="267"/>
      <c r="AH68" s="267"/>
      <c r="AK68" s="267"/>
      <c r="AL68" s="267"/>
      <c r="AM68" s="267"/>
      <c r="AN68" s="267"/>
      <c r="AQ68" s="267"/>
      <c r="AR68" s="267"/>
      <c r="AS68" s="267"/>
      <c r="AT68" s="267"/>
      <c r="AW68" s="267"/>
      <c r="AX68" s="267"/>
      <c r="AY68" s="267"/>
      <c r="AZ68" s="267"/>
      <c r="BG68" s="269"/>
      <c r="BM68" s="269"/>
      <c r="BS68" s="269"/>
      <c r="BU68" s="267"/>
      <c r="BY68" s="267"/>
      <c r="CC68" s="267"/>
      <c r="CG68" s="267"/>
      <c r="CS68" s="267"/>
      <c r="CW68" s="270"/>
      <c r="CX68" s="267"/>
      <c r="DC68" s="267"/>
      <c r="DH68" s="267"/>
      <c r="DM68" s="267"/>
      <c r="DR68" s="267"/>
      <c r="DW68" s="267"/>
      <c r="EB68" s="267"/>
      <c r="EG68" s="267"/>
      <c r="EL68" s="267"/>
      <c r="EQ68" s="267"/>
      <c r="EU68" s="270"/>
      <c r="EV68" s="267"/>
      <c r="FC68" s="267"/>
      <c r="FD68" s="267"/>
      <c r="FE68" s="267"/>
      <c r="FF68" s="267"/>
      <c r="FG68" s="267"/>
      <c r="FL68" s="267"/>
      <c r="FM68" s="267"/>
      <c r="FN68" s="267"/>
      <c r="FO68" s="267"/>
      <c r="FP68" s="267"/>
      <c r="FQ68" s="264"/>
      <c r="FR68" s="264"/>
      <c r="FS68" s="264"/>
      <c r="FT68" s="264"/>
      <c r="FU68" s="267"/>
      <c r="FV68" s="267"/>
      <c r="FW68" s="267"/>
      <c r="FX68" s="267"/>
      <c r="FY68" s="267"/>
      <c r="GD68" s="267"/>
      <c r="GE68" s="267"/>
      <c r="GF68" s="267"/>
      <c r="GG68" s="267"/>
      <c r="GH68" s="267"/>
      <c r="GI68" s="264"/>
      <c r="GJ68" s="264"/>
      <c r="GK68" s="264"/>
      <c r="GL68" s="264"/>
      <c r="HD68" s="267"/>
      <c r="HE68" s="267"/>
      <c r="HF68" s="267"/>
      <c r="HG68" s="267"/>
      <c r="HH68" s="267"/>
      <c r="HI68" s="267"/>
      <c r="HJ68" s="267"/>
      <c r="HK68" s="267"/>
      <c r="HL68" s="267"/>
      <c r="HM68" s="267"/>
      <c r="HN68" s="267"/>
      <c r="HO68" s="267"/>
      <c r="HP68" s="267"/>
      <c r="HQ68" s="267"/>
      <c r="HR68" s="267"/>
      <c r="HS68" s="267"/>
      <c r="HT68" s="267"/>
      <c r="HU68" s="267"/>
      <c r="IH68" s="267"/>
      <c r="IK68" s="267"/>
      <c r="IN68" s="267"/>
      <c r="IQ68" s="267"/>
      <c r="IR68" s="267"/>
      <c r="IS68" s="267"/>
      <c r="IT68" s="274"/>
      <c r="IU68" s="274"/>
      <c r="IV68" s="272"/>
      <c r="IW68" s="274"/>
      <c r="IX68" s="274"/>
      <c r="IY68" s="272"/>
    </row>
    <row r="69" spans="10:259">
      <c r="N69" s="275"/>
      <c r="P69" s="267"/>
      <c r="FC69" s="264"/>
      <c r="FD69" s="264"/>
      <c r="FE69" s="264"/>
      <c r="FN69" s="264"/>
      <c r="FO69" s="264"/>
      <c r="FP69" s="264"/>
      <c r="FQ69" s="264"/>
      <c r="FR69" s="264"/>
      <c r="FS69" s="264"/>
      <c r="FT69" s="264"/>
      <c r="GF69" s="264"/>
      <c r="GG69" s="264"/>
      <c r="GH69" s="264"/>
      <c r="GI69" s="264"/>
      <c r="GJ69" s="264"/>
      <c r="GK69" s="264"/>
      <c r="GL69" s="264"/>
      <c r="HF69" s="264"/>
      <c r="HG69" s="264"/>
      <c r="HK69" s="264"/>
      <c r="HN69" s="264"/>
      <c r="HO69" s="264"/>
      <c r="HP69" s="264"/>
      <c r="HQ69" s="264"/>
      <c r="IT69" s="274"/>
      <c r="IU69" s="274"/>
      <c r="IV69" s="272"/>
      <c r="IW69" s="274"/>
      <c r="IX69" s="274"/>
      <c r="IY69" s="272"/>
    </row>
    <row r="70" spans="10:259">
      <c r="J70" s="267"/>
      <c r="K70" s="267"/>
      <c r="L70" s="267"/>
      <c r="M70" s="267"/>
      <c r="N70" s="275"/>
      <c r="O70" s="267"/>
      <c r="P70" s="267"/>
      <c r="Q70" s="267"/>
      <c r="S70" s="267"/>
      <c r="T70" s="267"/>
      <c r="U70" s="267"/>
      <c r="V70" s="267"/>
      <c r="W70" s="264"/>
      <c r="Y70" s="267"/>
      <c r="Z70" s="267"/>
      <c r="AA70" s="267"/>
      <c r="AB70" s="267"/>
      <c r="AE70" s="267"/>
      <c r="AF70" s="267"/>
      <c r="AG70" s="267"/>
      <c r="AH70" s="267"/>
      <c r="AK70" s="267"/>
      <c r="AL70" s="267"/>
      <c r="AM70" s="267"/>
      <c r="AN70" s="267"/>
      <c r="AQ70" s="267"/>
      <c r="AR70" s="267"/>
      <c r="AS70" s="267"/>
      <c r="AT70" s="267"/>
      <c r="AW70" s="267"/>
      <c r="AX70" s="267"/>
      <c r="AY70" s="267"/>
      <c r="AZ70" s="267"/>
      <c r="BG70" s="269"/>
      <c r="BM70" s="269"/>
      <c r="BS70" s="269"/>
      <c r="BU70" s="267"/>
      <c r="BY70" s="267"/>
      <c r="CC70" s="267"/>
      <c r="CG70" s="267"/>
      <c r="CS70" s="267"/>
      <c r="CW70" s="270"/>
      <c r="CX70" s="267"/>
      <c r="DC70" s="267"/>
      <c r="DH70" s="267"/>
      <c r="DM70" s="267"/>
      <c r="DR70" s="267"/>
      <c r="DW70" s="267"/>
      <c r="EB70" s="267"/>
      <c r="EG70" s="267"/>
      <c r="EL70" s="267"/>
      <c r="EQ70" s="267"/>
      <c r="EU70" s="270"/>
      <c r="EV70" s="267"/>
      <c r="FC70" s="267"/>
      <c r="FD70" s="267"/>
      <c r="FE70" s="267"/>
      <c r="FF70" s="267"/>
      <c r="FG70" s="267"/>
      <c r="FL70" s="267"/>
      <c r="FM70" s="267"/>
      <c r="FN70" s="267"/>
      <c r="FO70" s="267"/>
      <c r="FP70" s="267"/>
      <c r="FQ70" s="264"/>
      <c r="FR70" s="264"/>
      <c r="FS70" s="264"/>
      <c r="FT70" s="264"/>
      <c r="FU70" s="267"/>
      <c r="FV70" s="267"/>
      <c r="FW70" s="267"/>
      <c r="FX70" s="267"/>
      <c r="FY70" s="267"/>
      <c r="GD70" s="267"/>
      <c r="GE70" s="267"/>
      <c r="GF70" s="267"/>
      <c r="GG70" s="267"/>
      <c r="GH70" s="267"/>
      <c r="GI70" s="264"/>
      <c r="GJ70" s="264"/>
      <c r="GK70" s="264"/>
      <c r="GL70" s="264"/>
      <c r="HD70" s="267"/>
      <c r="HE70" s="267"/>
      <c r="HF70" s="267"/>
      <c r="HG70" s="267"/>
      <c r="HH70" s="267"/>
      <c r="HI70" s="267"/>
      <c r="HJ70" s="267"/>
      <c r="HK70" s="267"/>
      <c r="HL70" s="267"/>
      <c r="HM70" s="267"/>
      <c r="HN70" s="267"/>
      <c r="HO70" s="267"/>
      <c r="HP70" s="267"/>
      <c r="HQ70" s="267"/>
      <c r="HR70" s="267"/>
      <c r="HS70" s="267"/>
      <c r="HT70" s="267"/>
      <c r="HU70" s="267"/>
      <c r="IH70" s="267"/>
      <c r="IK70" s="267"/>
      <c r="IN70" s="267"/>
      <c r="IQ70" s="267"/>
      <c r="IR70" s="267"/>
      <c r="IS70" s="267"/>
      <c r="IT70" s="274"/>
      <c r="IU70" s="274"/>
      <c r="IV70" s="272"/>
      <c r="IW70" s="274"/>
      <c r="IX70" s="274"/>
      <c r="IY70" s="272"/>
    </row>
    <row r="71" spans="10:259">
      <c r="N71" s="275"/>
      <c r="P71" s="267"/>
      <c r="FC71" s="264"/>
      <c r="FD71" s="264"/>
      <c r="FE71" s="264"/>
      <c r="FN71" s="264"/>
      <c r="FO71" s="264"/>
      <c r="FP71" s="264"/>
      <c r="FQ71" s="264"/>
      <c r="FR71" s="264"/>
      <c r="FS71" s="264"/>
      <c r="FT71" s="264"/>
      <c r="GF71" s="264"/>
      <c r="GG71" s="264"/>
      <c r="GH71" s="264"/>
      <c r="GI71" s="264"/>
      <c r="GJ71" s="264"/>
      <c r="GK71" s="264"/>
      <c r="GL71" s="264"/>
      <c r="HF71" s="264"/>
      <c r="HG71" s="264"/>
      <c r="HK71" s="264"/>
      <c r="HN71" s="264"/>
      <c r="HO71" s="264"/>
      <c r="HP71" s="264"/>
      <c r="HQ71" s="264"/>
      <c r="IT71" s="274"/>
      <c r="IU71" s="274"/>
      <c r="IV71" s="272"/>
      <c r="IW71" s="274"/>
      <c r="IX71" s="274"/>
      <c r="IY71" s="272"/>
    </row>
    <row r="72" spans="10:259">
      <c r="J72" s="267"/>
      <c r="K72" s="267"/>
      <c r="L72" s="267"/>
      <c r="M72" s="267"/>
      <c r="N72" s="275"/>
      <c r="O72" s="267"/>
      <c r="P72" s="267"/>
      <c r="Q72" s="267"/>
      <c r="S72" s="267"/>
      <c r="T72" s="267"/>
      <c r="U72" s="267"/>
      <c r="V72" s="267"/>
      <c r="W72" s="264"/>
      <c r="Y72" s="267"/>
      <c r="Z72" s="267"/>
      <c r="AA72" s="267"/>
      <c r="AB72" s="267"/>
      <c r="AE72" s="267"/>
      <c r="AF72" s="267"/>
      <c r="AG72" s="267"/>
      <c r="AH72" s="267"/>
      <c r="AK72" s="267"/>
      <c r="AL72" s="267"/>
      <c r="AM72" s="267"/>
      <c r="AN72" s="267"/>
      <c r="AQ72" s="267"/>
      <c r="AR72" s="267"/>
      <c r="AS72" s="267"/>
      <c r="AT72" s="267"/>
      <c r="AW72" s="267"/>
      <c r="AX72" s="267"/>
      <c r="AY72" s="267"/>
      <c r="AZ72" s="267"/>
      <c r="BG72" s="269"/>
      <c r="BM72" s="269"/>
      <c r="BS72" s="269"/>
      <c r="BU72" s="267"/>
      <c r="BY72" s="267"/>
      <c r="CC72" s="267"/>
      <c r="CG72" s="267"/>
      <c r="CS72" s="267"/>
      <c r="CW72" s="270"/>
      <c r="CX72" s="267"/>
      <c r="DC72" s="267"/>
      <c r="DH72" s="267"/>
      <c r="DM72" s="267"/>
      <c r="DR72" s="267"/>
      <c r="DW72" s="267"/>
      <c r="EB72" s="267"/>
      <c r="EG72" s="267"/>
      <c r="EL72" s="267"/>
      <c r="EQ72" s="267"/>
      <c r="EU72" s="270"/>
      <c r="EV72" s="267"/>
      <c r="FC72" s="267"/>
      <c r="FD72" s="267"/>
      <c r="FE72" s="267"/>
      <c r="FF72" s="267"/>
      <c r="FG72" s="267"/>
      <c r="FL72" s="267"/>
      <c r="FM72" s="267"/>
      <c r="FN72" s="267"/>
      <c r="FO72" s="267"/>
      <c r="FP72" s="267"/>
      <c r="FQ72" s="264"/>
      <c r="FR72" s="264"/>
      <c r="FS72" s="264"/>
      <c r="FT72" s="264"/>
      <c r="FU72" s="267"/>
      <c r="FV72" s="267"/>
      <c r="FW72" s="267"/>
      <c r="FX72" s="267"/>
      <c r="FY72" s="267"/>
      <c r="GD72" s="267"/>
      <c r="GE72" s="267"/>
      <c r="GF72" s="267"/>
      <c r="GG72" s="267"/>
      <c r="GH72" s="267"/>
      <c r="GI72" s="264"/>
      <c r="GJ72" s="264"/>
      <c r="GK72" s="264"/>
      <c r="GL72" s="264"/>
      <c r="HD72" s="267"/>
      <c r="HE72" s="267"/>
      <c r="HF72" s="267"/>
      <c r="HG72" s="267"/>
      <c r="HH72" s="267"/>
      <c r="HI72" s="267"/>
      <c r="HJ72" s="267"/>
      <c r="HK72" s="267"/>
      <c r="HL72" s="267"/>
      <c r="HM72" s="267"/>
      <c r="HN72" s="267"/>
      <c r="HO72" s="267"/>
      <c r="HP72" s="267"/>
      <c r="HQ72" s="267"/>
      <c r="HR72" s="267"/>
      <c r="HS72" s="267"/>
      <c r="HT72" s="267"/>
      <c r="HU72" s="267"/>
      <c r="IH72" s="267"/>
      <c r="IK72" s="267"/>
      <c r="IN72" s="267"/>
      <c r="IQ72" s="267"/>
      <c r="IR72" s="267"/>
      <c r="IS72" s="267"/>
      <c r="IT72" s="274"/>
      <c r="IU72" s="274"/>
      <c r="IV72" s="272"/>
      <c r="IW72" s="274"/>
      <c r="IX72" s="274"/>
      <c r="IY72" s="272"/>
    </row>
    <row r="73" spans="10:259">
      <c r="J73" s="267"/>
      <c r="K73" s="267"/>
      <c r="L73" s="267"/>
      <c r="M73" s="267"/>
      <c r="N73" s="275"/>
      <c r="O73" s="267"/>
      <c r="P73" s="267"/>
      <c r="Q73" s="267"/>
      <c r="S73" s="267"/>
      <c r="T73" s="267"/>
      <c r="U73" s="267"/>
      <c r="V73" s="267"/>
      <c r="W73" s="264"/>
      <c r="Y73" s="267"/>
      <c r="Z73" s="267"/>
      <c r="AA73" s="267"/>
      <c r="AB73" s="267"/>
      <c r="AE73" s="267"/>
      <c r="AF73" s="267"/>
      <c r="AG73" s="267"/>
      <c r="AH73" s="267"/>
      <c r="AK73" s="267"/>
      <c r="AL73" s="267"/>
      <c r="AM73" s="267"/>
      <c r="AN73" s="267"/>
      <c r="AQ73" s="267"/>
      <c r="AR73" s="267"/>
      <c r="AS73" s="267"/>
      <c r="AT73" s="267"/>
      <c r="AW73" s="267"/>
      <c r="AX73" s="267"/>
      <c r="AY73" s="267"/>
      <c r="AZ73" s="267"/>
      <c r="BG73" s="269"/>
      <c r="BM73" s="269"/>
      <c r="BS73" s="269"/>
      <c r="BU73" s="267"/>
      <c r="BY73" s="267"/>
      <c r="CC73" s="267"/>
      <c r="CG73" s="267"/>
      <c r="CS73" s="267"/>
      <c r="CW73" s="270"/>
      <c r="CX73" s="267"/>
      <c r="DC73" s="267"/>
      <c r="DH73" s="267"/>
      <c r="DM73" s="267"/>
      <c r="DR73" s="267"/>
      <c r="DW73" s="267"/>
      <c r="EB73" s="267"/>
      <c r="EG73" s="267"/>
      <c r="EL73" s="267"/>
      <c r="EQ73" s="267"/>
      <c r="EU73" s="270"/>
      <c r="EV73" s="267"/>
      <c r="FC73" s="267"/>
      <c r="FD73" s="267"/>
      <c r="FE73" s="267"/>
      <c r="FF73" s="267"/>
      <c r="FG73" s="267"/>
      <c r="FL73" s="267"/>
      <c r="FM73" s="267"/>
      <c r="FN73" s="267"/>
      <c r="FO73" s="267"/>
      <c r="FP73" s="267"/>
      <c r="FQ73" s="264"/>
      <c r="FR73" s="264"/>
      <c r="FS73" s="264"/>
      <c r="FT73" s="264"/>
      <c r="FU73" s="267"/>
      <c r="FV73" s="267"/>
      <c r="FW73" s="267"/>
      <c r="FX73" s="267"/>
      <c r="FY73" s="267"/>
      <c r="GD73" s="267"/>
      <c r="GE73" s="267"/>
      <c r="GF73" s="267"/>
      <c r="GG73" s="267"/>
      <c r="GH73" s="267"/>
      <c r="GI73" s="264"/>
      <c r="GJ73" s="264"/>
      <c r="GK73" s="264"/>
      <c r="GL73" s="264"/>
      <c r="HD73" s="267"/>
      <c r="HE73" s="267"/>
      <c r="HF73" s="267"/>
      <c r="HG73" s="267"/>
      <c r="HH73" s="267"/>
      <c r="HI73" s="267"/>
      <c r="HJ73" s="267"/>
      <c r="HK73" s="267"/>
      <c r="HL73" s="267"/>
      <c r="HM73" s="267"/>
      <c r="HN73" s="267"/>
      <c r="HO73" s="267"/>
      <c r="HP73" s="267"/>
      <c r="HQ73" s="267"/>
      <c r="HR73" s="267"/>
      <c r="HS73" s="267"/>
      <c r="HT73" s="267"/>
      <c r="HU73" s="267"/>
      <c r="IH73" s="267"/>
      <c r="IK73" s="267"/>
      <c r="IN73" s="267"/>
      <c r="IQ73" s="267"/>
      <c r="IR73" s="267"/>
      <c r="IS73" s="267"/>
      <c r="IT73" s="274"/>
      <c r="IU73" s="274"/>
      <c r="IV73" s="272"/>
      <c r="IW73" s="274"/>
      <c r="IX73" s="274"/>
      <c r="IY73" s="272"/>
    </row>
    <row r="74" spans="10:259">
      <c r="N74" s="275"/>
      <c r="P74" s="267"/>
      <c r="FC74" s="264"/>
      <c r="FD74" s="264"/>
      <c r="FE74" s="264"/>
      <c r="FN74" s="264"/>
      <c r="FO74" s="264"/>
      <c r="FP74" s="264"/>
      <c r="FQ74" s="264"/>
      <c r="FR74" s="264"/>
      <c r="FS74" s="264"/>
      <c r="FT74" s="264"/>
      <c r="GF74" s="264"/>
      <c r="GG74" s="264"/>
      <c r="GH74" s="264"/>
      <c r="GI74" s="264"/>
      <c r="GJ74" s="264"/>
      <c r="GK74" s="264"/>
      <c r="GL74" s="264"/>
      <c r="HF74" s="264"/>
      <c r="HG74" s="264"/>
      <c r="HK74" s="264"/>
      <c r="HN74" s="264"/>
      <c r="HO74" s="264"/>
      <c r="HP74" s="264"/>
      <c r="HQ74" s="264"/>
      <c r="IT74" s="274"/>
      <c r="IU74" s="274"/>
      <c r="IV74" s="272"/>
      <c r="IW74" s="274"/>
      <c r="IX74" s="274"/>
      <c r="IY74" s="272"/>
    </row>
    <row r="75" spans="10:259">
      <c r="N75" s="275"/>
      <c r="FC75" s="264"/>
      <c r="FD75" s="264"/>
      <c r="FE75" s="264"/>
      <c r="FN75" s="264"/>
      <c r="FO75" s="264"/>
      <c r="FP75" s="264"/>
      <c r="FQ75" s="264"/>
      <c r="FR75" s="264"/>
      <c r="FS75" s="264"/>
      <c r="FT75" s="264"/>
      <c r="GF75" s="264"/>
      <c r="GG75" s="264"/>
      <c r="GH75" s="264"/>
      <c r="GI75" s="264"/>
      <c r="GJ75" s="264"/>
      <c r="GK75" s="264"/>
      <c r="GL75" s="264"/>
      <c r="HF75" s="264"/>
      <c r="HG75" s="264"/>
      <c r="HK75" s="264"/>
      <c r="HN75" s="264"/>
      <c r="HO75" s="264"/>
      <c r="HP75" s="264"/>
      <c r="HQ75" s="264"/>
      <c r="IT75" s="274"/>
      <c r="IU75" s="274"/>
      <c r="IV75" s="272"/>
      <c r="IW75" s="274"/>
      <c r="IX75" s="274"/>
      <c r="IY75" s="272"/>
    </row>
    <row r="76" spans="10:259">
      <c r="N76" s="275"/>
      <c r="FC76" s="264"/>
      <c r="FD76" s="264"/>
      <c r="FE76" s="264"/>
      <c r="FN76" s="264"/>
      <c r="FO76" s="264"/>
      <c r="FP76" s="264"/>
      <c r="FQ76" s="264"/>
      <c r="FR76" s="264"/>
      <c r="FS76" s="264"/>
      <c r="FT76" s="264"/>
      <c r="GF76" s="264"/>
      <c r="GG76" s="264"/>
      <c r="GH76" s="264"/>
      <c r="GI76" s="264"/>
      <c r="GJ76" s="264"/>
      <c r="GK76" s="264"/>
      <c r="GL76" s="264"/>
      <c r="HF76" s="264"/>
      <c r="HG76" s="264"/>
      <c r="HK76" s="264"/>
      <c r="HN76" s="264"/>
      <c r="HO76" s="264"/>
      <c r="HP76" s="264"/>
      <c r="HQ76" s="264"/>
      <c r="IT76" s="274"/>
      <c r="IU76" s="274"/>
      <c r="IV76" s="272"/>
      <c r="IW76" s="274"/>
      <c r="IX76" s="274"/>
      <c r="IY76" s="272"/>
    </row>
    <row r="77" spans="10:259">
      <c r="N77" s="275"/>
      <c r="FC77" s="264"/>
      <c r="FD77" s="264"/>
      <c r="FE77" s="264"/>
      <c r="FN77" s="264"/>
      <c r="FO77" s="264"/>
      <c r="FP77" s="264"/>
      <c r="FQ77" s="264"/>
      <c r="FR77" s="264"/>
      <c r="FS77" s="264"/>
      <c r="FT77" s="264"/>
      <c r="GF77" s="264"/>
      <c r="GG77" s="264"/>
      <c r="GH77" s="264"/>
      <c r="GI77" s="264"/>
      <c r="GJ77" s="264"/>
      <c r="GK77" s="264"/>
      <c r="GL77" s="264"/>
      <c r="HF77" s="264"/>
      <c r="HG77" s="264"/>
      <c r="HK77" s="264"/>
      <c r="HN77" s="264"/>
      <c r="HO77" s="264"/>
      <c r="HP77" s="264"/>
      <c r="HQ77" s="264"/>
      <c r="IT77" s="274"/>
      <c r="IU77" s="274"/>
      <c r="IV77" s="272"/>
      <c r="IW77" s="274"/>
      <c r="IX77" s="274"/>
      <c r="IY77" s="272"/>
    </row>
    <row r="78" spans="10:259">
      <c r="N78" s="275"/>
      <c r="FC78" s="264"/>
      <c r="FD78" s="264"/>
      <c r="FE78" s="264"/>
      <c r="FN78" s="264"/>
      <c r="FO78" s="264"/>
      <c r="FP78" s="264"/>
      <c r="FQ78" s="264"/>
      <c r="FR78" s="264"/>
      <c r="FS78" s="264"/>
      <c r="FT78" s="264"/>
      <c r="GF78" s="264"/>
      <c r="GG78" s="264"/>
      <c r="GH78" s="264"/>
      <c r="GI78" s="264"/>
      <c r="GJ78" s="264"/>
      <c r="GK78" s="264"/>
      <c r="GL78" s="264"/>
      <c r="HF78" s="264"/>
      <c r="HG78" s="264"/>
      <c r="HK78" s="264"/>
      <c r="HN78" s="264"/>
      <c r="HO78" s="264"/>
      <c r="HP78" s="264"/>
      <c r="HQ78" s="264"/>
      <c r="IT78" s="274"/>
      <c r="IU78" s="274"/>
      <c r="IV78" s="272"/>
      <c r="IW78" s="274"/>
      <c r="IX78" s="274"/>
      <c r="IY78" s="272"/>
    </row>
    <row r="79" spans="10:259">
      <c r="N79" s="275"/>
      <c r="FC79" s="264"/>
      <c r="FD79" s="264"/>
      <c r="FE79" s="264"/>
      <c r="FN79" s="264"/>
      <c r="FO79" s="264"/>
      <c r="FP79" s="264"/>
      <c r="FQ79" s="264"/>
      <c r="FR79" s="264"/>
      <c r="FS79" s="264"/>
      <c r="FT79" s="264"/>
      <c r="GF79" s="264"/>
      <c r="GG79" s="264"/>
      <c r="GH79" s="264"/>
      <c r="GI79" s="264"/>
      <c r="GJ79" s="264"/>
      <c r="GK79" s="264"/>
      <c r="GL79" s="264"/>
      <c r="HF79" s="264"/>
      <c r="HG79" s="264"/>
      <c r="HK79" s="264"/>
      <c r="HN79" s="264"/>
      <c r="HO79" s="264"/>
      <c r="HP79" s="264"/>
      <c r="HQ79" s="264"/>
      <c r="IT79" s="274"/>
      <c r="IU79" s="274"/>
      <c r="IV79" s="272"/>
      <c r="IW79" s="274"/>
      <c r="IX79" s="274"/>
      <c r="IY79" s="272"/>
    </row>
    <row r="80" spans="10:259">
      <c r="N80" s="275"/>
      <c r="FC80" s="264"/>
      <c r="FD80" s="264"/>
      <c r="FE80" s="264"/>
      <c r="FN80" s="264"/>
      <c r="FO80" s="264"/>
      <c r="FP80" s="264"/>
      <c r="FQ80" s="264"/>
      <c r="FR80" s="264"/>
      <c r="FS80" s="264"/>
      <c r="FT80" s="264"/>
      <c r="GF80" s="264"/>
      <c r="GG80" s="264"/>
      <c r="GH80" s="264"/>
      <c r="GI80" s="264"/>
      <c r="GJ80" s="264"/>
      <c r="GK80" s="264"/>
      <c r="GL80" s="264"/>
      <c r="HF80" s="264"/>
      <c r="HG80" s="264"/>
      <c r="HK80" s="264"/>
      <c r="HN80" s="264"/>
      <c r="HO80" s="264"/>
      <c r="HP80" s="264"/>
      <c r="HQ80" s="264"/>
      <c r="IT80" s="274"/>
      <c r="IU80" s="274"/>
      <c r="IV80" s="272"/>
      <c r="IW80" s="274"/>
      <c r="IX80" s="274"/>
      <c r="IY80" s="272"/>
    </row>
    <row r="81" spans="10:259">
      <c r="N81" s="275"/>
      <c r="FC81" s="264"/>
      <c r="FD81" s="264"/>
      <c r="FE81" s="264"/>
      <c r="FN81" s="264"/>
      <c r="FO81" s="264"/>
      <c r="FP81" s="264"/>
      <c r="FQ81" s="264"/>
      <c r="FR81" s="264"/>
      <c r="FS81" s="264"/>
      <c r="FT81" s="264"/>
      <c r="GF81" s="264"/>
      <c r="GG81" s="264"/>
      <c r="GH81" s="264"/>
      <c r="GI81" s="264"/>
      <c r="GJ81" s="264"/>
      <c r="GK81" s="264"/>
      <c r="GL81" s="264"/>
      <c r="HF81" s="264"/>
      <c r="HG81" s="264"/>
      <c r="HK81" s="264"/>
      <c r="HN81" s="264"/>
      <c r="HO81" s="264"/>
      <c r="HP81" s="264"/>
      <c r="HQ81" s="264"/>
      <c r="IT81" s="274"/>
      <c r="IU81" s="274"/>
      <c r="IV81" s="272"/>
      <c r="IW81" s="274"/>
      <c r="IX81" s="274"/>
      <c r="IY81" s="272"/>
    </row>
    <row r="82" spans="10:259">
      <c r="N82" s="275"/>
      <c r="FC82" s="264"/>
      <c r="FD82" s="264"/>
      <c r="FE82" s="264"/>
      <c r="FN82" s="264"/>
      <c r="FO82" s="264"/>
      <c r="FP82" s="264"/>
      <c r="FQ82" s="264"/>
      <c r="FR82" s="264"/>
      <c r="FS82" s="264"/>
      <c r="FT82" s="264"/>
      <c r="GF82" s="264"/>
      <c r="GG82" s="264"/>
      <c r="GH82" s="264"/>
      <c r="GI82" s="264"/>
      <c r="GJ82" s="264"/>
      <c r="GK82" s="264"/>
      <c r="GL82" s="264"/>
      <c r="HF82" s="264"/>
      <c r="HG82" s="264"/>
      <c r="HK82" s="264"/>
      <c r="HN82" s="264"/>
      <c r="HO82" s="264"/>
      <c r="HP82" s="264"/>
      <c r="HQ82" s="264"/>
      <c r="IT82" s="274"/>
      <c r="IU82" s="274"/>
      <c r="IV82" s="272"/>
      <c r="IW82" s="274"/>
      <c r="IX82" s="274"/>
      <c r="IY82" s="272"/>
    </row>
    <row r="83" spans="10:259">
      <c r="N83" s="275"/>
      <c r="FC83" s="264"/>
      <c r="FD83" s="264"/>
      <c r="FE83" s="264"/>
      <c r="FN83" s="264"/>
      <c r="FO83" s="264"/>
      <c r="FP83" s="264"/>
      <c r="FQ83" s="264"/>
      <c r="FR83" s="264"/>
      <c r="FS83" s="264"/>
      <c r="FT83" s="264"/>
      <c r="GF83" s="264"/>
      <c r="GG83" s="264"/>
      <c r="GH83" s="264"/>
      <c r="GI83" s="264"/>
      <c r="GJ83" s="264"/>
      <c r="GK83" s="264"/>
      <c r="GL83" s="264"/>
      <c r="HF83" s="264"/>
      <c r="HG83" s="264"/>
      <c r="HK83" s="264"/>
      <c r="HN83" s="264"/>
      <c r="HO83" s="264"/>
      <c r="HP83" s="264"/>
      <c r="HQ83" s="264"/>
      <c r="IT83" s="274"/>
      <c r="IU83" s="274"/>
      <c r="IV83" s="272"/>
      <c r="IW83" s="274"/>
      <c r="IX83" s="274"/>
      <c r="IY83" s="272"/>
    </row>
    <row r="84" spans="10:259">
      <c r="J84" s="267"/>
      <c r="K84" s="267"/>
      <c r="L84" s="267"/>
      <c r="M84" s="267"/>
      <c r="N84" s="267"/>
      <c r="O84" s="267"/>
      <c r="P84" s="267"/>
      <c r="Q84" s="267"/>
      <c r="S84" s="267"/>
      <c r="T84" s="267"/>
      <c r="U84" s="267"/>
      <c r="V84" s="267"/>
      <c r="W84" s="264"/>
      <c r="Y84" s="267"/>
      <c r="Z84" s="267"/>
      <c r="AA84" s="267"/>
      <c r="AB84" s="267"/>
      <c r="AE84" s="267"/>
      <c r="AF84" s="267"/>
      <c r="AG84" s="267"/>
      <c r="AH84" s="267"/>
      <c r="AK84" s="267"/>
      <c r="AL84" s="267"/>
      <c r="AM84" s="267"/>
      <c r="AN84" s="267"/>
      <c r="AQ84" s="267"/>
      <c r="AR84" s="267"/>
      <c r="AS84" s="267"/>
      <c r="AT84" s="267"/>
      <c r="AW84" s="267"/>
      <c r="AX84" s="267"/>
      <c r="AY84" s="267"/>
      <c r="AZ84" s="267"/>
      <c r="BG84" s="269"/>
      <c r="BM84" s="269"/>
      <c r="BS84" s="269"/>
      <c r="BU84" s="267"/>
      <c r="BY84" s="267"/>
      <c r="CC84" s="267"/>
      <c r="CG84" s="267"/>
      <c r="CS84" s="267"/>
      <c r="CW84" s="270"/>
      <c r="CX84" s="267"/>
      <c r="DC84" s="267"/>
      <c r="DH84" s="267"/>
      <c r="DM84" s="267"/>
      <c r="DR84" s="267"/>
      <c r="DW84" s="267"/>
      <c r="EB84" s="267"/>
      <c r="EG84" s="267"/>
      <c r="EL84" s="267"/>
      <c r="EQ84" s="267"/>
      <c r="EU84" s="270"/>
      <c r="EV84" s="267"/>
      <c r="FC84" s="267"/>
      <c r="FD84" s="267"/>
      <c r="FE84" s="267"/>
      <c r="FF84" s="267"/>
      <c r="FG84" s="267"/>
      <c r="FL84" s="267"/>
      <c r="FM84" s="267"/>
      <c r="FN84" s="267"/>
      <c r="FO84" s="267"/>
      <c r="FP84" s="267"/>
      <c r="FQ84" s="264"/>
      <c r="FR84" s="264"/>
      <c r="FS84" s="264"/>
      <c r="FT84" s="264"/>
      <c r="FU84" s="267"/>
      <c r="FV84" s="267"/>
      <c r="FW84" s="267"/>
      <c r="FX84" s="267"/>
      <c r="FY84" s="267"/>
      <c r="GD84" s="267"/>
      <c r="GE84" s="267"/>
      <c r="GF84" s="267"/>
      <c r="GG84" s="267"/>
      <c r="GH84" s="267"/>
      <c r="GI84" s="264"/>
      <c r="GJ84" s="264"/>
      <c r="GK84" s="264"/>
      <c r="GL84" s="264"/>
      <c r="HD84" s="267"/>
      <c r="HE84" s="267"/>
      <c r="HF84" s="267"/>
      <c r="HG84" s="267"/>
      <c r="HH84" s="267"/>
      <c r="HI84" s="267"/>
      <c r="HJ84" s="267"/>
      <c r="HK84" s="267"/>
      <c r="HL84" s="267"/>
      <c r="HM84" s="267"/>
      <c r="HN84" s="267"/>
      <c r="HO84" s="267"/>
      <c r="HP84" s="267"/>
      <c r="HQ84" s="267"/>
      <c r="HR84" s="267"/>
      <c r="HS84" s="267"/>
      <c r="HT84" s="267"/>
      <c r="HU84" s="267"/>
      <c r="IH84" s="267"/>
      <c r="IK84" s="267"/>
      <c r="IN84" s="267"/>
      <c r="IQ84" s="267"/>
      <c r="IR84" s="267"/>
      <c r="IS84" s="267"/>
      <c r="IT84" s="274"/>
      <c r="IU84" s="274"/>
      <c r="IV84" s="272"/>
      <c r="IW84" s="274"/>
      <c r="IX84" s="274"/>
      <c r="IY84" s="272"/>
    </row>
    <row r="85" spans="10:259">
      <c r="J85" s="267"/>
      <c r="K85" s="267"/>
      <c r="L85" s="267"/>
      <c r="M85" s="267"/>
      <c r="N85" s="267"/>
      <c r="O85" s="267"/>
      <c r="P85" s="267"/>
      <c r="Q85" s="267"/>
      <c r="S85" s="267"/>
      <c r="T85" s="267"/>
      <c r="U85" s="267"/>
      <c r="V85" s="267"/>
      <c r="W85" s="264"/>
      <c r="Y85" s="267"/>
      <c r="Z85" s="267"/>
      <c r="AA85" s="267"/>
      <c r="AB85" s="267"/>
      <c r="AE85" s="267"/>
      <c r="AF85" s="267"/>
      <c r="AG85" s="267"/>
      <c r="AH85" s="267"/>
      <c r="AK85" s="267"/>
      <c r="AL85" s="267"/>
      <c r="AM85" s="267"/>
      <c r="AN85" s="267"/>
      <c r="AQ85" s="267"/>
      <c r="AR85" s="267"/>
      <c r="AS85" s="267"/>
      <c r="AT85" s="267"/>
      <c r="AW85" s="267"/>
      <c r="AX85" s="267"/>
      <c r="AY85" s="267"/>
      <c r="AZ85" s="267"/>
      <c r="BG85" s="269"/>
      <c r="BM85" s="269"/>
      <c r="BS85" s="269"/>
      <c r="BU85" s="267"/>
      <c r="BY85" s="267"/>
      <c r="CC85" s="267"/>
      <c r="CG85" s="267"/>
      <c r="CS85" s="267"/>
      <c r="CW85" s="270"/>
      <c r="CX85" s="267"/>
      <c r="DC85" s="267"/>
      <c r="DH85" s="267"/>
      <c r="DM85" s="267"/>
      <c r="DR85" s="267"/>
      <c r="DW85" s="267"/>
      <c r="EB85" s="267"/>
      <c r="EG85" s="267"/>
      <c r="EL85" s="267"/>
      <c r="EQ85" s="267"/>
      <c r="EU85" s="270"/>
      <c r="EV85" s="267"/>
      <c r="FC85" s="267"/>
      <c r="FD85" s="267"/>
      <c r="FE85" s="267"/>
      <c r="FF85" s="267"/>
      <c r="FG85" s="267"/>
      <c r="FL85" s="267"/>
      <c r="FM85" s="267"/>
      <c r="FN85" s="267"/>
      <c r="FO85" s="267"/>
      <c r="FP85" s="267"/>
      <c r="FQ85" s="264"/>
      <c r="FR85" s="264"/>
      <c r="FS85" s="264"/>
      <c r="FT85" s="264"/>
      <c r="FU85" s="267"/>
      <c r="FV85" s="267"/>
      <c r="FW85" s="267"/>
      <c r="FX85" s="267"/>
      <c r="FY85" s="267"/>
      <c r="GD85" s="267"/>
      <c r="GE85" s="267"/>
      <c r="GF85" s="267"/>
      <c r="GG85" s="267"/>
      <c r="GH85" s="267"/>
      <c r="GI85" s="264"/>
      <c r="GJ85" s="264"/>
      <c r="GK85" s="264"/>
      <c r="GL85" s="264"/>
      <c r="HD85" s="267"/>
      <c r="HE85" s="267"/>
      <c r="HF85" s="267"/>
      <c r="HG85" s="267"/>
      <c r="HH85" s="267"/>
      <c r="HI85" s="267"/>
      <c r="HJ85" s="267"/>
      <c r="HK85" s="267"/>
      <c r="HL85" s="267"/>
      <c r="HM85" s="267"/>
      <c r="HN85" s="267"/>
      <c r="HO85" s="267"/>
      <c r="HP85" s="267"/>
      <c r="HQ85" s="267"/>
      <c r="HR85" s="267"/>
      <c r="HS85" s="267"/>
      <c r="HT85" s="267"/>
      <c r="HU85" s="267"/>
      <c r="IH85" s="267"/>
      <c r="IK85" s="267"/>
      <c r="IN85" s="267"/>
      <c r="IQ85" s="267"/>
      <c r="IR85" s="267"/>
      <c r="IS85" s="267"/>
      <c r="IT85" s="274"/>
      <c r="IU85" s="274"/>
      <c r="IV85" s="272"/>
      <c r="IW85" s="274"/>
      <c r="IX85" s="274"/>
      <c r="IY85" s="272"/>
    </row>
    <row r="86" spans="10:259">
      <c r="J86" s="267"/>
      <c r="K86" s="267"/>
      <c r="L86" s="267"/>
      <c r="M86" s="267"/>
      <c r="N86" s="267"/>
      <c r="O86" s="267"/>
      <c r="P86" s="267"/>
      <c r="Q86" s="267"/>
      <c r="S86" s="267"/>
      <c r="T86" s="267"/>
      <c r="U86" s="267"/>
      <c r="V86" s="267"/>
      <c r="W86" s="264"/>
      <c r="Y86" s="267"/>
      <c r="Z86" s="267"/>
      <c r="AA86" s="267"/>
      <c r="AB86" s="267"/>
      <c r="AE86" s="267"/>
      <c r="AF86" s="267"/>
      <c r="AG86" s="267"/>
      <c r="AH86" s="267"/>
      <c r="AK86" s="267"/>
      <c r="AL86" s="267"/>
      <c r="AM86" s="267"/>
      <c r="AN86" s="267"/>
      <c r="AQ86" s="267"/>
      <c r="AR86" s="267"/>
      <c r="AS86" s="267"/>
      <c r="AT86" s="267"/>
      <c r="AW86" s="267"/>
      <c r="AX86" s="267"/>
      <c r="AY86" s="267"/>
      <c r="AZ86" s="267"/>
      <c r="BG86" s="269"/>
      <c r="BM86" s="269"/>
      <c r="BS86" s="269"/>
      <c r="BU86" s="267"/>
      <c r="BY86" s="267"/>
      <c r="CC86" s="267"/>
      <c r="CG86" s="267"/>
      <c r="CS86" s="267"/>
      <c r="CW86" s="270"/>
      <c r="CX86" s="267"/>
      <c r="DC86" s="267"/>
      <c r="DH86" s="267"/>
      <c r="DM86" s="267"/>
      <c r="DR86" s="267"/>
      <c r="DW86" s="267"/>
      <c r="EB86" s="267"/>
      <c r="EG86" s="267"/>
      <c r="EL86" s="267"/>
      <c r="EQ86" s="267"/>
      <c r="EU86" s="270"/>
      <c r="EV86" s="267"/>
      <c r="FC86" s="267"/>
      <c r="FD86" s="267"/>
      <c r="FE86" s="267"/>
      <c r="FF86" s="267"/>
      <c r="FG86" s="267"/>
      <c r="FL86" s="267"/>
      <c r="FM86" s="267"/>
      <c r="FN86" s="267"/>
      <c r="FO86" s="267"/>
      <c r="FP86" s="267"/>
      <c r="FQ86" s="264"/>
      <c r="FR86" s="264"/>
      <c r="FS86" s="264"/>
      <c r="FT86" s="264"/>
      <c r="FU86" s="267"/>
      <c r="FV86" s="267"/>
      <c r="FW86" s="267"/>
      <c r="FX86" s="267"/>
      <c r="FY86" s="267"/>
      <c r="GD86" s="267"/>
      <c r="GE86" s="267"/>
      <c r="GF86" s="267"/>
      <c r="GG86" s="267"/>
      <c r="GH86" s="267"/>
      <c r="GI86" s="264"/>
      <c r="GJ86" s="264"/>
      <c r="GK86" s="264"/>
      <c r="GL86" s="264"/>
      <c r="HD86" s="267"/>
      <c r="HE86" s="267"/>
      <c r="HF86" s="267"/>
      <c r="HG86" s="267"/>
      <c r="HH86" s="267"/>
      <c r="HI86" s="267"/>
      <c r="HJ86" s="267"/>
      <c r="HK86" s="267"/>
      <c r="HL86" s="267"/>
      <c r="HM86" s="267"/>
      <c r="HN86" s="267"/>
      <c r="HO86" s="267"/>
      <c r="HP86" s="267"/>
      <c r="HQ86" s="267"/>
      <c r="HR86" s="267"/>
      <c r="HS86" s="267"/>
      <c r="HT86" s="267"/>
      <c r="HU86" s="267"/>
      <c r="IH86" s="267"/>
      <c r="IK86" s="267"/>
      <c r="IN86" s="267"/>
      <c r="IQ86" s="267"/>
      <c r="IR86" s="267"/>
      <c r="IS86" s="267"/>
      <c r="IT86" s="274"/>
      <c r="IU86" s="274"/>
      <c r="IV86" s="272"/>
      <c r="IW86" s="274"/>
      <c r="IX86" s="274"/>
      <c r="IY86" s="272"/>
    </row>
    <row r="87" spans="10:259">
      <c r="J87" s="267"/>
      <c r="K87" s="267"/>
      <c r="L87" s="267"/>
      <c r="M87" s="267"/>
      <c r="N87" s="267"/>
      <c r="O87" s="267"/>
      <c r="P87" s="267"/>
      <c r="Q87" s="267"/>
      <c r="S87" s="267"/>
      <c r="T87" s="267"/>
      <c r="U87" s="267"/>
      <c r="V87" s="267"/>
      <c r="W87" s="264"/>
      <c r="Y87" s="267"/>
      <c r="Z87" s="267"/>
      <c r="AA87" s="267"/>
      <c r="AB87" s="267"/>
      <c r="AE87" s="267"/>
      <c r="AF87" s="267"/>
      <c r="AG87" s="267"/>
      <c r="AH87" s="267"/>
      <c r="AK87" s="267"/>
      <c r="AL87" s="267"/>
      <c r="AM87" s="267"/>
      <c r="AN87" s="267"/>
      <c r="AQ87" s="267"/>
      <c r="AR87" s="267"/>
      <c r="AS87" s="267"/>
      <c r="AT87" s="267"/>
      <c r="AW87" s="267"/>
      <c r="AX87" s="267"/>
      <c r="AY87" s="267"/>
      <c r="AZ87" s="267"/>
      <c r="BG87" s="269"/>
      <c r="BM87" s="269"/>
      <c r="BS87" s="269"/>
      <c r="BU87" s="267"/>
      <c r="BY87" s="267"/>
      <c r="CC87" s="267"/>
      <c r="CG87" s="267"/>
      <c r="CS87" s="267"/>
      <c r="CW87" s="270"/>
      <c r="CX87" s="267"/>
      <c r="DC87" s="267"/>
      <c r="DH87" s="267"/>
      <c r="DM87" s="267"/>
      <c r="DR87" s="267"/>
      <c r="DW87" s="267"/>
      <c r="EB87" s="267"/>
      <c r="EG87" s="267"/>
      <c r="EL87" s="267"/>
      <c r="EQ87" s="267"/>
      <c r="EU87" s="270"/>
      <c r="EV87" s="267"/>
      <c r="FC87" s="267"/>
      <c r="FD87" s="267"/>
      <c r="FE87" s="267"/>
      <c r="FF87" s="267"/>
      <c r="FG87" s="267"/>
      <c r="FL87" s="267"/>
      <c r="FM87" s="267"/>
      <c r="FN87" s="267"/>
      <c r="FO87" s="267"/>
      <c r="FP87" s="267"/>
      <c r="FQ87" s="264"/>
      <c r="FR87" s="264"/>
      <c r="FS87" s="264"/>
      <c r="FT87" s="264"/>
      <c r="FU87" s="267"/>
      <c r="FV87" s="267"/>
      <c r="FW87" s="267"/>
      <c r="FX87" s="267"/>
      <c r="FY87" s="267"/>
      <c r="GD87" s="267"/>
      <c r="GE87" s="267"/>
      <c r="GF87" s="267"/>
      <c r="GG87" s="267"/>
      <c r="GH87" s="267"/>
      <c r="GI87" s="264"/>
      <c r="GJ87" s="264"/>
      <c r="GK87" s="264"/>
      <c r="GL87" s="264"/>
      <c r="HD87" s="267"/>
      <c r="HE87" s="267"/>
      <c r="HF87" s="267"/>
      <c r="HG87" s="267"/>
      <c r="HH87" s="267"/>
      <c r="HI87" s="267"/>
      <c r="HJ87" s="267"/>
      <c r="HK87" s="267"/>
      <c r="HL87" s="267"/>
      <c r="HM87" s="267"/>
      <c r="HN87" s="267"/>
      <c r="HO87" s="267"/>
      <c r="HP87" s="267"/>
      <c r="HQ87" s="267"/>
      <c r="HR87" s="267"/>
      <c r="HS87" s="267"/>
      <c r="HT87" s="267"/>
      <c r="HU87" s="267"/>
      <c r="IH87" s="267"/>
      <c r="IK87" s="267"/>
      <c r="IN87" s="267"/>
      <c r="IQ87" s="267"/>
      <c r="IR87" s="267"/>
      <c r="IS87" s="267"/>
      <c r="IT87" s="274"/>
      <c r="IU87" s="274"/>
      <c r="IV87" s="272"/>
      <c r="IW87" s="274"/>
      <c r="IX87" s="274"/>
      <c r="IY87" s="272"/>
    </row>
    <row r="88" spans="10:259">
      <c r="J88" s="267"/>
      <c r="K88" s="267"/>
      <c r="L88" s="267"/>
      <c r="M88" s="267"/>
      <c r="N88" s="267"/>
      <c r="O88" s="267"/>
      <c r="P88" s="267"/>
      <c r="Q88" s="267"/>
      <c r="S88" s="267"/>
      <c r="T88" s="267"/>
      <c r="U88" s="267"/>
      <c r="V88" s="267"/>
      <c r="W88" s="264"/>
      <c r="Y88" s="267"/>
      <c r="Z88" s="267"/>
      <c r="AA88" s="267"/>
      <c r="AB88" s="267"/>
      <c r="AE88" s="267"/>
      <c r="AF88" s="267"/>
      <c r="AG88" s="267"/>
      <c r="AH88" s="267"/>
      <c r="AK88" s="267"/>
      <c r="AL88" s="267"/>
      <c r="AM88" s="267"/>
      <c r="AN88" s="267"/>
      <c r="AQ88" s="267"/>
      <c r="AR88" s="267"/>
      <c r="AS88" s="267"/>
      <c r="AT88" s="267"/>
      <c r="AW88" s="267"/>
      <c r="AX88" s="267"/>
      <c r="AY88" s="267"/>
      <c r="AZ88" s="267"/>
      <c r="BG88" s="269"/>
      <c r="BM88" s="269"/>
      <c r="BS88" s="269"/>
      <c r="BU88" s="267"/>
      <c r="BY88" s="267"/>
      <c r="CC88" s="267"/>
      <c r="CG88" s="267"/>
      <c r="CS88" s="267"/>
      <c r="CW88" s="270"/>
      <c r="CX88" s="267"/>
      <c r="DC88" s="267"/>
      <c r="DH88" s="267"/>
      <c r="DM88" s="267"/>
      <c r="DR88" s="267"/>
      <c r="DW88" s="267"/>
      <c r="EB88" s="267"/>
      <c r="EG88" s="267"/>
      <c r="EL88" s="267"/>
      <c r="EQ88" s="267"/>
      <c r="EU88" s="270"/>
      <c r="EV88" s="267"/>
      <c r="FC88" s="267"/>
      <c r="FD88" s="267"/>
      <c r="FE88" s="267"/>
      <c r="FF88" s="267"/>
      <c r="FG88" s="267"/>
      <c r="FL88" s="267"/>
      <c r="FM88" s="267"/>
      <c r="FN88" s="267"/>
      <c r="FO88" s="267"/>
      <c r="FP88" s="267"/>
      <c r="FQ88" s="264"/>
      <c r="FR88" s="264"/>
      <c r="FS88" s="264"/>
      <c r="FT88" s="264"/>
      <c r="FU88" s="267"/>
      <c r="FV88" s="267"/>
      <c r="FW88" s="267"/>
      <c r="FX88" s="267"/>
      <c r="FY88" s="267"/>
      <c r="GD88" s="267"/>
      <c r="GE88" s="267"/>
      <c r="GF88" s="267"/>
      <c r="GG88" s="267"/>
      <c r="GH88" s="267"/>
      <c r="GI88" s="264"/>
      <c r="GJ88" s="264"/>
      <c r="GK88" s="264"/>
      <c r="GL88" s="264"/>
      <c r="HD88" s="267"/>
      <c r="HE88" s="267"/>
      <c r="HF88" s="267"/>
      <c r="HG88" s="267"/>
      <c r="HH88" s="267"/>
      <c r="HI88" s="267"/>
      <c r="HJ88" s="267"/>
      <c r="HK88" s="267"/>
      <c r="HL88" s="267"/>
      <c r="HM88" s="267"/>
      <c r="HN88" s="267"/>
      <c r="HO88" s="267"/>
      <c r="HP88" s="267"/>
      <c r="HQ88" s="267"/>
      <c r="HR88" s="267"/>
      <c r="HS88" s="267"/>
      <c r="HT88" s="267"/>
      <c r="HU88" s="267"/>
      <c r="IH88" s="267"/>
      <c r="IK88" s="267"/>
      <c r="IN88" s="267"/>
      <c r="IQ88" s="267"/>
      <c r="IR88" s="267"/>
      <c r="IS88" s="267"/>
      <c r="IT88" s="274"/>
      <c r="IU88" s="274"/>
      <c r="IV88" s="272"/>
      <c r="IW88" s="274"/>
      <c r="IX88" s="274"/>
      <c r="IY88" s="272"/>
    </row>
    <row r="89" spans="10:259">
      <c r="J89" s="267"/>
      <c r="K89" s="267"/>
      <c r="L89" s="267"/>
      <c r="M89" s="267"/>
      <c r="N89" s="267"/>
      <c r="O89" s="267"/>
      <c r="P89" s="267"/>
      <c r="Q89" s="267"/>
      <c r="S89" s="267"/>
      <c r="T89" s="267"/>
      <c r="U89" s="267"/>
      <c r="V89" s="267"/>
      <c r="W89" s="264"/>
      <c r="Y89" s="267"/>
      <c r="Z89" s="267"/>
      <c r="AA89" s="267"/>
      <c r="AB89" s="267"/>
      <c r="AE89" s="267"/>
      <c r="AF89" s="267"/>
      <c r="AG89" s="267"/>
      <c r="AH89" s="267"/>
      <c r="AK89" s="267"/>
      <c r="AL89" s="267"/>
      <c r="AM89" s="267"/>
      <c r="AN89" s="267"/>
      <c r="AQ89" s="267"/>
      <c r="AR89" s="267"/>
      <c r="AS89" s="267"/>
      <c r="AT89" s="267"/>
      <c r="AW89" s="267"/>
      <c r="AX89" s="267"/>
      <c r="AY89" s="267"/>
      <c r="AZ89" s="267"/>
      <c r="BG89" s="269"/>
      <c r="BM89" s="269"/>
      <c r="BS89" s="269"/>
      <c r="BU89" s="267"/>
      <c r="BY89" s="267"/>
      <c r="CC89" s="267"/>
      <c r="CG89" s="267"/>
      <c r="CS89" s="267"/>
      <c r="CW89" s="270"/>
      <c r="CX89" s="267"/>
      <c r="DC89" s="267"/>
      <c r="DH89" s="267"/>
      <c r="DM89" s="267"/>
      <c r="DR89" s="267"/>
      <c r="DW89" s="267"/>
      <c r="EB89" s="267"/>
      <c r="EG89" s="267"/>
      <c r="EL89" s="267"/>
      <c r="EQ89" s="267"/>
      <c r="EU89" s="270"/>
      <c r="EV89" s="267"/>
      <c r="FC89" s="267"/>
      <c r="FD89" s="267"/>
      <c r="FE89" s="267"/>
      <c r="FF89" s="267"/>
      <c r="FG89" s="267"/>
      <c r="FL89" s="267"/>
      <c r="FM89" s="267"/>
      <c r="FN89" s="267"/>
      <c r="FO89" s="267"/>
      <c r="FP89" s="267"/>
      <c r="FQ89" s="264"/>
      <c r="FR89" s="264"/>
      <c r="FS89" s="264"/>
      <c r="FT89" s="264"/>
      <c r="FU89" s="267"/>
      <c r="FV89" s="267"/>
      <c r="FW89" s="267"/>
      <c r="FX89" s="267"/>
      <c r="FY89" s="267"/>
      <c r="GD89" s="267"/>
      <c r="GE89" s="267"/>
      <c r="GF89" s="267"/>
      <c r="GG89" s="267"/>
      <c r="GH89" s="267"/>
      <c r="GI89" s="264"/>
      <c r="GJ89" s="264"/>
      <c r="GK89" s="264"/>
      <c r="GL89" s="264"/>
      <c r="HD89" s="267"/>
      <c r="HE89" s="267"/>
      <c r="HF89" s="267"/>
      <c r="HG89" s="267"/>
      <c r="HH89" s="267"/>
      <c r="HI89" s="267"/>
      <c r="HJ89" s="267"/>
      <c r="HK89" s="267"/>
      <c r="HL89" s="267"/>
      <c r="HM89" s="267"/>
      <c r="HN89" s="267"/>
      <c r="HO89" s="267"/>
      <c r="HP89" s="267"/>
      <c r="HQ89" s="267"/>
      <c r="HR89" s="267"/>
      <c r="HS89" s="267"/>
      <c r="HT89" s="267"/>
      <c r="HU89" s="267"/>
      <c r="IH89" s="267"/>
      <c r="IK89" s="267"/>
      <c r="IN89" s="267"/>
      <c r="IQ89" s="267"/>
      <c r="IR89" s="267"/>
      <c r="IS89" s="267"/>
      <c r="IT89" s="274"/>
      <c r="IU89" s="274"/>
      <c r="IV89" s="272"/>
      <c r="IW89" s="274"/>
      <c r="IX89" s="274"/>
      <c r="IY89" s="272"/>
    </row>
    <row r="90" spans="10:259">
      <c r="J90" s="267"/>
      <c r="K90" s="267"/>
      <c r="L90" s="267"/>
      <c r="M90" s="267"/>
      <c r="N90" s="267"/>
      <c r="O90" s="267"/>
      <c r="P90" s="267"/>
      <c r="Q90" s="267"/>
      <c r="S90" s="267"/>
      <c r="T90" s="267"/>
      <c r="U90" s="267"/>
      <c r="V90" s="267"/>
      <c r="W90" s="264"/>
      <c r="Y90" s="267"/>
      <c r="Z90" s="267"/>
      <c r="AA90" s="267"/>
      <c r="AB90" s="267"/>
      <c r="AE90" s="267"/>
      <c r="AF90" s="267"/>
      <c r="AG90" s="267"/>
      <c r="AH90" s="267"/>
      <c r="AK90" s="267"/>
      <c r="AL90" s="267"/>
      <c r="AM90" s="267"/>
      <c r="AN90" s="267"/>
      <c r="AQ90" s="267"/>
      <c r="AR90" s="267"/>
      <c r="AS90" s="267"/>
      <c r="AT90" s="267"/>
      <c r="AW90" s="267"/>
      <c r="AX90" s="267"/>
      <c r="AY90" s="267"/>
      <c r="AZ90" s="267"/>
      <c r="BG90" s="269"/>
      <c r="BM90" s="269"/>
      <c r="BS90" s="269"/>
      <c r="BU90" s="267"/>
      <c r="BY90" s="267"/>
      <c r="CC90" s="267"/>
      <c r="CG90" s="267"/>
      <c r="CS90" s="267"/>
      <c r="CW90" s="270"/>
      <c r="CX90" s="267"/>
      <c r="DC90" s="267"/>
      <c r="DH90" s="267"/>
      <c r="DM90" s="267"/>
      <c r="DR90" s="267"/>
      <c r="DW90" s="267"/>
      <c r="EB90" s="267"/>
      <c r="EG90" s="267"/>
      <c r="EL90" s="267"/>
      <c r="EQ90" s="267"/>
      <c r="EU90" s="270"/>
      <c r="EV90" s="267"/>
      <c r="FC90" s="267"/>
      <c r="FD90" s="267"/>
      <c r="FE90" s="267"/>
      <c r="FF90" s="267"/>
      <c r="FG90" s="267"/>
      <c r="FL90" s="267"/>
      <c r="FM90" s="267"/>
      <c r="FN90" s="267"/>
      <c r="FO90" s="267"/>
      <c r="FP90" s="267"/>
      <c r="FQ90" s="264"/>
      <c r="FR90" s="264"/>
      <c r="FS90" s="264"/>
      <c r="FT90" s="264"/>
      <c r="FU90" s="267"/>
      <c r="FV90" s="267"/>
      <c r="FW90" s="267"/>
      <c r="FX90" s="267"/>
      <c r="FY90" s="267"/>
      <c r="GD90" s="267"/>
      <c r="GE90" s="267"/>
      <c r="GF90" s="267"/>
      <c r="GG90" s="267"/>
      <c r="GH90" s="267"/>
      <c r="GI90" s="264"/>
      <c r="GJ90" s="264"/>
      <c r="GK90" s="264"/>
      <c r="GL90" s="264"/>
      <c r="HD90" s="267"/>
      <c r="HE90" s="267"/>
      <c r="HF90" s="267"/>
      <c r="HG90" s="267"/>
      <c r="HH90" s="267"/>
      <c r="HI90" s="267"/>
      <c r="HJ90" s="267"/>
      <c r="HK90" s="267"/>
      <c r="HL90" s="267"/>
      <c r="HM90" s="267"/>
      <c r="HN90" s="267"/>
      <c r="HO90" s="267"/>
      <c r="HP90" s="267"/>
      <c r="HQ90" s="267"/>
      <c r="HR90" s="267"/>
      <c r="HS90" s="267"/>
      <c r="HT90" s="267"/>
      <c r="HU90" s="267"/>
      <c r="IH90" s="267"/>
      <c r="IK90" s="267"/>
      <c r="IN90" s="267"/>
      <c r="IQ90" s="267"/>
      <c r="IR90" s="267"/>
      <c r="IS90" s="267"/>
      <c r="IT90" s="274"/>
      <c r="IU90" s="274"/>
      <c r="IV90" s="272"/>
      <c r="IW90" s="274"/>
      <c r="IX90" s="274"/>
      <c r="IY90" s="272"/>
    </row>
    <row r="91" spans="10:259">
      <c r="J91" s="267"/>
      <c r="K91" s="267"/>
      <c r="L91" s="267"/>
      <c r="M91" s="267"/>
      <c r="N91" s="267"/>
      <c r="O91" s="267"/>
      <c r="P91" s="267"/>
      <c r="Q91" s="267"/>
      <c r="S91" s="267"/>
      <c r="T91" s="267"/>
      <c r="U91" s="267"/>
      <c r="V91" s="267"/>
      <c r="W91" s="264"/>
      <c r="Y91" s="267"/>
      <c r="Z91" s="267"/>
      <c r="AA91" s="267"/>
      <c r="AB91" s="267"/>
      <c r="AE91" s="267"/>
      <c r="AF91" s="267"/>
      <c r="AG91" s="267"/>
      <c r="AH91" s="267"/>
      <c r="AK91" s="267"/>
      <c r="AL91" s="267"/>
      <c r="AM91" s="267"/>
      <c r="AN91" s="267"/>
      <c r="AQ91" s="267"/>
      <c r="AR91" s="267"/>
      <c r="AS91" s="267"/>
      <c r="AT91" s="267"/>
      <c r="AW91" s="267"/>
      <c r="AX91" s="267"/>
      <c r="AY91" s="267"/>
      <c r="AZ91" s="267"/>
      <c r="BG91" s="269"/>
      <c r="BM91" s="269"/>
      <c r="BS91" s="269"/>
      <c r="BU91" s="267"/>
      <c r="BY91" s="267"/>
      <c r="CC91" s="267"/>
      <c r="CG91" s="267"/>
      <c r="CS91" s="267"/>
      <c r="CW91" s="270"/>
      <c r="CX91" s="267"/>
      <c r="DC91" s="267"/>
      <c r="DH91" s="267"/>
      <c r="DM91" s="267"/>
      <c r="DR91" s="267"/>
      <c r="DW91" s="267"/>
      <c r="EB91" s="267"/>
      <c r="EG91" s="267"/>
      <c r="EL91" s="267"/>
      <c r="EQ91" s="267"/>
      <c r="EU91" s="270"/>
      <c r="EV91" s="267"/>
      <c r="FC91" s="267"/>
      <c r="FD91" s="267"/>
      <c r="FE91" s="267"/>
      <c r="FF91" s="267"/>
      <c r="FG91" s="267"/>
      <c r="FL91" s="267"/>
      <c r="FM91" s="267"/>
      <c r="FN91" s="267"/>
      <c r="FO91" s="267"/>
      <c r="FP91" s="267"/>
      <c r="FQ91" s="264"/>
      <c r="FR91" s="264"/>
      <c r="FS91" s="264"/>
      <c r="FT91" s="264"/>
      <c r="FU91" s="267"/>
      <c r="FV91" s="267"/>
      <c r="FW91" s="267"/>
      <c r="FX91" s="267"/>
      <c r="FY91" s="267"/>
      <c r="GD91" s="267"/>
      <c r="GE91" s="267"/>
      <c r="GF91" s="267"/>
      <c r="GG91" s="267"/>
      <c r="GH91" s="267"/>
      <c r="GI91" s="264"/>
      <c r="GJ91" s="264"/>
      <c r="GK91" s="264"/>
      <c r="GL91" s="264"/>
      <c r="HD91" s="267"/>
      <c r="HE91" s="267"/>
      <c r="HF91" s="267"/>
      <c r="HG91" s="267"/>
      <c r="HH91" s="267"/>
      <c r="HI91" s="267"/>
      <c r="HJ91" s="267"/>
      <c r="HK91" s="267"/>
      <c r="HL91" s="267"/>
      <c r="HM91" s="267"/>
      <c r="HN91" s="267"/>
      <c r="HO91" s="267"/>
      <c r="HP91" s="267"/>
      <c r="HQ91" s="267"/>
      <c r="HR91" s="267"/>
      <c r="HS91" s="267"/>
      <c r="HT91" s="267"/>
      <c r="HU91" s="267"/>
      <c r="IH91" s="267"/>
      <c r="IK91" s="267"/>
      <c r="IN91" s="267"/>
      <c r="IQ91" s="267"/>
      <c r="IR91" s="267"/>
      <c r="IS91" s="267"/>
      <c r="IT91" s="274"/>
      <c r="IU91" s="274"/>
      <c r="IV91" s="272"/>
      <c r="IW91" s="274"/>
      <c r="IX91" s="274"/>
      <c r="IY91" s="272"/>
    </row>
    <row r="92" spans="10:259">
      <c r="J92" s="267"/>
      <c r="K92" s="267"/>
      <c r="L92" s="267"/>
      <c r="M92" s="267"/>
      <c r="N92" s="267"/>
      <c r="O92" s="267"/>
      <c r="P92" s="267"/>
      <c r="Q92" s="267"/>
      <c r="S92" s="267"/>
      <c r="T92" s="267"/>
      <c r="U92" s="267"/>
      <c r="V92" s="267"/>
      <c r="W92" s="264"/>
      <c r="Y92" s="267"/>
      <c r="Z92" s="267"/>
      <c r="AA92" s="267"/>
      <c r="AB92" s="267"/>
      <c r="AE92" s="267"/>
      <c r="AF92" s="267"/>
      <c r="AG92" s="267"/>
      <c r="AH92" s="267"/>
      <c r="AK92" s="267"/>
      <c r="AL92" s="267"/>
      <c r="AM92" s="267"/>
      <c r="AN92" s="267"/>
      <c r="AQ92" s="267"/>
      <c r="AR92" s="267"/>
      <c r="AS92" s="267"/>
      <c r="AT92" s="267"/>
      <c r="AW92" s="267"/>
      <c r="AX92" s="267"/>
      <c r="AY92" s="267"/>
      <c r="AZ92" s="267"/>
      <c r="BG92" s="269"/>
      <c r="BM92" s="269"/>
      <c r="BS92" s="269"/>
      <c r="BU92" s="267"/>
      <c r="BY92" s="267"/>
      <c r="CC92" s="267"/>
      <c r="CG92" s="267"/>
      <c r="CS92" s="267"/>
      <c r="CW92" s="270"/>
      <c r="CX92" s="267"/>
      <c r="DC92" s="267"/>
      <c r="DH92" s="267"/>
      <c r="DM92" s="267"/>
      <c r="DR92" s="267"/>
      <c r="DW92" s="267"/>
      <c r="EB92" s="267"/>
      <c r="EG92" s="267"/>
      <c r="EL92" s="267"/>
      <c r="EQ92" s="267"/>
      <c r="EU92" s="270"/>
      <c r="EV92" s="267"/>
      <c r="FC92" s="267"/>
      <c r="FD92" s="267"/>
      <c r="FE92" s="267"/>
      <c r="FF92" s="267"/>
      <c r="FG92" s="267"/>
      <c r="FL92" s="267"/>
      <c r="FM92" s="267"/>
      <c r="FN92" s="267"/>
      <c r="FO92" s="267"/>
      <c r="FP92" s="267"/>
      <c r="FQ92" s="264"/>
      <c r="FR92" s="264"/>
      <c r="FS92" s="264"/>
      <c r="FT92" s="264"/>
      <c r="FU92" s="267"/>
      <c r="FV92" s="267"/>
      <c r="FW92" s="267"/>
      <c r="FX92" s="267"/>
      <c r="FY92" s="267"/>
      <c r="GD92" s="267"/>
      <c r="GE92" s="267"/>
      <c r="GF92" s="267"/>
      <c r="GG92" s="267"/>
      <c r="GH92" s="267"/>
      <c r="GI92" s="264"/>
      <c r="GJ92" s="264"/>
      <c r="GK92" s="264"/>
      <c r="GL92" s="264"/>
      <c r="HD92" s="267"/>
      <c r="HE92" s="267"/>
      <c r="HF92" s="267"/>
      <c r="HG92" s="267"/>
      <c r="HH92" s="267"/>
      <c r="HI92" s="267"/>
      <c r="HJ92" s="267"/>
      <c r="HK92" s="267"/>
      <c r="HL92" s="267"/>
      <c r="HM92" s="267"/>
      <c r="HN92" s="267"/>
      <c r="HO92" s="267"/>
      <c r="HP92" s="267"/>
      <c r="HQ92" s="267"/>
      <c r="HR92" s="267"/>
      <c r="HS92" s="267"/>
      <c r="HT92" s="267"/>
      <c r="HU92" s="267"/>
      <c r="IH92" s="267"/>
      <c r="IK92" s="267"/>
      <c r="IN92" s="267"/>
      <c r="IQ92" s="267"/>
      <c r="IR92" s="267"/>
      <c r="IS92" s="267"/>
      <c r="IT92" s="274"/>
      <c r="IU92" s="274"/>
      <c r="IV92" s="272"/>
      <c r="IW92" s="274"/>
      <c r="IX92" s="274"/>
      <c r="IY92" s="272"/>
    </row>
    <row r="93" spans="10:259">
      <c r="J93" s="267"/>
      <c r="K93" s="267"/>
      <c r="L93" s="267"/>
      <c r="M93" s="267"/>
      <c r="N93" s="267"/>
      <c r="O93" s="267"/>
      <c r="P93" s="267"/>
      <c r="Q93" s="267"/>
      <c r="S93" s="267"/>
      <c r="T93" s="267"/>
      <c r="U93" s="267"/>
      <c r="V93" s="267"/>
      <c r="W93" s="264"/>
      <c r="Y93" s="267"/>
      <c r="Z93" s="267"/>
      <c r="AA93" s="267"/>
      <c r="AB93" s="267"/>
      <c r="AE93" s="267"/>
      <c r="AF93" s="267"/>
      <c r="AG93" s="267"/>
      <c r="AH93" s="267"/>
      <c r="AK93" s="267"/>
      <c r="AL93" s="267"/>
      <c r="AM93" s="267"/>
      <c r="AN93" s="267"/>
      <c r="AQ93" s="267"/>
      <c r="AR93" s="267"/>
      <c r="AS93" s="267"/>
      <c r="AT93" s="267"/>
      <c r="AW93" s="267"/>
      <c r="AX93" s="267"/>
      <c r="AY93" s="267"/>
      <c r="AZ93" s="267"/>
      <c r="BG93" s="269"/>
      <c r="BM93" s="269"/>
      <c r="BS93" s="269"/>
      <c r="BU93" s="267"/>
      <c r="BY93" s="267"/>
      <c r="CC93" s="267"/>
      <c r="CG93" s="267"/>
      <c r="CS93" s="267"/>
      <c r="CW93" s="270"/>
      <c r="CX93" s="267"/>
      <c r="DC93" s="267"/>
      <c r="DH93" s="267"/>
      <c r="DM93" s="267"/>
      <c r="DR93" s="267"/>
      <c r="DW93" s="267"/>
      <c r="EB93" s="267"/>
      <c r="EG93" s="267"/>
      <c r="EL93" s="267"/>
      <c r="EQ93" s="267"/>
      <c r="EU93" s="270"/>
      <c r="EV93" s="267"/>
      <c r="FC93" s="267"/>
      <c r="FD93" s="267"/>
      <c r="FE93" s="267"/>
      <c r="FF93" s="267"/>
      <c r="FG93" s="267"/>
      <c r="FL93" s="267"/>
      <c r="FM93" s="267"/>
      <c r="FN93" s="267"/>
      <c r="FO93" s="267"/>
      <c r="FP93" s="267"/>
      <c r="FQ93" s="264"/>
      <c r="FR93" s="264"/>
      <c r="FS93" s="264"/>
      <c r="FT93" s="264"/>
      <c r="FU93" s="267"/>
      <c r="FV93" s="267"/>
      <c r="FW93" s="267"/>
      <c r="FX93" s="267"/>
      <c r="FY93" s="267"/>
      <c r="GD93" s="267"/>
      <c r="GE93" s="267"/>
      <c r="GF93" s="267"/>
      <c r="GG93" s="267"/>
      <c r="GH93" s="267"/>
      <c r="GI93" s="264"/>
      <c r="GJ93" s="264"/>
      <c r="GK93" s="264"/>
      <c r="GL93" s="264"/>
      <c r="HD93" s="267"/>
      <c r="HE93" s="267"/>
      <c r="HF93" s="267"/>
      <c r="HG93" s="267"/>
      <c r="HH93" s="267"/>
      <c r="HI93" s="267"/>
      <c r="HJ93" s="267"/>
      <c r="HK93" s="267"/>
      <c r="HL93" s="267"/>
      <c r="HM93" s="267"/>
      <c r="HN93" s="267"/>
      <c r="HO93" s="267"/>
      <c r="HP93" s="267"/>
      <c r="HQ93" s="267"/>
      <c r="HR93" s="267"/>
      <c r="HS93" s="267"/>
      <c r="HT93" s="267"/>
      <c r="HU93" s="267"/>
      <c r="IH93" s="267"/>
      <c r="IK93" s="267"/>
      <c r="IN93" s="267"/>
      <c r="IQ93" s="267"/>
      <c r="IR93" s="267"/>
      <c r="IS93" s="267"/>
      <c r="IT93" s="274"/>
      <c r="IU93" s="274"/>
      <c r="IV93" s="272"/>
      <c r="IW93" s="274"/>
      <c r="IX93" s="274"/>
      <c r="IY93" s="272"/>
    </row>
    <row r="94" spans="10:259">
      <c r="J94" s="267"/>
      <c r="K94" s="267"/>
      <c r="L94" s="267"/>
      <c r="M94" s="267"/>
      <c r="N94" s="267"/>
      <c r="O94" s="267"/>
      <c r="P94" s="267"/>
      <c r="Q94" s="267"/>
      <c r="S94" s="267"/>
      <c r="T94" s="267"/>
      <c r="U94" s="267"/>
      <c r="V94" s="267"/>
      <c r="W94" s="264"/>
      <c r="Y94" s="267"/>
      <c r="Z94" s="267"/>
      <c r="AA94" s="267"/>
      <c r="AB94" s="267"/>
      <c r="AE94" s="267"/>
      <c r="AF94" s="267"/>
      <c r="AG94" s="267"/>
      <c r="AH94" s="267"/>
      <c r="AK94" s="267"/>
      <c r="AL94" s="267"/>
      <c r="AM94" s="267"/>
      <c r="AN94" s="267"/>
      <c r="AQ94" s="267"/>
      <c r="AR94" s="267"/>
      <c r="AS94" s="267"/>
      <c r="AT94" s="267"/>
      <c r="AW94" s="267"/>
      <c r="AX94" s="267"/>
      <c r="AY94" s="267"/>
      <c r="AZ94" s="267"/>
      <c r="BG94" s="269"/>
      <c r="BM94" s="269"/>
      <c r="BS94" s="269"/>
      <c r="BU94" s="267"/>
      <c r="BY94" s="267"/>
      <c r="CC94" s="267"/>
      <c r="CG94" s="267"/>
      <c r="CS94" s="267"/>
      <c r="CW94" s="270"/>
      <c r="CX94" s="267"/>
      <c r="DC94" s="267"/>
      <c r="DH94" s="267"/>
      <c r="DM94" s="267"/>
      <c r="DR94" s="267"/>
      <c r="DW94" s="267"/>
      <c r="EB94" s="267"/>
      <c r="EG94" s="267"/>
      <c r="EL94" s="267"/>
      <c r="EQ94" s="267"/>
      <c r="EU94" s="270"/>
      <c r="EV94" s="267"/>
      <c r="FC94" s="267"/>
      <c r="FD94" s="267"/>
      <c r="FE94" s="267"/>
      <c r="FF94" s="267"/>
      <c r="FG94" s="267"/>
      <c r="FL94" s="267"/>
      <c r="FM94" s="267"/>
      <c r="FN94" s="267"/>
      <c r="FO94" s="267"/>
      <c r="FP94" s="267"/>
      <c r="FQ94" s="264"/>
      <c r="FR94" s="264"/>
      <c r="FS94" s="264"/>
      <c r="FT94" s="264"/>
      <c r="FU94" s="267"/>
      <c r="FV94" s="267"/>
      <c r="FW94" s="267"/>
      <c r="FX94" s="267"/>
      <c r="FY94" s="267"/>
      <c r="GD94" s="267"/>
      <c r="GE94" s="267"/>
      <c r="GF94" s="267"/>
      <c r="GG94" s="267"/>
      <c r="GH94" s="267"/>
      <c r="GI94" s="264"/>
      <c r="GJ94" s="264"/>
      <c r="GK94" s="264"/>
      <c r="GL94" s="264"/>
      <c r="HD94" s="267"/>
      <c r="HE94" s="267"/>
      <c r="HF94" s="267"/>
      <c r="HG94" s="267"/>
      <c r="HH94" s="267"/>
      <c r="HI94" s="267"/>
      <c r="HJ94" s="267"/>
      <c r="HK94" s="267"/>
      <c r="HL94" s="267"/>
      <c r="HM94" s="267"/>
      <c r="HN94" s="267"/>
      <c r="HO94" s="267"/>
      <c r="HP94" s="267"/>
      <c r="HQ94" s="267"/>
      <c r="HR94" s="267"/>
      <c r="HS94" s="267"/>
      <c r="HT94" s="267"/>
      <c r="HU94" s="267"/>
      <c r="IH94" s="267"/>
      <c r="IK94" s="267"/>
      <c r="IN94" s="267"/>
      <c r="IQ94" s="267"/>
      <c r="IR94" s="267"/>
      <c r="IS94" s="267"/>
      <c r="IT94" s="274"/>
      <c r="IU94" s="274"/>
      <c r="IV94" s="272"/>
      <c r="IW94" s="274"/>
      <c r="IX94" s="274"/>
      <c r="IY94" s="272"/>
    </row>
    <row r="95" spans="10:259">
      <c r="J95" s="267"/>
      <c r="K95" s="267"/>
      <c r="L95" s="267"/>
      <c r="M95" s="267"/>
      <c r="N95" s="267"/>
      <c r="O95" s="267"/>
      <c r="P95" s="267"/>
      <c r="Q95" s="267"/>
      <c r="S95" s="267"/>
      <c r="T95" s="267"/>
      <c r="U95" s="267"/>
      <c r="V95" s="267"/>
      <c r="W95" s="264"/>
      <c r="Y95" s="267"/>
      <c r="Z95" s="267"/>
      <c r="AA95" s="267"/>
      <c r="AB95" s="267"/>
      <c r="AE95" s="267"/>
      <c r="AF95" s="267"/>
      <c r="AG95" s="267"/>
      <c r="AH95" s="267"/>
      <c r="AK95" s="267"/>
      <c r="AL95" s="267"/>
      <c r="AM95" s="267"/>
      <c r="AN95" s="267"/>
      <c r="AQ95" s="267"/>
      <c r="AR95" s="267"/>
      <c r="AS95" s="267"/>
      <c r="AT95" s="267"/>
      <c r="AW95" s="267"/>
      <c r="AX95" s="267"/>
      <c r="AY95" s="267"/>
      <c r="AZ95" s="267"/>
      <c r="BG95" s="269"/>
      <c r="BM95" s="269"/>
      <c r="BS95" s="269"/>
      <c r="BU95" s="267"/>
      <c r="BY95" s="267"/>
      <c r="CC95" s="267"/>
      <c r="CG95" s="267"/>
      <c r="CS95" s="267"/>
      <c r="CW95" s="270"/>
      <c r="CX95" s="267"/>
      <c r="DC95" s="267"/>
      <c r="DH95" s="267"/>
      <c r="DM95" s="267"/>
      <c r="DR95" s="267"/>
      <c r="DW95" s="267"/>
      <c r="EB95" s="267"/>
      <c r="EG95" s="267"/>
      <c r="EL95" s="267"/>
      <c r="EQ95" s="267"/>
      <c r="EU95" s="270"/>
      <c r="EV95" s="267"/>
      <c r="FC95" s="267"/>
      <c r="FD95" s="267"/>
      <c r="FE95" s="267"/>
      <c r="FF95" s="267"/>
      <c r="FG95" s="267"/>
      <c r="FL95" s="267"/>
      <c r="FM95" s="267"/>
      <c r="FN95" s="267"/>
      <c r="FO95" s="267"/>
      <c r="FP95" s="267"/>
      <c r="FQ95" s="264"/>
      <c r="FR95" s="264"/>
      <c r="FS95" s="264"/>
      <c r="FT95" s="264"/>
      <c r="FU95" s="267"/>
      <c r="FV95" s="267"/>
      <c r="FW95" s="267"/>
      <c r="FX95" s="267"/>
      <c r="FY95" s="267"/>
      <c r="GD95" s="267"/>
      <c r="GE95" s="267"/>
      <c r="GF95" s="267"/>
      <c r="GG95" s="267"/>
      <c r="GH95" s="267"/>
      <c r="GI95" s="264"/>
      <c r="GJ95" s="264"/>
      <c r="GK95" s="264"/>
      <c r="GL95" s="264"/>
      <c r="HD95" s="267"/>
      <c r="HE95" s="267"/>
      <c r="HF95" s="267"/>
      <c r="HG95" s="267"/>
      <c r="HH95" s="267"/>
      <c r="HI95" s="267"/>
      <c r="HJ95" s="267"/>
      <c r="HK95" s="267"/>
      <c r="HL95" s="267"/>
      <c r="HM95" s="267"/>
      <c r="HN95" s="267"/>
      <c r="HO95" s="267"/>
      <c r="HP95" s="267"/>
      <c r="HQ95" s="267"/>
      <c r="HR95" s="267"/>
      <c r="HS95" s="267"/>
      <c r="HT95" s="267"/>
      <c r="HU95" s="267"/>
      <c r="IH95" s="267"/>
      <c r="IK95" s="267"/>
      <c r="IN95" s="267"/>
      <c r="IQ95" s="267"/>
      <c r="IR95" s="267"/>
      <c r="IS95" s="267"/>
      <c r="IT95" s="274"/>
      <c r="IU95" s="274"/>
      <c r="IV95" s="272"/>
      <c r="IW95" s="274"/>
      <c r="IX95" s="274"/>
      <c r="IY95" s="272"/>
    </row>
    <row r="96" spans="10:259">
      <c r="J96" s="267"/>
      <c r="K96" s="267"/>
      <c r="L96" s="267"/>
      <c r="M96" s="267"/>
      <c r="N96" s="267"/>
      <c r="O96" s="267"/>
      <c r="P96" s="267"/>
      <c r="Q96" s="267"/>
      <c r="S96" s="267"/>
      <c r="T96" s="267"/>
      <c r="U96" s="267"/>
      <c r="V96" s="267"/>
      <c r="W96" s="264"/>
      <c r="Y96" s="267"/>
      <c r="Z96" s="267"/>
      <c r="AA96" s="267"/>
      <c r="AB96" s="267"/>
      <c r="AE96" s="267"/>
      <c r="AF96" s="267"/>
      <c r="AG96" s="267"/>
      <c r="AH96" s="267"/>
      <c r="AK96" s="267"/>
      <c r="AL96" s="267"/>
      <c r="AM96" s="267"/>
      <c r="AN96" s="267"/>
      <c r="AQ96" s="267"/>
      <c r="AR96" s="267"/>
      <c r="AS96" s="267"/>
      <c r="AT96" s="267"/>
      <c r="AW96" s="267"/>
      <c r="AX96" s="267"/>
      <c r="AY96" s="267"/>
      <c r="AZ96" s="267"/>
      <c r="BG96" s="269"/>
      <c r="BM96" s="269"/>
      <c r="BS96" s="269"/>
      <c r="BU96" s="267"/>
      <c r="BY96" s="267"/>
      <c r="CC96" s="267"/>
      <c r="CG96" s="267"/>
      <c r="CS96" s="267"/>
      <c r="CW96" s="270"/>
      <c r="CX96" s="267"/>
      <c r="DC96" s="267"/>
      <c r="DH96" s="267"/>
      <c r="DM96" s="267"/>
      <c r="DR96" s="267"/>
      <c r="DW96" s="267"/>
      <c r="EB96" s="267"/>
      <c r="EG96" s="267"/>
      <c r="EL96" s="267"/>
      <c r="EQ96" s="267"/>
      <c r="EU96" s="270"/>
      <c r="EV96" s="267"/>
      <c r="FC96" s="267"/>
      <c r="FD96" s="267"/>
      <c r="FE96" s="267"/>
      <c r="FF96" s="267"/>
      <c r="FG96" s="267"/>
      <c r="FL96" s="267"/>
      <c r="FM96" s="267"/>
      <c r="FN96" s="267"/>
      <c r="FO96" s="267"/>
      <c r="FP96" s="267"/>
      <c r="FQ96" s="264"/>
      <c r="FR96" s="264"/>
      <c r="FS96" s="264"/>
      <c r="FT96" s="264"/>
      <c r="FU96" s="267"/>
      <c r="FV96" s="267"/>
      <c r="FW96" s="267"/>
      <c r="FX96" s="267"/>
      <c r="FY96" s="267"/>
      <c r="GD96" s="267"/>
      <c r="GE96" s="267"/>
      <c r="GF96" s="267"/>
      <c r="GG96" s="267"/>
      <c r="GH96" s="267"/>
      <c r="GI96" s="264"/>
      <c r="GJ96" s="264"/>
      <c r="GK96" s="264"/>
      <c r="GL96" s="264"/>
      <c r="HD96" s="267"/>
      <c r="HE96" s="267"/>
      <c r="HF96" s="267"/>
      <c r="HG96" s="267"/>
      <c r="HH96" s="267"/>
      <c r="HI96" s="267"/>
      <c r="HJ96" s="267"/>
      <c r="HK96" s="267"/>
      <c r="HL96" s="267"/>
      <c r="HM96" s="267"/>
      <c r="HN96" s="267"/>
      <c r="HO96" s="267"/>
      <c r="HP96" s="267"/>
      <c r="HQ96" s="267"/>
      <c r="HR96" s="267"/>
      <c r="HS96" s="267"/>
      <c r="HT96" s="267"/>
      <c r="HU96" s="267"/>
      <c r="IH96" s="267"/>
      <c r="IK96" s="267"/>
      <c r="IN96" s="267"/>
      <c r="IQ96" s="267"/>
      <c r="IR96" s="267"/>
      <c r="IS96" s="267"/>
      <c r="IT96" s="274"/>
      <c r="IU96" s="274"/>
      <c r="IV96" s="272"/>
      <c r="IW96" s="274"/>
      <c r="IX96" s="274"/>
      <c r="IY96" s="272"/>
    </row>
    <row r="97" spans="10:259">
      <c r="J97" s="267"/>
      <c r="K97" s="267"/>
      <c r="L97" s="267"/>
      <c r="M97" s="267"/>
      <c r="N97" s="267"/>
      <c r="O97" s="267"/>
      <c r="P97" s="267"/>
      <c r="Q97" s="267"/>
      <c r="S97" s="267"/>
      <c r="T97" s="267"/>
      <c r="U97" s="267"/>
      <c r="V97" s="267"/>
      <c r="W97" s="264"/>
      <c r="Y97" s="267"/>
      <c r="Z97" s="267"/>
      <c r="AA97" s="267"/>
      <c r="AB97" s="267"/>
      <c r="AE97" s="267"/>
      <c r="AF97" s="267"/>
      <c r="AG97" s="267"/>
      <c r="AH97" s="267"/>
      <c r="AK97" s="267"/>
      <c r="AL97" s="267"/>
      <c r="AM97" s="267"/>
      <c r="AN97" s="267"/>
      <c r="AQ97" s="267"/>
      <c r="AR97" s="267"/>
      <c r="AS97" s="267"/>
      <c r="AT97" s="267"/>
      <c r="AW97" s="267"/>
      <c r="AX97" s="267"/>
      <c r="AY97" s="267"/>
      <c r="AZ97" s="267"/>
      <c r="BG97" s="269"/>
      <c r="BM97" s="269"/>
      <c r="BS97" s="269"/>
      <c r="BU97" s="267"/>
      <c r="BY97" s="267"/>
      <c r="CC97" s="267"/>
      <c r="CG97" s="267"/>
      <c r="CS97" s="267"/>
      <c r="CW97" s="270"/>
      <c r="CX97" s="267"/>
      <c r="DC97" s="267"/>
      <c r="DH97" s="267"/>
      <c r="DM97" s="267"/>
      <c r="DR97" s="267"/>
      <c r="DW97" s="267"/>
      <c r="EB97" s="267"/>
      <c r="EG97" s="267"/>
      <c r="EL97" s="267"/>
      <c r="EQ97" s="267"/>
      <c r="EU97" s="270"/>
      <c r="EV97" s="267"/>
      <c r="FC97" s="267"/>
      <c r="FD97" s="267"/>
      <c r="FE97" s="267"/>
      <c r="FF97" s="267"/>
      <c r="FG97" s="267"/>
      <c r="FL97" s="267"/>
      <c r="FM97" s="267"/>
      <c r="FN97" s="267"/>
      <c r="FO97" s="267"/>
      <c r="FP97" s="267"/>
      <c r="FQ97" s="264"/>
      <c r="FR97" s="264"/>
      <c r="FS97" s="264"/>
      <c r="FT97" s="264"/>
      <c r="FU97" s="267"/>
      <c r="FV97" s="267"/>
      <c r="FW97" s="267"/>
      <c r="FX97" s="267"/>
      <c r="FY97" s="267"/>
      <c r="GD97" s="267"/>
      <c r="GE97" s="267"/>
      <c r="GF97" s="267"/>
      <c r="GG97" s="267"/>
      <c r="GH97" s="267"/>
      <c r="GI97" s="264"/>
      <c r="GJ97" s="264"/>
      <c r="GK97" s="264"/>
      <c r="GL97" s="264"/>
      <c r="HD97" s="267"/>
      <c r="HE97" s="267"/>
      <c r="HF97" s="267"/>
      <c r="HG97" s="267"/>
      <c r="HH97" s="267"/>
      <c r="HI97" s="267"/>
      <c r="HJ97" s="267"/>
      <c r="HK97" s="267"/>
      <c r="HL97" s="267"/>
      <c r="HM97" s="267"/>
      <c r="HN97" s="267"/>
      <c r="HO97" s="267"/>
      <c r="HP97" s="267"/>
      <c r="HQ97" s="267"/>
      <c r="HR97" s="267"/>
      <c r="HS97" s="267"/>
      <c r="HT97" s="267"/>
      <c r="HU97" s="267"/>
      <c r="IH97" s="267"/>
      <c r="IK97" s="267"/>
      <c r="IN97" s="267"/>
      <c r="IQ97" s="267"/>
      <c r="IR97" s="267"/>
      <c r="IS97" s="267"/>
      <c r="IT97" s="274"/>
      <c r="IU97" s="274"/>
      <c r="IV97" s="272"/>
      <c r="IW97" s="274"/>
      <c r="IX97" s="274"/>
      <c r="IY97" s="272"/>
    </row>
    <row r="98" spans="10:259">
      <c r="J98" s="267"/>
      <c r="K98" s="267"/>
      <c r="L98" s="267"/>
      <c r="M98" s="267"/>
      <c r="N98" s="267"/>
      <c r="O98" s="267"/>
      <c r="P98" s="267"/>
      <c r="Q98" s="267"/>
      <c r="S98" s="267"/>
      <c r="T98" s="267"/>
      <c r="U98" s="267"/>
      <c r="V98" s="267"/>
      <c r="W98" s="264"/>
      <c r="Y98" s="267"/>
      <c r="Z98" s="267"/>
      <c r="AA98" s="267"/>
      <c r="AB98" s="267"/>
      <c r="AE98" s="267"/>
      <c r="AF98" s="267"/>
      <c r="AG98" s="267"/>
      <c r="AH98" s="267"/>
      <c r="AK98" s="267"/>
      <c r="AL98" s="267"/>
      <c r="AM98" s="267"/>
      <c r="AN98" s="267"/>
      <c r="AQ98" s="267"/>
      <c r="AR98" s="267"/>
      <c r="AS98" s="267"/>
      <c r="AT98" s="267"/>
      <c r="AW98" s="267"/>
      <c r="AX98" s="267"/>
      <c r="AY98" s="267"/>
      <c r="AZ98" s="267"/>
      <c r="BG98" s="269"/>
      <c r="BM98" s="269"/>
      <c r="BS98" s="269"/>
      <c r="BU98" s="267"/>
      <c r="BY98" s="267"/>
      <c r="CC98" s="267"/>
      <c r="CG98" s="267"/>
      <c r="CS98" s="267"/>
      <c r="CW98" s="270"/>
      <c r="CX98" s="267"/>
      <c r="DC98" s="267"/>
      <c r="DH98" s="267"/>
      <c r="DM98" s="267"/>
      <c r="DR98" s="267"/>
      <c r="DW98" s="267"/>
      <c r="EB98" s="267"/>
      <c r="EG98" s="267"/>
      <c r="EL98" s="267"/>
      <c r="EQ98" s="267"/>
      <c r="EU98" s="270"/>
      <c r="EV98" s="267"/>
      <c r="FC98" s="267"/>
      <c r="FD98" s="267"/>
      <c r="FE98" s="267"/>
      <c r="FF98" s="267"/>
      <c r="FG98" s="267"/>
      <c r="FL98" s="267"/>
      <c r="FM98" s="267"/>
      <c r="FN98" s="267"/>
      <c r="FO98" s="267"/>
      <c r="FP98" s="267"/>
      <c r="FQ98" s="264"/>
      <c r="FR98" s="264"/>
      <c r="FS98" s="264"/>
      <c r="FT98" s="264"/>
      <c r="FU98" s="267"/>
      <c r="FV98" s="267"/>
      <c r="FW98" s="267"/>
      <c r="FX98" s="267"/>
      <c r="FY98" s="267"/>
      <c r="GD98" s="267"/>
      <c r="GE98" s="267"/>
      <c r="GF98" s="267"/>
      <c r="GG98" s="267"/>
      <c r="GH98" s="267"/>
      <c r="GI98" s="264"/>
      <c r="GJ98" s="264"/>
      <c r="GK98" s="264"/>
      <c r="GL98" s="264"/>
      <c r="HD98" s="267"/>
      <c r="HE98" s="267"/>
      <c r="HF98" s="267"/>
      <c r="HG98" s="267"/>
      <c r="HH98" s="267"/>
      <c r="HI98" s="267"/>
      <c r="HJ98" s="267"/>
      <c r="HK98" s="267"/>
      <c r="HL98" s="267"/>
      <c r="HM98" s="267"/>
      <c r="HN98" s="267"/>
      <c r="HO98" s="267"/>
      <c r="HP98" s="267"/>
      <c r="HQ98" s="267"/>
      <c r="HR98" s="267"/>
      <c r="HS98" s="267"/>
      <c r="HT98" s="267"/>
      <c r="HU98" s="267"/>
      <c r="IH98" s="267"/>
      <c r="IK98" s="267"/>
      <c r="IN98" s="267"/>
      <c r="IQ98" s="267"/>
      <c r="IR98" s="267"/>
      <c r="IS98" s="267"/>
      <c r="IT98" s="274"/>
      <c r="IU98" s="274"/>
      <c r="IV98" s="272"/>
      <c r="IW98" s="274"/>
      <c r="IX98" s="274"/>
      <c r="IY98" s="272"/>
    </row>
    <row r="99" spans="10:259">
      <c r="J99" s="267"/>
      <c r="K99" s="267"/>
      <c r="L99" s="267"/>
      <c r="M99" s="267"/>
      <c r="N99" s="267"/>
      <c r="O99" s="267"/>
      <c r="P99" s="267"/>
      <c r="Q99" s="267"/>
      <c r="S99" s="267"/>
      <c r="T99" s="267"/>
      <c r="U99" s="267"/>
      <c r="V99" s="267"/>
      <c r="W99" s="264"/>
      <c r="Y99" s="267"/>
      <c r="Z99" s="267"/>
      <c r="AA99" s="267"/>
      <c r="AB99" s="267"/>
      <c r="AE99" s="267"/>
      <c r="AF99" s="267"/>
      <c r="AG99" s="267"/>
      <c r="AH99" s="267"/>
      <c r="AK99" s="267"/>
      <c r="AL99" s="267"/>
      <c r="AM99" s="267"/>
      <c r="AN99" s="267"/>
      <c r="AQ99" s="267"/>
      <c r="AR99" s="267"/>
      <c r="AS99" s="267"/>
      <c r="AT99" s="267"/>
      <c r="AW99" s="267"/>
      <c r="AX99" s="267"/>
      <c r="AY99" s="267"/>
      <c r="AZ99" s="267"/>
      <c r="BG99" s="269"/>
      <c r="BM99" s="269"/>
      <c r="BS99" s="269"/>
      <c r="BU99" s="267"/>
      <c r="BY99" s="267"/>
      <c r="CC99" s="267"/>
      <c r="CG99" s="267"/>
      <c r="CS99" s="267"/>
      <c r="CW99" s="270"/>
      <c r="CX99" s="267"/>
      <c r="DC99" s="267"/>
      <c r="DH99" s="267"/>
      <c r="DM99" s="267"/>
      <c r="DR99" s="267"/>
      <c r="DW99" s="267"/>
      <c r="EB99" s="267"/>
      <c r="EG99" s="267"/>
      <c r="EL99" s="267"/>
      <c r="EQ99" s="267"/>
      <c r="EU99" s="270"/>
      <c r="EV99" s="267"/>
      <c r="FC99" s="267"/>
      <c r="FD99" s="267"/>
      <c r="FE99" s="267"/>
      <c r="FF99" s="267"/>
      <c r="FG99" s="267"/>
      <c r="FL99" s="267"/>
      <c r="FM99" s="267"/>
      <c r="FN99" s="267"/>
      <c r="FO99" s="267"/>
      <c r="FP99" s="267"/>
      <c r="FQ99" s="264"/>
      <c r="FR99" s="264"/>
      <c r="FS99" s="264"/>
      <c r="FT99" s="264"/>
      <c r="FU99" s="267"/>
      <c r="FV99" s="267"/>
      <c r="FW99" s="267"/>
      <c r="FX99" s="267"/>
      <c r="FY99" s="267"/>
      <c r="GD99" s="267"/>
      <c r="GE99" s="267"/>
      <c r="GF99" s="267"/>
      <c r="GG99" s="267"/>
      <c r="GH99" s="267"/>
      <c r="GI99" s="264"/>
      <c r="GJ99" s="264"/>
      <c r="GK99" s="264"/>
      <c r="GL99" s="264"/>
      <c r="HD99" s="267"/>
      <c r="HE99" s="267"/>
      <c r="HF99" s="267"/>
      <c r="HG99" s="267"/>
      <c r="HH99" s="267"/>
      <c r="HI99" s="267"/>
      <c r="HJ99" s="267"/>
      <c r="HK99" s="267"/>
      <c r="HL99" s="267"/>
      <c r="HM99" s="267"/>
      <c r="HN99" s="267"/>
      <c r="HO99" s="267"/>
      <c r="HP99" s="267"/>
      <c r="HQ99" s="267"/>
      <c r="HR99" s="267"/>
      <c r="HS99" s="267"/>
      <c r="HT99" s="267"/>
      <c r="HU99" s="267"/>
      <c r="IH99" s="267"/>
      <c r="IK99" s="267"/>
      <c r="IN99" s="267"/>
      <c r="IQ99" s="267"/>
      <c r="IR99" s="267"/>
      <c r="IS99" s="267"/>
      <c r="IT99" s="274"/>
      <c r="IU99" s="274"/>
      <c r="IV99" s="272"/>
      <c r="IW99" s="274"/>
      <c r="IX99" s="274"/>
      <c r="IY99" s="272"/>
    </row>
    <row r="100" spans="10:259">
      <c r="J100" s="267"/>
      <c r="K100" s="267"/>
      <c r="L100" s="267"/>
      <c r="M100" s="267"/>
      <c r="N100" s="267"/>
      <c r="O100" s="267"/>
      <c r="P100" s="267"/>
      <c r="Q100" s="267"/>
      <c r="S100" s="267"/>
      <c r="T100" s="267"/>
      <c r="U100" s="267"/>
      <c r="V100" s="267"/>
      <c r="W100" s="264"/>
      <c r="Y100" s="267"/>
      <c r="Z100" s="267"/>
      <c r="AA100" s="267"/>
      <c r="AB100" s="267"/>
      <c r="AE100" s="267"/>
      <c r="AF100" s="267"/>
      <c r="AG100" s="267"/>
      <c r="AH100" s="267"/>
      <c r="AK100" s="267"/>
      <c r="AL100" s="267"/>
      <c r="AM100" s="267"/>
      <c r="AN100" s="267"/>
      <c r="AQ100" s="267"/>
      <c r="AR100" s="267"/>
      <c r="AS100" s="267"/>
      <c r="AT100" s="267"/>
      <c r="AW100" s="267"/>
      <c r="AX100" s="267"/>
      <c r="AY100" s="267"/>
      <c r="AZ100" s="267"/>
      <c r="BG100" s="269"/>
      <c r="BM100" s="269"/>
      <c r="BS100" s="269"/>
      <c r="BU100" s="267"/>
      <c r="BY100" s="267"/>
      <c r="CC100" s="267"/>
      <c r="CG100" s="267"/>
      <c r="CS100" s="267"/>
      <c r="CW100" s="270"/>
      <c r="CX100" s="267"/>
      <c r="DC100" s="267"/>
      <c r="DH100" s="267"/>
      <c r="DM100" s="267"/>
      <c r="DR100" s="267"/>
      <c r="DW100" s="267"/>
      <c r="EB100" s="267"/>
      <c r="EG100" s="267"/>
      <c r="EL100" s="267"/>
      <c r="EQ100" s="267"/>
      <c r="EU100" s="270"/>
      <c r="EV100" s="267"/>
      <c r="FC100" s="267"/>
      <c r="FD100" s="267"/>
      <c r="FE100" s="267"/>
      <c r="FF100" s="267"/>
      <c r="FG100" s="267"/>
      <c r="FL100" s="267"/>
      <c r="FM100" s="267"/>
      <c r="FN100" s="267"/>
      <c r="FO100" s="267"/>
      <c r="FP100" s="267"/>
      <c r="FQ100" s="264"/>
      <c r="FR100" s="264"/>
      <c r="FS100" s="264"/>
      <c r="FT100" s="264"/>
      <c r="FU100" s="267"/>
      <c r="FV100" s="267"/>
      <c r="FW100" s="267"/>
      <c r="FX100" s="267"/>
      <c r="FY100" s="267"/>
      <c r="GD100" s="267"/>
      <c r="GE100" s="267"/>
      <c r="GF100" s="267"/>
      <c r="GG100" s="267"/>
      <c r="GH100" s="267"/>
      <c r="GI100" s="264"/>
      <c r="GJ100" s="264"/>
      <c r="GK100" s="264"/>
      <c r="GL100" s="264"/>
      <c r="HD100" s="267"/>
      <c r="HE100" s="267"/>
      <c r="HF100" s="267"/>
      <c r="HG100" s="267"/>
      <c r="HH100" s="267"/>
      <c r="HI100" s="267"/>
      <c r="HJ100" s="267"/>
      <c r="HK100" s="267"/>
      <c r="HL100" s="267"/>
      <c r="HM100" s="267"/>
      <c r="HN100" s="267"/>
      <c r="HO100" s="267"/>
      <c r="HP100" s="267"/>
      <c r="HQ100" s="267"/>
      <c r="HR100" s="267"/>
      <c r="HS100" s="267"/>
      <c r="HT100" s="267"/>
      <c r="HU100" s="267"/>
      <c r="IH100" s="267"/>
      <c r="IK100" s="267"/>
      <c r="IN100" s="267"/>
      <c r="IQ100" s="267"/>
      <c r="IR100" s="267"/>
      <c r="IS100" s="267"/>
      <c r="IT100" s="274"/>
      <c r="IU100" s="274"/>
      <c r="IV100" s="272"/>
      <c r="IW100" s="274"/>
      <c r="IX100" s="274"/>
      <c r="IY100" s="272"/>
    </row>
    <row r="101" spans="10:259">
      <c r="J101" s="267"/>
      <c r="K101" s="267"/>
      <c r="L101" s="267"/>
      <c r="M101" s="267"/>
      <c r="N101" s="267"/>
      <c r="O101" s="267"/>
      <c r="P101" s="267"/>
      <c r="Q101" s="267"/>
      <c r="S101" s="267"/>
      <c r="T101" s="267"/>
      <c r="U101" s="267"/>
      <c r="V101" s="267"/>
      <c r="W101" s="264"/>
      <c r="Y101" s="267"/>
      <c r="Z101" s="267"/>
      <c r="AA101" s="267"/>
      <c r="AB101" s="267"/>
      <c r="AE101" s="267"/>
      <c r="AF101" s="267"/>
      <c r="AG101" s="267"/>
      <c r="AH101" s="267"/>
      <c r="AK101" s="267"/>
      <c r="AL101" s="267"/>
      <c r="AM101" s="267"/>
      <c r="AN101" s="267"/>
      <c r="AQ101" s="267"/>
      <c r="AR101" s="267"/>
      <c r="AS101" s="267"/>
      <c r="AT101" s="267"/>
      <c r="AW101" s="267"/>
      <c r="AX101" s="267"/>
      <c r="AY101" s="267"/>
      <c r="AZ101" s="267"/>
      <c r="BG101" s="269"/>
      <c r="BM101" s="269"/>
      <c r="BS101" s="269"/>
      <c r="BU101" s="267"/>
      <c r="BY101" s="267"/>
      <c r="CC101" s="267"/>
      <c r="CG101" s="267"/>
      <c r="CS101" s="267"/>
      <c r="CW101" s="270"/>
      <c r="CX101" s="267"/>
      <c r="DC101" s="267"/>
      <c r="DH101" s="267"/>
      <c r="DM101" s="267"/>
      <c r="DR101" s="267"/>
      <c r="DW101" s="267"/>
      <c r="EB101" s="267"/>
      <c r="EG101" s="267"/>
      <c r="EL101" s="267"/>
      <c r="EQ101" s="267"/>
      <c r="EU101" s="270"/>
      <c r="EV101" s="267"/>
      <c r="FC101" s="267"/>
      <c r="FD101" s="267"/>
      <c r="FE101" s="267"/>
      <c r="FF101" s="267"/>
      <c r="FG101" s="267"/>
      <c r="FL101" s="267"/>
      <c r="FM101" s="267"/>
      <c r="FN101" s="267"/>
      <c r="FO101" s="267"/>
      <c r="FP101" s="267"/>
      <c r="FQ101" s="264"/>
      <c r="FR101" s="264"/>
      <c r="FS101" s="264"/>
      <c r="FT101" s="264"/>
      <c r="FU101" s="267"/>
      <c r="FV101" s="267"/>
      <c r="FW101" s="267"/>
      <c r="FX101" s="267"/>
      <c r="FY101" s="267"/>
      <c r="GD101" s="267"/>
      <c r="GE101" s="267"/>
      <c r="GF101" s="267"/>
      <c r="GG101" s="267"/>
      <c r="GH101" s="267"/>
      <c r="GI101" s="264"/>
      <c r="GJ101" s="264"/>
      <c r="GK101" s="264"/>
      <c r="GL101" s="264"/>
      <c r="HD101" s="267"/>
      <c r="HE101" s="267"/>
      <c r="HF101" s="267"/>
      <c r="HG101" s="267"/>
      <c r="HH101" s="267"/>
      <c r="HI101" s="267"/>
      <c r="HJ101" s="267"/>
      <c r="HK101" s="267"/>
      <c r="HL101" s="267"/>
      <c r="HM101" s="267"/>
      <c r="HN101" s="267"/>
      <c r="HO101" s="267"/>
      <c r="HP101" s="267"/>
      <c r="HQ101" s="267"/>
      <c r="HR101" s="267"/>
      <c r="HS101" s="267"/>
      <c r="HT101" s="267"/>
      <c r="HU101" s="267"/>
      <c r="IH101" s="267"/>
      <c r="IK101" s="267"/>
      <c r="IN101" s="267"/>
      <c r="IQ101" s="267"/>
      <c r="IR101" s="267"/>
      <c r="IS101" s="267"/>
      <c r="IT101" s="274"/>
      <c r="IU101" s="274"/>
      <c r="IV101" s="272"/>
      <c r="IW101" s="274"/>
      <c r="IX101" s="274"/>
      <c r="IY101" s="272"/>
    </row>
    <row r="102" spans="10:259">
      <c r="J102" s="267"/>
      <c r="K102" s="267"/>
      <c r="L102" s="267"/>
      <c r="M102" s="267"/>
      <c r="N102" s="267"/>
      <c r="O102" s="267"/>
      <c r="P102" s="267"/>
      <c r="Q102" s="267"/>
      <c r="S102" s="267"/>
      <c r="T102" s="267"/>
      <c r="U102" s="267"/>
      <c r="V102" s="267"/>
      <c r="W102" s="264"/>
      <c r="Y102" s="267"/>
      <c r="Z102" s="267"/>
      <c r="AA102" s="267"/>
      <c r="AB102" s="267"/>
      <c r="AE102" s="267"/>
      <c r="AF102" s="267"/>
      <c r="AG102" s="267"/>
      <c r="AH102" s="267"/>
      <c r="AK102" s="267"/>
      <c r="AL102" s="267"/>
      <c r="AM102" s="267"/>
      <c r="AN102" s="267"/>
      <c r="AQ102" s="267"/>
      <c r="AR102" s="267"/>
      <c r="AS102" s="267"/>
      <c r="AT102" s="267"/>
      <c r="AW102" s="267"/>
      <c r="AX102" s="267"/>
      <c r="AY102" s="267"/>
      <c r="AZ102" s="267"/>
      <c r="BG102" s="269"/>
      <c r="BM102" s="269"/>
      <c r="BS102" s="269"/>
      <c r="BU102" s="267"/>
      <c r="BY102" s="267"/>
      <c r="CC102" s="267"/>
      <c r="CG102" s="267"/>
      <c r="CS102" s="267"/>
      <c r="CW102" s="270"/>
      <c r="CX102" s="267"/>
      <c r="DC102" s="267"/>
      <c r="DH102" s="267"/>
      <c r="DM102" s="267"/>
      <c r="DR102" s="267"/>
      <c r="DW102" s="267"/>
      <c r="EB102" s="267"/>
      <c r="EG102" s="267"/>
      <c r="EL102" s="267"/>
      <c r="EQ102" s="267"/>
      <c r="EU102" s="270"/>
      <c r="EV102" s="267"/>
      <c r="FC102" s="267"/>
      <c r="FD102" s="267"/>
      <c r="FE102" s="267"/>
      <c r="FF102" s="267"/>
      <c r="FG102" s="267"/>
      <c r="FL102" s="267"/>
      <c r="FM102" s="267"/>
      <c r="FN102" s="267"/>
      <c r="FO102" s="267"/>
      <c r="FP102" s="267"/>
      <c r="FQ102" s="264"/>
      <c r="FR102" s="264"/>
      <c r="FS102" s="264"/>
      <c r="FT102" s="264"/>
      <c r="FU102" s="267"/>
      <c r="FV102" s="267"/>
      <c r="FW102" s="267"/>
      <c r="FX102" s="267"/>
      <c r="FY102" s="267"/>
      <c r="GD102" s="267"/>
      <c r="GE102" s="267"/>
      <c r="GF102" s="267"/>
      <c r="GG102" s="267"/>
      <c r="GH102" s="267"/>
      <c r="GI102" s="264"/>
      <c r="GJ102" s="264"/>
      <c r="GK102" s="264"/>
      <c r="GL102" s="264"/>
      <c r="HD102" s="267"/>
      <c r="HE102" s="267"/>
      <c r="HF102" s="267"/>
      <c r="HG102" s="267"/>
      <c r="HH102" s="267"/>
      <c r="HI102" s="267"/>
      <c r="HJ102" s="267"/>
      <c r="HK102" s="267"/>
      <c r="HL102" s="267"/>
      <c r="HM102" s="267"/>
      <c r="HN102" s="267"/>
      <c r="HO102" s="267"/>
      <c r="HP102" s="267"/>
      <c r="HQ102" s="267"/>
      <c r="HR102" s="267"/>
      <c r="HS102" s="267"/>
      <c r="HT102" s="267"/>
      <c r="HU102" s="267"/>
      <c r="IH102" s="267"/>
      <c r="IK102" s="267"/>
      <c r="IN102" s="267"/>
      <c r="IQ102" s="267"/>
      <c r="IR102" s="267"/>
      <c r="IS102" s="267"/>
      <c r="IT102" s="274"/>
      <c r="IU102" s="274"/>
      <c r="IV102" s="272"/>
      <c r="IW102" s="274"/>
      <c r="IX102" s="274"/>
      <c r="IY102" s="272"/>
    </row>
    <row r="103" spans="10:259">
      <c r="J103" s="267"/>
      <c r="K103" s="267"/>
      <c r="L103" s="267"/>
      <c r="M103" s="267"/>
      <c r="N103" s="267"/>
      <c r="O103" s="267"/>
      <c r="P103" s="267"/>
      <c r="Q103" s="267"/>
      <c r="S103" s="267"/>
      <c r="T103" s="267"/>
      <c r="U103" s="267"/>
      <c r="V103" s="267"/>
      <c r="W103" s="264"/>
      <c r="Y103" s="267"/>
      <c r="Z103" s="267"/>
      <c r="AA103" s="267"/>
      <c r="AB103" s="267"/>
      <c r="AE103" s="267"/>
      <c r="AF103" s="267"/>
      <c r="AG103" s="267"/>
      <c r="AH103" s="267"/>
      <c r="AK103" s="267"/>
      <c r="AL103" s="267"/>
      <c r="AM103" s="267"/>
      <c r="AN103" s="267"/>
      <c r="AQ103" s="267"/>
      <c r="AR103" s="267"/>
      <c r="AS103" s="267"/>
      <c r="AT103" s="267"/>
      <c r="AW103" s="267"/>
      <c r="AX103" s="267"/>
      <c r="AY103" s="267"/>
      <c r="AZ103" s="267"/>
      <c r="BG103" s="269"/>
      <c r="BM103" s="269"/>
      <c r="BS103" s="269"/>
      <c r="BU103" s="267"/>
      <c r="BY103" s="267"/>
      <c r="CC103" s="267"/>
      <c r="CG103" s="267"/>
      <c r="CS103" s="267"/>
      <c r="CW103" s="270"/>
      <c r="CX103" s="267"/>
      <c r="DC103" s="267"/>
      <c r="DH103" s="267"/>
      <c r="DM103" s="267"/>
      <c r="DR103" s="267"/>
      <c r="DW103" s="267"/>
      <c r="EB103" s="267"/>
      <c r="EG103" s="267"/>
      <c r="EL103" s="267"/>
      <c r="EQ103" s="267"/>
      <c r="EU103" s="270"/>
      <c r="EV103" s="267"/>
      <c r="FC103" s="267"/>
      <c r="FD103" s="267"/>
      <c r="FE103" s="267"/>
      <c r="FF103" s="267"/>
      <c r="FG103" s="267"/>
      <c r="FL103" s="267"/>
      <c r="FM103" s="267"/>
      <c r="FN103" s="267"/>
      <c r="FO103" s="267"/>
      <c r="FP103" s="267"/>
      <c r="FQ103" s="264"/>
      <c r="FR103" s="264"/>
      <c r="FS103" s="264"/>
      <c r="FT103" s="264"/>
      <c r="FU103" s="267"/>
      <c r="FV103" s="267"/>
      <c r="FW103" s="267"/>
      <c r="FX103" s="267"/>
      <c r="FY103" s="267"/>
      <c r="GD103" s="267"/>
      <c r="GE103" s="267"/>
      <c r="GF103" s="267"/>
      <c r="GG103" s="267"/>
      <c r="GH103" s="267"/>
      <c r="GI103" s="264"/>
      <c r="GJ103" s="264"/>
      <c r="GK103" s="264"/>
      <c r="GL103" s="264"/>
      <c r="HD103" s="267"/>
      <c r="HE103" s="267"/>
      <c r="HF103" s="267"/>
      <c r="HG103" s="267"/>
      <c r="HH103" s="267"/>
      <c r="HI103" s="267"/>
      <c r="HJ103" s="267"/>
      <c r="HK103" s="267"/>
      <c r="HL103" s="267"/>
      <c r="HM103" s="267"/>
      <c r="HN103" s="267"/>
      <c r="HO103" s="267"/>
      <c r="HP103" s="267"/>
      <c r="HQ103" s="267"/>
      <c r="HR103" s="267"/>
      <c r="HS103" s="267"/>
      <c r="HT103" s="267"/>
      <c r="HU103" s="267"/>
      <c r="IH103" s="267"/>
      <c r="IK103" s="267"/>
      <c r="IN103" s="267"/>
      <c r="IQ103" s="267"/>
      <c r="IR103" s="267"/>
      <c r="IS103" s="267"/>
      <c r="IT103" s="274"/>
      <c r="IU103" s="274"/>
      <c r="IV103" s="272"/>
      <c r="IW103" s="274"/>
      <c r="IX103" s="274"/>
      <c r="IY103" s="272"/>
    </row>
    <row r="104" spans="10:259">
      <c r="J104" s="267"/>
      <c r="K104" s="267"/>
      <c r="L104" s="267"/>
      <c r="M104" s="267"/>
      <c r="N104" s="267"/>
      <c r="O104" s="267"/>
      <c r="P104" s="267"/>
      <c r="Q104" s="267"/>
      <c r="S104" s="267"/>
      <c r="T104" s="267"/>
      <c r="U104" s="267"/>
      <c r="V104" s="267"/>
      <c r="W104" s="264"/>
      <c r="Y104" s="267"/>
      <c r="Z104" s="267"/>
      <c r="AA104" s="267"/>
      <c r="AB104" s="267"/>
      <c r="AE104" s="267"/>
      <c r="AF104" s="267"/>
      <c r="AG104" s="267"/>
      <c r="AH104" s="267"/>
      <c r="AK104" s="267"/>
      <c r="AL104" s="267"/>
      <c r="AM104" s="267"/>
      <c r="AN104" s="267"/>
      <c r="AQ104" s="267"/>
      <c r="AR104" s="267"/>
      <c r="AS104" s="267"/>
      <c r="AT104" s="267"/>
      <c r="AW104" s="267"/>
      <c r="AX104" s="267"/>
      <c r="AY104" s="267"/>
      <c r="AZ104" s="267"/>
      <c r="BG104" s="269"/>
      <c r="BM104" s="269"/>
      <c r="BS104" s="269"/>
      <c r="BU104" s="267"/>
      <c r="BY104" s="267"/>
      <c r="CC104" s="267"/>
      <c r="CG104" s="267"/>
      <c r="CS104" s="267"/>
      <c r="CW104" s="270"/>
      <c r="CX104" s="267"/>
      <c r="DC104" s="267"/>
      <c r="DH104" s="267"/>
      <c r="DM104" s="267"/>
      <c r="DR104" s="267"/>
      <c r="DW104" s="267"/>
      <c r="EB104" s="267"/>
      <c r="EG104" s="267"/>
      <c r="EL104" s="267"/>
      <c r="EQ104" s="267"/>
      <c r="EU104" s="270"/>
      <c r="EV104" s="267"/>
      <c r="FC104" s="267"/>
      <c r="FD104" s="267"/>
      <c r="FE104" s="267"/>
      <c r="FF104" s="267"/>
      <c r="FG104" s="267"/>
      <c r="FL104" s="267"/>
      <c r="FM104" s="267"/>
      <c r="FN104" s="267"/>
      <c r="FO104" s="267"/>
      <c r="FP104" s="267"/>
      <c r="FQ104" s="264"/>
      <c r="FR104" s="264"/>
      <c r="FS104" s="264"/>
      <c r="FT104" s="264"/>
      <c r="FU104" s="267"/>
      <c r="FV104" s="267"/>
      <c r="FW104" s="267"/>
      <c r="FX104" s="267"/>
      <c r="FY104" s="267"/>
      <c r="GD104" s="267"/>
      <c r="GE104" s="267"/>
      <c r="GF104" s="267"/>
      <c r="GG104" s="267"/>
      <c r="GH104" s="267"/>
      <c r="GI104" s="264"/>
      <c r="GJ104" s="264"/>
      <c r="GK104" s="264"/>
      <c r="GL104" s="264"/>
      <c r="HD104" s="267"/>
      <c r="HE104" s="267"/>
      <c r="HF104" s="267"/>
      <c r="HG104" s="267"/>
      <c r="HH104" s="267"/>
      <c r="HI104" s="267"/>
      <c r="HJ104" s="267"/>
      <c r="HK104" s="267"/>
      <c r="HL104" s="267"/>
      <c r="HM104" s="267"/>
      <c r="HN104" s="267"/>
      <c r="HO104" s="267"/>
      <c r="HP104" s="267"/>
      <c r="HQ104" s="267"/>
      <c r="HR104" s="267"/>
      <c r="HS104" s="267"/>
      <c r="HT104" s="267"/>
      <c r="HU104" s="267"/>
      <c r="IH104" s="267"/>
      <c r="IK104" s="267"/>
      <c r="IN104" s="267"/>
      <c r="IQ104" s="267"/>
      <c r="IR104" s="267"/>
      <c r="IS104" s="267"/>
      <c r="IT104" s="274"/>
      <c r="IU104" s="274"/>
      <c r="IV104" s="272"/>
      <c r="IW104" s="274"/>
      <c r="IX104" s="274"/>
      <c r="IY104" s="272"/>
    </row>
    <row r="105" spans="10:259">
      <c r="J105" s="267"/>
      <c r="K105" s="267"/>
      <c r="L105" s="267"/>
      <c r="M105" s="267"/>
      <c r="N105" s="267"/>
      <c r="O105" s="267"/>
      <c r="P105" s="267"/>
      <c r="Q105" s="267"/>
      <c r="S105" s="267"/>
      <c r="T105" s="267"/>
      <c r="U105" s="267"/>
      <c r="V105" s="267"/>
      <c r="W105" s="264"/>
      <c r="Y105" s="267"/>
      <c r="Z105" s="267"/>
      <c r="AA105" s="267"/>
      <c r="AB105" s="267"/>
      <c r="AE105" s="267"/>
      <c r="AF105" s="267"/>
      <c r="AG105" s="267"/>
      <c r="AH105" s="267"/>
      <c r="AK105" s="267"/>
      <c r="AL105" s="267"/>
      <c r="AM105" s="267"/>
      <c r="AN105" s="267"/>
      <c r="AQ105" s="267"/>
      <c r="AR105" s="267"/>
      <c r="AS105" s="267"/>
      <c r="AT105" s="267"/>
      <c r="AW105" s="267"/>
      <c r="AX105" s="267"/>
      <c r="AY105" s="267"/>
      <c r="AZ105" s="267"/>
      <c r="BG105" s="269"/>
      <c r="BM105" s="269"/>
      <c r="BS105" s="269"/>
      <c r="BU105" s="267"/>
      <c r="BY105" s="267"/>
      <c r="CC105" s="267"/>
      <c r="CG105" s="267"/>
      <c r="CS105" s="267"/>
      <c r="CW105" s="270"/>
      <c r="CX105" s="267"/>
      <c r="DC105" s="267"/>
      <c r="DH105" s="267"/>
      <c r="DM105" s="267"/>
      <c r="DR105" s="267"/>
      <c r="DW105" s="267"/>
      <c r="EB105" s="267"/>
      <c r="EG105" s="267"/>
      <c r="EL105" s="267"/>
      <c r="EQ105" s="267"/>
      <c r="EU105" s="270"/>
      <c r="EV105" s="267"/>
      <c r="FC105" s="267"/>
      <c r="FD105" s="267"/>
      <c r="FE105" s="267"/>
      <c r="FF105" s="267"/>
      <c r="FG105" s="267"/>
      <c r="FL105" s="267"/>
      <c r="FM105" s="267"/>
      <c r="FN105" s="267"/>
      <c r="FO105" s="267"/>
      <c r="FP105" s="267"/>
      <c r="FQ105" s="264"/>
      <c r="FR105" s="264"/>
      <c r="FS105" s="264"/>
      <c r="FT105" s="264"/>
      <c r="FU105" s="267"/>
      <c r="FV105" s="267"/>
      <c r="FW105" s="267"/>
      <c r="FX105" s="267"/>
      <c r="FY105" s="267"/>
      <c r="GD105" s="267"/>
      <c r="GE105" s="267"/>
      <c r="GF105" s="267"/>
      <c r="GG105" s="267"/>
      <c r="GH105" s="267"/>
      <c r="GI105" s="264"/>
      <c r="GJ105" s="264"/>
      <c r="GK105" s="264"/>
      <c r="GL105" s="264"/>
      <c r="HD105" s="267"/>
      <c r="HE105" s="267"/>
      <c r="HF105" s="267"/>
      <c r="HG105" s="267"/>
      <c r="HH105" s="267"/>
      <c r="HI105" s="267"/>
      <c r="HJ105" s="267"/>
      <c r="HK105" s="267"/>
      <c r="HL105" s="267"/>
      <c r="HM105" s="267"/>
      <c r="HN105" s="267"/>
      <c r="HO105" s="267"/>
      <c r="HP105" s="267"/>
      <c r="HQ105" s="267"/>
      <c r="HR105" s="267"/>
      <c r="HS105" s="267"/>
      <c r="HT105" s="267"/>
      <c r="HU105" s="267"/>
      <c r="IH105" s="267"/>
      <c r="IK105" s="267"/>
      <c r="IN105" s="267"/>
      <c r="IQ105" s="267"/>
      <c r="IR105" s="267"/>
      <c r="IS105" s="267"/>
      <c r="IT105" s="274"/>
      <c r="IU105" s="274"/>
      <c r="IV105" s="272"/>
      <c r="IW105" s="274"/>
      <c r="IX105" s="274"/>
      <c r="IY105" s="272"/>
    </row>
    <row r="106" spans="10:259">
      <c r="J106" s="267"/>
      <c r="K106" s="267"/>
      <c r="L106" s="267"/>
      <c r="M106" s="267"/>
      <c r="N106" s="267"/>
      <c r="O106" s="267"/>
      <c r="P106" s="267"/>
      <c r="Q106" s="267"/>
      <c r="S106" s="267"/>
      <c r="T106" s="267"/>
      <c r="U106" s="267"/>
      <c r="V106" s="267"/>
      <c r="W106" s="264"/>
      <c r="Y106" s="267"/>
      <c r="Z106" s="267"/>
      <c r="AA106" s="267"/>
      <c r="AB106" s="267"/>
      <c r="AE106" s="267"/>
      <c r="AF106" s="267"/>
      <c r="AG106" s="267"/>
      <c r="AH106" s="267"/>
      <c r="AK106" s="267"/>
      <c r="AL106" s="267"/>
      <c r="AM106" s="267"/>
      <c r="AN106" s="267"/>
      <c r="AQ106" s="267"/>
      <c r="AR106" s="267"/>
      <c r="AS106" s="267"/>
      <c r="AT106" s="267"/>
      <c r="AW106" s="267"/>
      <c r="AX106" s="267"/>
      <c r="AY106" s="267"/>
      <c r="AZ106" s="267"/>
      <c r="BG106" s="269"/>
      <c r="BM106" s="269"/>
      <c r="BS106" s="269"/>
      <c r="BU106" s="267"/>
      <c r="BY106" s="267"/>
      <c r="CC106" s="267"/>
      <c r="CG106" s="267"/>
      <c r="CS106" s="267"/>
      <c r="CW106" s="270"/>
      <c r="CX106" s="267"/>
      <c r="DC106" s="267"/>
      <c r="DH106" s="267"/>
      <c r="DM106" s="267"/>
      <c r="DR106" s="267"/>
      <c r="DW106" s="267"/>
      <c r="EB106" s="267"/>
      <c r="EG106" s="267"/>
      <c r="EL106" s="267"/>
      <c r="EQ106" s="267"/>
      <c r="EU106" s="270"/>
      <c r="EV106" s="267"/>
      <c r="FC106" s="267"/>
      <c r="FD106" s="267"/>
      <c r="FE106" s="267"/>
      <c r="FF106" s="267"/>
      <c r="FG106" s="267"/>
      <c r="FL106" s="267"/>
      <c r="FM106" s="267"/>
      <c r="FN106" s="267"/>
      <c r="FO106" s="267"/>
      <c r="FP106" s="267"/>
      <c r="FQ106" s="264"/>
      <c r="FR106" s="264"/>
      <c r="FS106" s="264"/>
      <c r="FT106" s="264"/>
      <c r="FU106" s="267"/>
      <c r="FV106" s="267"/>
      <c r="FW106" s="267"/>
      <c r="FX106" s="267"/>
      <c r="FY106" s="267"/>
      <c r="GD106" s="267"/>
      <c r="GE106" s="267"/>
      <c r="GF106" s="267"/>
      <c r="GG106" s="267"/>
      <c r="GH106" s="267"/>
      <c r="GI106" s="264"/>
      <c r="GJ106" s="264"/>
      <c r="GK106" s="264"/>
      <c r="GL106" s="264"/>
      <c r="HD106" s="267"/>
      <c r="HE106" s="267"/>
      <c r="HF106" s="267"/>
      <c r="HG106" s="267"/>
      <c r="HH106" s="267"/>
      <c r="HI106" s="267"/>
      <c r="HJ106" s="267"/>
      <c r="HK106" s="267"/>
      <c r="HL106" s="267"/>
      <c r="HM106" s="267"/>
      <c r="HN106" s="267"/>
      <c r="HO106" s="267"/>
      <c r="HP106" s="267"/>
      <c r="HQ106" s="267"/>
      <c r="HR106" s="267"/>
      <c r="HS106" s="267"/>
      <c r="HT106" s="267"/>
      <c r="HU106" s="267"/>
      <c r="IH106" s="267"/>
      <c r="IK106" s="267"/>
      <c r="IN106" s="267"/>
      <c r="IQ106" s="267"/>
      <c r="IR106" s="267"/>
      <c r="IS106" s="267"/>
      <c r="IT106" s="274"/>
      <c r="IU106" s="274"/>
      <c r="IV106" s="272"/>
      <c r="IW106" s="274"/>
      <c r="IX106" s="274"/>
      <c r="IY106" s="272"/>
    </row>
    <row r="107" spans="10:259">
      <c r="J107" s="267"/>
      <c r="K107" s="267"/>
      <c r="L107" s="267"/>
      <c r="M107" s="267"/>
      <c r="N107" s="267"/>
      <c r="O107" s="267"/>
      <c r="P107" s="267"/>
      <c r="Q107" s="267"/>
      <c r="S107" s="267"/>
      <c r="T107" s="267"/>
      <c r="U107" s="267"/>
      <c r="V107" s="267"/>
      <c r="W107" s="264"/>
      <c r="Y107" s="267"/>
      <c r="Z107" s="267"/>
      <c r="AA107" s="267"/>
      <c r="AB107" s="267"/>
      <c r="AE107" s="267"/>
      <c r="AF107" s="267"/>
      <c r="AG107" s="267"/>
      <c r="AH107" s="267"/>
      <c r="AK107" s="267"/>
      <c r="AL107" s="267"/>
      <c r="AM107" s="267"/>
      <c r="AN107" s="267"/>
      <c r="AQ107" s="267"/>
      <c r="AR107" s="267"/>
      <c r="AS107" s="267"/>
      <c r="AT107" s="267"/>
      <c r="AW107" s="267"/>
      <c r="AX107" s="267"/>
      <c r="AY107" s="267"/>
      <c r="AZ107" s="267"/>
      <c r="BG107" s="269"/>
      <c r="BM107" s="269"/>
      <c r="BS107" s="269"/>
      <c r="BU107" s="267"/>
      <c r="BY107" s="267"/>
      <c r="CC107" s="267"/>
      <c r="CG107" s="267"/>
      <c r="CS107" s="267"/>
      <c r="CW107" s="270"/>
      <c r="CX107" s="267"/>
      <c r="DC107" s="267"/>
      <c r="DH107" s="267"/>
      <c r="DM107" s="267"/>
      <c r="DR107" s="267"/>
      <c r="DW107" s="267"/>
      <c r="EB107" s="267"/>
      <c r="EG107" s="267"/>
      <c r="EL107" s="267"/>
      <c r="EQ107" s="267"/>
      <c r="EU107" s="270"/>
      <c r="EV107" s="267"/>
      <c r="FC107" s="267"/>
      <c r="FD107" s="267"/>
      <c r="FE107" s="267"/>
      <c r="FF107" s="267"/>
      <c r="FG107" s="267"/>
      <c r="FL107" s="267"/>
      <c r="FM107" s="267"/>
      <c r="FN107" s="267"/>
      <c r="FO107" s="267"/>
      <c r="FP107" s="267"/>
      <c r="FQ107" s="264"/>
      <c r="FR107" s="264"/>
      <c r="FS107" s="264"/>
      <c r="FT107" s="264"/>
      <c r="FU107" s="267"/>
      <c r="FV107" s="267"/>
      <c r="FW107" s="267"/>
      <c r="FX107" s="267"/>
      <c r="FY107" s="267"/>
      <c r="GD107" s="267"/>
      <c r="GE107" s="267"/>
      <c r="GF107" s="267"/>
      <c r="GG107" s="267"/>
      <c r="GH107" s="267"/>
      <c r="GI107" s="264"/>
      <c r="GJ107" s="264"/>
      <c r="GK107" s="264"/>
      <c r="GL107" s="264"/>
      <c r="HD107" s="267"/>
      <c r="HE107" s="267"/>
      <c r="HF107" s="267"/>
      <c r="HG107" s="267"/>
      <c r="HH107" s="267"/>
      <c r="HI107" s="267"/>
      <c r="HJ107" s="267"/>
      <c r="HK107" s="267"/>
      <c r="HL107" s="267"/>
      <c r="HM107" s="267"/>
      <c r="HN107" s="267"/>
      <c r="HO107" s="267"/>
      <c r="HP107" s="267"/>
      <c r="HQ107" s="267"/>
      <c r="HR107" s="267"/>
      <c r="HS107" s="267"/>
      <c r="HT107" s="267"/>
      <c r="HU107" s="267"/>
      <c r="IH107" s="267"/>
      <c r="IK107" s="267"/>
      <c r="IN107" s="267"/>
      <c r="IQ107" s="267"/>
      <c r="IR107" s="267"/>
      <c r="IS107" s="267"/>
      <c r="IT107" s="274"/>
      <c r="IU107" s="274"/>
      <c r="IV107" s="272"/>
      <c r="IW107" s="274"/>
      <c r="IX107" s="274"/>
      <c r="IY107" s="272"/>
    </row>
    <row r="108" spans="10:259">
      <c r="J108" s="267"/>
      <c r="K108" s="267"/>
      <c r="L108" s="267"/>
      <c r="M108" s="267"/>
      <c r="N108" s="267"/>
      <c r="O108" s="267"/>
      <c r="P108" s="267"/>
      <c r="Q108" s="267"/>
      <c r="S108" s="267"/>
      <c r="T108" s="267"/>
      <c r="U108" s="267"/>
      <c r="V108" s="267"/>
      <c r="W108" s="264"/>
      <c r="Y108" s="267"/>
      <c r="Z108" s="267"/>
      <c r="AA108" s="267"/>
      <c r="AB108" s="267"/>
      <c r="AE108" s="267"/>
      <c r="AF108" s="267"/>
      <c r="AG108" s="267"/>
      <c r="AH108" s="267"/>
      <c r="AK108" s="267"/>
      <c r="AL108" s="267"/>
      <c r="AM108" s="267"/>
      <c r="AN108" s="267"/>
      <c r="AQ108" s="267"/>
      <c r="AR108" s="267"/>
      <c r="AS108" s="267"/>
      <c r="AT108" s="267"/>
      <c r="AW108" s="267"/>
      <c r="AX108" s="267"/>
      <c r="AY108" s="267"/>
      <c r="AZ108" s="267"/>
      <c r="BG108" s="269"/>
      <c r="BM108" s="269"/>
      <c r="BS108" s="269"/>
      <c r="BU108" s="267"/>
      <c r="BY108" s="267"/>
      <c r="CC108" s="267"/>
      <c r="CG108" s="267"/>
      <c r="CS108" s="267"/>
      <c r="CW108" s="270"/>
      <c r="CX108" s="267"/>
      <c r="DC108" s="267"/>
      <c r="DH108" s="267"/>
      <c r="DM108" s="267"/>
      <c r="DR108" s="267"/>
      <c r="DW108" s="267"/>
      <c r="EB108" s="267"/>
      <c r="EG108" s="267"/>
      <c r="EL108" s="267"/>
      <c r="EQ108" s="267"/>
      <c r="EU108" s="270"/>
      <c r="EV108" s="267"/>
      <c r="FC108" s="267"/>
      <c r="FD108" s="267"/>
      <c r="FE108" s="267"/>
      <c r="FF108" s="267"/>
      <c r="FG108" s="267"/>
      <c r="FL108" s="267"/>
      <c r="FM108" s="267"/>
      <c r="FN108" s="267"/>
      <c r="FO108" s="267"/>
      <c r="FP108" s="267"/>
      <c r="FQ108" s="264"/>
      <c r="FR108" s="264"/>
      <c r="FS108" s="264"/>
      <c r="FT108" s="264"/>
      <c r="FU108" s="267"/>
      <c r="FV108" s="267"/>
      <c r="FW108" s="267"/>
      <c r="FX108" s="267"/>
      <c r="FY108" s="267"/>
      <c r="GD108" s="267"/>
      <c r="GE108" s="267"/>
      <c r="GF108" s="267"/>
      <c r="GG108" s="267"/>
      <c r="GH108" s="267"/>
      <c r="GI108" s="264"/>
      <c r="GJ108" s="264"/>
      <c r="GK108" s="264"/>
      <c r="GL108" s="264"/>
      <c r="HD108" s="267"/>
      <c r="HE108" s="267"/>
      <c r="HF108" s="267"/>
      <c r="HG108" s="267"/>
      <c r="HH108" s="267"/>
      <c r="HI108" s="267"/>
      <c r="HJ108" s="267"/>
      <c r="HK108" s="267"/>
      <c r="HL108" s="267"/>
      <c r="HM108" s="267"/>
      <c r="HN108" s="267"/>
      <c r="HO108" s="267"/>
      <c r="HP108" s="267"/>
      <c r="HQ108" s="267"/>
      <c r="HR108" s="267"/>
      <c r="HS108" s="267"/>
      <c r="HT108" s="267"/>
      <c r="HU108" s="267"/>
      <c r="IH108" s="267"/>
      <c r="IK108" s="267"/>
      <c r="IN108" s="267"/>
      <c r="IQ108" s="267"/>
      <c r="IR108" s="267"/>
      <c r="IS108" s="267"/>
      <c r="IT108" s="274"/>
      <c r="IU108" s="274"/>
      <c r="IV108" s="272"/>
      <c r="IW108" s="274"/>
      <c r="IX108" s="274"/>
      <c r="IY108" s="272"/>
    </row>
    <row r="109" spans="10:259">
      <c r="J109" s="267"/>
      <c r="K109" s="267"/>
      <c r="L109" s="267"/>
      <c r="M109" s="267"/>
      <c r="N109" s="267"/>
      <c r="O109" s="267"/>
      <c r="P109" s="267"/>
      <c r="Q109" s="267"/>
      <c r="S109" s="267"/>
      <c r="T109" s="267"/>
      <c r="U109" s="267"/>
      <c r="V109" s="267"/>
      <c r="W109" s="264"/>
      <c r="Y109" s="267"/>
      <c r="Z109" s="267"/>
      <c r="AA109" s="267"/>
      <c r="AB109" s="267"/>
      <c r="AE109" s="267"/>
      <c r="AF109" s="267"/>
      <c r="AG109" s="267"/>
      <c r="AH109" s="267"/>
      <c r="AK109" s="267"/>
      <c r="AL109" s="267"/>
      <c r="AM109" s="267"/>
      <c r="AN109" s="267"/>
      <c r="AQ109" s="267"/>
      <c r="AR109" s="267"/>
      <c r="AS109" s="267"/>
      <c r="AT109" s="267"/>
      <c r="AW109" s="267"/>
      <c r="AX109" s="267"/>
      <c r="AY109" s="267"/>
      <c r="AZ109" s="267"/>
      <c r="BG109" s="269"/>
      <c r="BM109" s="269"/>
      <c r="BS109" s="269"/>
      <c r="BU109" s="267"/>
      <c r="BY109" s="267"/>
      <c r="CC109" s="267"/>
      <c r="CG109" s="267"/>
      <c r="CS109" s="267"/>
      <c r="CW109" s="270"/>
      <c r="CX109" s="267"/>
      <c r="DC109" s="267"/>
      <c r="DH109" s="267"/>
      <c r="DM109" s="267"/>
      <c r="DR109" s="267"/>
      <c r="DW109" s="267"/>
      <c r="EB109" s="267"/>
      <c r="EG109" s="267"/>
      <c r="EL109" s="267"/>
      <c r="EQ109" s="267"/>
      <c r="EU109" s="270"/>
      <c r="EV109" s="267"/>
      <c r="FC109" s="267"/>
      <c r="FD109" s="267"/>
      <c r="FE109" s="267"/>
      <c r="FF109" s="267"/>
      <c r="FG109" s="267"/>
      <c r="FL109" s="267"/>
      <c r="FM109" s="267"/>
      <c r="FN109" s="267"/>
      <c r="FO109" s="267"/>
      <c r="FP109" s="267"/>
      <c r="FQ109" s="264"/>
      <c r="FR109" s="264"/>
      <c r="FS109" s="264"/>
      <c r="FT109" s="264"/>
      <c r="FU109" s="267"/>
      <c r="FV109" s="267"/>
      <c r="FW109" s="267"/>
      <c r="FX109" s="267"/>
      <c r="FY109" s="267"/>
      <c r="GD109" s="267"/>
      <c r="GE109" s="267"/>
      <c r="GF109" s="267"/>
      <c r="GG109" s="267"/>
      <c r="GH109" s="267"/>
      <c r="GI109" s="264"/>
      <c r="GJ109" s="264"/>
      <c r="GK109" s="264"/>
      <c r="GL109" s="264"/>
      <c r="HD109" s="267"/>
      <c r="HE109" s="267"/>
      <c r="HF109" s="267"/>
      <c r="HG109" s="267"/>
      <c r="HH109" s="267"/>
      <c r="HI109" s="267"/>
      <c r="HJ109" s="267"/>
      <c r="HK109" s="267"/>
      <c r="HL109" s="267"/>
      <c r="HM109" s="267"/>
      <c r="HN109" s="267"/>
      <c r="HO109" s="267"/>
      <c r="HP109" s="267"/>
      <c r="HQ109" s="267"/>
      <c r="HR109" s="267"/>
      <c r="HS109" s="267"/>
      <c r="HT109" s="267"/>
      <c r="HU109" s="267"/>
      <c r="IH109" s="267"/>
      <c r="IK109" s="267"/>
      <c r="IN109" s="267"/>
      <c r="IQ109" s="267"/>
      <c r="IR109" s="267"/>
      <c r="IS109" s="267"/>
      <c r="IT109" s="274"/>
      <c r="IU109" s="274"/>
      <c r="IV109" s="272"/>
      <c r="IW109" s="274"/>
      <c r="IX109" s="274"/>
      <c r="IY109" s="272"/>
    </row>
    <row r="110" spans="10:259">
      <c r="J110" s="267"/>
      <c r="K110" s="267"/>
      <c r="L110" s="267"/>
      <c r="M110" s="267"/>
      <c r="N110" s="267"/>
      <c r="O110" s="267"/>
      <c r="P110" s="267"/>
      <c r="Q110" s="267"/>
      <c r="S110" s="267"/>
      <c r="T110" s="267"/>
      <c r="U110" s="267"/>
      <c r="V110" s="267"/>
      <c r="W110" s="264"/>
      <c r="Y110" s="267"/>
      <c r="Z110" s="267"/>
      <c r="AA110" s="267"/>
      <c r="AB110" s="267"/>
      <c r="AE110" s="267"/>
      <c r="AF110" s="267"/>
      <c r="AG110" s="267"/>
      <c r="AH110" s="267"/>
      <c r="AK110" s="267"/>
      <c r="AL110" s="267"/>
      <c r="AM110" s="267"/>
      <c r="AN110" s="267"/>
      <c r="AQ110" s="267"/>
      <c r="AR110" s="267"/>
      <c r="AS110" s="267"/>
      <c r="AT110" s="267"/>
      <c r="AW110" s="267"/>
      <c r="AX110" s="267"/>
      <c r="AY110" s="267"/>
      <c r="AZ110" s="267"/>
      <c r="BG110" s="269"/>
      <c r="BM110" s="269"/>
      <c r="BS110" s="269"/>
      <c r="BU110" s="267"/>
      <c r="BY110" s="267"/>
      <c r="CC110" s="267"/>
      <c r="CG110" s="267"/>
      <c r="CS110" s="267"/>
      <c r="CW110" s="270"/>
      <c r="CX110" s="267"/>
      <c r="DC110" s="267"/>
      <c r="DH110" s="267"/>
      <c r="DM110" s="267"/>
      <c r="DR110" s="267"/>
      <c r="DW110" s="267"/>
      <c r="EB110" s="267"/>
      <c r="EG110" s="267"/>
      <c r="EL110" s="267"/>
      <c r="EQ110" s="267"/>
      <c r="EU110" s="270"/>
      <c r="EV110" s="267"/>
      <c r="FC110" s="267"/>
      <c r="FD110" s="267"/>
      <c r="FE110" s="267"/>
      <c r="FF110" s="267"/>
      <c r="FG110" s="267"/>
      <c r="FL110" s="267"/>
      <c r="FM110" s="267"/>
      <c r="FN110" s="267"/>
      <c r="FO110" s="267"/>
      <c r="FP110" s="267"/>
      <c r="FQ110" s="264"/>
      <c r="FR110" s="264"/>
      <c r="FS110" s="264"/>
      <c r="FT110" s="264"/>
      <c r="FU110" s="267"/>
      <c r="FV110" s="267"/>
      <c r="FW110" s="267"/>
      <c r="FX110" s="267"/>
      <c r="FY110" s="267"/>
      <c r="GD110" s="267"/>
      <c r="GE110" s="267"/>
      <c r="GF110" s="267"/>
      <c r="GG110" s="267"/>
      <c r="GH110" s="267"/>
      <c r="GI110" s="264"/>
      <c r="GJ110" s="264"/>
      <c r="GK110" s="264"/>
      <c r="GL110" s="264"/>
      <c r="HD110" s="267"/>
      <c r="HE110" s="267"/>
      <c r="HF110" s="267"/>
      <c r="HG110" s="267"/>
      <c r="HH110" s="267"/>
      <c r="HI110" s="267"/>
      <c r="HJ110" s="267"/>
      <c r="HK110" s="267"/>
      <c r="HL110" s="267"/>
      <c r="HM110" s="267"/>
      <c r="HN110" s="267"/>
      <c r="HO110" s="267"/>
      <c r="HP110" s="267"/>
      <c r="HQ110" s="267"/>
      <c r="HR110" s="267"/>
      <c r="HS110" s="267"/>
      <c r="HT110" s="267"/>
      <c r="HU110" s="267"/>
      <c r="IH110" s="267"/>
      <c r="IK110" s="267"/>
      <c r="IN110" s="267"/>
      <c r="IQ110" s="267"/>
      <c r="IR110" s="267"/>
      <c r="IS110" s="267"/>
      <c r="IT110" s="274"/>
      <c r="IU110" s="274"/>
      <c r="IV110" s="272"/>
      <c r="IW110" s="274"/>
      <c r="IX110" s="274"/>
      <c r="IY110" s="272"/>
    </row>
    <row r="111" spans="10:259">
      <c r="J111" s="267"/>
      <c r="K111" s="267"/>
      <c r="L111" s="267"/>
      <c r="M111" s="267"/>
      <c r="N111" s="267"/>
      <c r="O111" s="267"/>
      <c r="P111" s="267"/>
      <c r="Q111" s="267"/>
      <c r="S111" s="267"/>
      <c r="T111" s="267"/>
      <c r="U111" s="267"/>
      <c r="V111" s="267"/>
      <c r="W111" s="264"/>
      <c r="Y111" s="267"/>
      <c r="Z111" s="267"/>
      <c r="AA111" s="267"/>
      <c r="AB111" s="267"/>
      <c r="AE111" s="267"/>
      <c r="AF111" s="267"/>
      <c r="AG111" s="267"/>
      <c r="AH111" s="267"/>
      <c r="AK111" s="267"/>
      <c r="AL111" s="267"/>
      <c r="AM111" s="267"/>
      <c r="AN111" s="267"/>
      <c r="AQ111" s="267"/>
      <c r="AR111" s="267"/>
      <c r="AS111" s="267"/>
      <c r="AT111" s="267"/>
      <c r="AW111" s="267"/>
      <c r="AX111" s="267"/>
      <c r="AY111" s="267"/>
      <c r="AZ111" s="267"/>
      <c r="BG111" s="269"/>
      <c r="BM111" s="269"/>
      <c r="BS111" s="269"/>
      <c r="BU111" s="267"/>
      <c r="BY111" s="267"/>
      <c r="CC111" s="267"/>
      <c r="CG111" s="267"/>
      <c r="CS111" s="267"/>
      <c r="CW111" s="270"/>
      <c r="CX111" s="267"/>
      <c r="DC111" s="267"/>
      <c r="DH111" s="267"/>
      <c r="DM111" s="267"/>
      <c r="DR111" s="267"/>
      <c r="DW111" s="267"/>
      <c r="EB111" s="267"/>
      <c r="EG111" s="267"/>
      <c r="EL111" s="267"/>
      <c r="EQ111" s="267"/>
      <c r="EU111" s="270"/>
      <c r="EV111" s="267"/>
      <c r="FC111" s="267"/>
      <c r="FD111" s="267"/>
      <c r="FE111" s="267"/>
      <c r="FF111" s="267"/>
      <c r="FG111" s="267"/>
      <c r="FL111" s="267"/>
      <c r="FM111" s="267"/>
      <c r="FN111" s="267"/>
      <c r="FO111" s="267"/>
      <c r="FP111" s="267"/>
      <c r="FQ111" s="264"/>
      <c r="FR111" s="264"/>
      <c r="FS111" s="264"/>
      <c r="FT111" s="264"/>
      <c r="FU111" s="267"/>
      <c r="FV111" s="267"/>
      <c r="FW111" s="267"/>
      <c r="FX111" s="267"/>
      <c r="FY111" s="267"/>
      <c r="GD111" s="267"/>
      <c r="GE111" s="267"/>
      <c r="GF111" s="267"/>
      <c r="GG111" s="267"/>
      <c r="GH111" s="267"/>
      <c r="GI111" s="264"/>
      <c r="GJ111" s="264"/>
      <c r="GK111" s="264"/>
      <c r="GL111" s="264"/>
      <c r="HD111" s="267"/>
      <c r="HE111" s="267"/>
      <c r="HF111" s="267"/>
      <c r="HG111" s="267"/>
      <c r="HH111" s="267"/>
      <c r="HI111" s="267"/>
      <c r="HJ111" s="267"/>
      <c r="HK111" s="267"/>
      <c r="HL111" s="267"/>
      <c r="HM111" s="267"/>
      <c r="HN111" s="267"/>
      <c r="HO111" s="267"/>
      <c r="HP111" s="267"/>
      <c r="HQ111" s="267"/>
      <c r="HR111" s="267"/>
      <c r="HS111" s="267"/>
      <c r="HT111" s="267"/>
      <c r="HU111" s="267"/>
      <c r="IH111" s="267"/>
      <c r="IK111" s="267"/>
      <c r="IN111" s="267"/>
      <c r="IQ111" s="267"/>
      <c r="IR111" s="267"/>
      <c r="IS111" s="267"/>
      <c r="IT111" s="274"/>
      <c r="IU111" s="274"/>
      <c r="IV111" s="272"/>
      <c r="IW111" s="274"/>
      <c r="IX111" s="274"/>
      <c r="IY111" s="272"/>
    </row>
    <row r="112" spans="10:259">
      <c r="J112" s="267"/>
      <c r="K112" s="267"/>
      <c r="L112" s="267"/>
      <c r="M112" s="267"/>
      <c r="N112" s="267"/>
      <c r="O112" s="267"/>
      <c r="P112" s="267"/>
      <c r="Q112" s="267"/>
      <c r="S112" s="267"/>
      <c r="T112" s="267"/>
      <c r="U112" s="267"/>
      <c r="V112" s="267"/>
      <c r="W112" s="264"/>
      <c r="Y112" s="267"/>
      <c r="Z112" s="267"/>
      <c r="AA112" s="267"/>
      <c r="AB112" s="267"/>
      <c r="AE112" s="267"/>
      <c r="AF112" s="267"/>
      <c r="AG112" s="267"/>
      <c r="AH112" s="267"/>
      <c r="AK112" s="267"/>
      <c r="AL112" s="267"/>
      <c r="AM112" s="267"/>
      <c r="AN112" s="267"/>
      <c r="AQ112" s="267"/>
      <c r="AR112" s="267"/>
      <c r="AS112" s="267"/>
      <c r="AT112" s="267"/>
      <c r="AW112" s="267"/>
      <c r="AX112" s="267"/>
      <c r="AY112" s="267"/>
      <c r="AZ112" s="267"/>
      <c r="BG112" s="269"/>
      <c r="BM112" s="269"/>
      <c r="BS112" s="269"/>
      <c r="BU112" s="267"/>
      <c r="BY112" s="267"/>
      <c r="CC112" s="267"/>
      <c r="CG112" s="267"/>
      <c r="CS112" s="267"/>
      <c r="CW112" s="270"/>
      <c r="CX112" s="267"/>
      <c r="DC112" s="267"/>
      <c r="DH112" s="267"/>
      <c r="DM112" s="267"/>
      <c r="DR112" s="267"/>
      <c r="DW112" s="267"/>
      <c r="EB112" s="267"/>
      <c r="EG112" s="267"/>
      <c r="EL112" s="267"/>
      <c r="EQ112" s="267"/>
      <c r="EU112" s="270"/>
      <c r="EV112" s="267"/>
      <c r="FC112" s="267"/>
      <c r="FD112" s="267"/>
      <c r="FE112" s="267"/>
      <c r="FF112" s="267"/>
      <c r="FG112" s="267"/>
      <c r="FL112" s="267"/>
      <c r="FM112" s="267"/>
      <c r="FN112" s="267"/>
      <c r="FO112" s="267"/>
      <c r="FP112" s="267"/>
      <c r="FQ112" s="264"/>
      <c r="FR112" s="264"/>
      <c r="FS112" s="264"/>
      <c r="FT112" s="264"/>
      <c r="FU112" s="267"/>
      <c r="FV112" s="267"/>
      <c r="FW112" s="267"/>
      <c r="FX112" s="267"/>
      <c r="FY112" s="267"/>
      <c r="GD112" s="267"/>
      <c r="GE112" s="267"/>
      <c r="GF112" s="267"/>
      <c r="GG112" s="267"/>
      <c r="GH112" s="267"/>
      <c r="GI112" s="264"/>
      <c r="GJ112" s="264"/>
      <c r="GK112" s="264"/>
      <c r="GL112" s="264"/>
      <c r="HD112" s="267"/>
      <c r="HE112" s="267"/>
      <c r="HF112" s="267"/>
      <c r="HG112" s="267"/>
      <c r="HH112" s="267"/>
      <c r="HI112" s="267"/>
      <c r="HJ112" s="267"/>
      <c r="HK112" s="267"/>
      <c r="HL112" s="267"/>
      <c r="HM112" s="267"/>
      <c r="HN112" s="267"/>
      <c r="HO112" s="267"/>
      <c r="HP112" s="267"/>
      <c r="HQ112" s="267"/>
      <c r="HR112" s="267"/>
      <c r="HS112" s="267"/>
      <c r="HT112" s="267"/>
      <c r="HU112" s="267"/>
      <c r="IH112" s="267"/>
      <c r="IK112" s="267"/>
      <c r="IN112" s="267"/>
      <c r="IQ112" s="267"/>
      <c r="IR112" s="267"/>
      <c r="IS112" s="267"/>
      <c r="IT112" s="274"/>
      <c r="IU112" s="274"/>
      <c r="IV112" s="272"/>
      <c r="IW112" s="274"/>
      <c r="IX112" s="274"/>
      <c r="IY112" s="272"/>
    </row>
    <row r="113" spans="10:259">
      <c r="J113" s="267"/>
      <c r="K113" s="267"/>
      <c r="L113" s="267"/>
      <c r="M113" s="267"/>
      <c r="N113" s="267"/>
      <c r="O113" s="267"/>
      <c r="P113" s="267"/>
      <c r="Q113" s="267"/>
      <c r="S113" s="267"/>
      <c r="T113" s="267"/>
      <c r="U113" s="267"/>
      <c r="V113" s="267"/>
      <c r="W113" s="264"/>
      <c r="Y113" s="267"/>
      <c r="Z113" s="267"/>
      <c r="AA113" s="267"/>
      <c r="AB113" s="267"/>
      <c r="AE113" s="267"/>
      <c r="AF113" s="267"/>
      <c r="AG113" s="267"/>
      <c r="AH113" s="267"/>
      <c r="AK113" s="267"/>
      <c r="AL113" s="267"/>
      <c r="AM113" s="267"/>
      <c r="AN113" s="267"/>
      <c r="AQ113" s="267"/>
      <c r="AR113" s="267"/>
      <c r="AS113" s="267"/>
      <c r="AT113" s="267"/>
      <c r="AW113" s="267"/>
      <c r="AX113" s="267"/>
      <c r="AY113" s="267"/>
      <c r="AZ113" s="267"/>
      <c r="BG113" s="269"/>
      <c r="BM113" s="269"/>
      <c r="BS113" s="269"/>
      <c r="BU113" s="267"/>
      <c r="BY113" s="267"/>
      <c r="CC113" s="267"/>
      <c r="CG113" s="267"/>
      <c r="CS113" s="267"/>
      <c r="CW113" s="270"/>
      <c r="CX113" s="267"/>
      <c r="DC113" s="267"/>
      <c r="DH113" s="267"/>
      <c r="DM113" s="267"/>
      <c r="DR113" s="267"/>
      <c r="DW113" s="267"/>
      <c r="EB113" s="267"/>
      <c r="EG113" s="267"/>
      <c r="EL113" s="267"/>
      <c r="EQ113" s="267"/>
      <c r="EU113" s="270"/>
      <c r="EV113" s="267"/>
      <c r="FC113" s="267"/>
      <c r="FD113" s="267"/>
      <c r="FE113" s="267"/>
      <c r="FF113" s="267"/>
      <c r="FG113" s="267"/>
      <c r="FL113" s="267"/>
      <c r="FM113" s="267"/>
      <c r="FN113" s="267"/>
      <c r="FO113" s="267"/>
      <c r="FP113" s="267"/>
      <c r="FQ113" s="264"/>
      <c r="FR113" s="264"/>
      <c r="FS113" s="264"/>
      <c r="FT113" s="264"/>
      <c r="FU113" s="267"/>
      <c r="FV113" s="267"/>
      <c r="FW113" s="267"/>
      <c r="FX113" s="267"/>
      <c r="FY113" s="267"/>
      <c r="GD113" s="267"/>
      <c r="GE113" s="267"/>
      <c r="GF113" s="267"/>
      <c r="GG113" s="267"/>
      <c r="GH113" s="267"/>
      <c r="GI113" s="264"/>
      <c r="GJ113" s="264"/>
      <c r="GK113" s="264"/>
      <c r="GL113" s="264"/>
      <c r="HD113" s="267"/>
      <c r="HE113" s="267"/>
      <c r="HF113" s="267"/>
      <c r="HG113" s="267"/>
      <c r="HH113" s="267"/>
      <c r="HI113" s="267"/>
      <c r="HJ113" s="267"/>
      <c r="HK113" s="267"/>
      <c r="HL113" s="267"/>
      <c r="HM113" s="267"/>
      <c r="HN113" s="267"/>
      <c r="HO113" s="267"/>
      <c r="HP113" s="267"/>
      <c r="HQ113" s="267"/>
      <c r="HR113" s="267"/>
      <c r="HS113" s="267"/>
      <c r="HT113" s="267"/>
      <c r="HU113" s="267"/>
      <c r="IH113" s="267"/>
      <c r="IK113" s="267"/>
      <c r="IN113" s="267"/>
      <c r="IQ113" s="267"/>
      <c r="IR113" s="267"/>
      <c r="IS113" s="267"/>
      <c r="IT113" s="274"/>
      <c r="IU113" s="274"/>
      <c r="IV113" s="272"/>
      <c r="IW113" s="274"/>
      <c r="IX113" s="274"/>
      <c r="IY113" s="272"/>
    </row>
    <row r="114" spans="10:259">
      <c r="J114" s="267"/>
      <c r="K114" s="267"/>
      <c r="L114" s="267"/>
      <c r="M114" s="267"/>
      <c r="N114" s="267"/>
      <c r="O114" s="267"/>
      <c r="P114" s="267"/>
      <c r="Q114" s="267"/>
      <c r="S114" s="267"/>
      <c r="T114" s="267"/>
      <c r="U114" s="267"/>
      <c r="V114" s="267"/>
      <c r="W114" s="264"/>
      <c r="Y114" s="267"/>
      <c r="Z114" s="267"/>
      <c r="AA114" s="267"/>
      <c r="AB114" s="267"/>
      <c r="AE114" s="267"/>
      <c r="AF114" s="267"/>
      <c r="AG114" s="267"/>
      <c r="AH114" s="267"/>
      <c r="AK114" s="267"/>
      <c r="AL114" s="267"/>
      <c r="AM114" s="267"/>
      <c r="AN114" s="267"/>
      <c r="AQ114" s="267"/>
      <c r="AR114" s="267"/>
      <c r="AS114" s="267"/>
      <c r="AT114" s="267"/>
      <c r="AW114" s="267"/>
      <c r="AX114" s="267"/>
      <c r="AY114" s="267"/>
      <c r="AZ114" s="267"/>
      <c r="BG114" s="269"/>
      <c r="BM114" s="269"/>
      <c r="BS114" s="269"/>
      <c r="BU114" s="267"/>
      <c r="BY114" s="267"/>
      <c r="CC114" s="267"/>
      <c r="CG114" s="267"/>
      <c r="CS114" s="267"/>
      <c r="CW114" s="270"/>
      <c r="CX114" s="267"/>
      <c r="DC114" s="267"/>
      <c r="DH114" s="267"/>
      <c r="DM114" s="267"/>
      <c r="DR114" s="267"/>
      <c r="DW114" s="267"/>
      <c r="EB114" s="267"/>
      <c r="EG114" s="267"/>
      <c r="EL114" s="267"/>
      <c r="EQ114" s="267"/>
      <c r="EU114" s="270"/>
      <c r="EV114" s="267"/>
      <c r="FC114" s="267"/>
      <c r="FD114" s="267"/>
      <c r="FE114" s="267"/>
      <c r="FF114" s="267"/>
      <c r="FG114" s="267"/>
      <c r="FL114" s="267"/>
      <c r="FM114" s="267"/>
      <c r="FN114" s="267"/>
      <c r="FO114" s="267"/>
      <c r="FP114" s="267"/>
      <c r="FQ114" s="264"/>
      <c r="FR114" s="264"/>
      <c r="FS114" s="264"/>
      <c r="FT114" s="264"/>
      <c r="FU114" s="267"/>
      <c r="FV114" s="267"/>
      <c r="FW114" s="267"/>
      <c r="FX114" s="267"/>
      <c r="FY114" s="267"/>
      <c r="GD114" s="267"/>
      <c r="GE114" s="267"/>
      <c r="GF114" s="267"/>
      <c r="GG114" s="267"/>
      <c r="GH114" s="267"/>
      <c r="GI114" s="264"/>
      <c r="GJ114" s="264"/>
      <c r="GK114" s="264"/>
      <c r="GL114" s="264"/>
      <c r="HD114" s="267"/>
      <c r="HE114" s="267"/>
      <c r="HF114" s="267"/>
      <c r="HG114" s="267"/>
      <c r="HH114" s="267"/>
      <c r="HI114" s="267"/>
      <c r="HJ114" s="267"/>
      <c r="HK114" s="267"/>
      <c r="HL114" s="267"/>
      <c r="HM114" s="267"/>
      <c r="HN114" s="267"/>
      <c r="HO114" s="267"/>
      <c r="HP114" s="267"/>
      <c r="HQ114" s="267"/>
      <c r="HR114" s="267"/>
      <c r="HS114" s="267"/>
      <c r="HT114" s="267"/>
      <c r="HU114" s="267"/>
      <c r="IH114" s="267"/>
      <c r="IK114" s="267"/>
      <c r="IN114" s="267"/>
      <c r="IQ114" s="267"/>
      <c r="IR114" s="267"/>
      <c r="IS114" s="267"/>
      <c r="IT114" s="274"/>
      <c r="IU114" s="274"/>
      <c r="IV114" s="272"/>
      <c r="IW114" s="274"/>
      <c r="IX114" s="274"/>
      <c r="IY114" s="272"/>
    </row>
    <row r="115" spans="10:259">
      <c r="J115" s="267"/>
      <c r="K115" s="267"/>
      <c r="L115" s="267"/>
      <c r="M115" s="267"/>
      <c r="N115" s="267"/>
      <c r="O115" s="267"/>
      <c r="P115" s="267"/>
      <c r="Q115" s="267"/>
      <c r="S115" s="267"/>
      <c r="T115" s="267"/>
      <c r="U115" s="267"/>
      <c r="V115" s="267"/>
      <c r="W115" s="264"/>
      <c r="Y115" s="267"/>
      <c r="Z115" s="267"/>
      <c r="AA115" s="267"/>
      <c r="AB115" s="267"/>
      <c r="AE115" s="267"/>
      <c r="AF115" s="267"/>
      <c r="AG115" s="267"/>
      <c r="AH115" s="267"/>
      <c r="AK115" s="267"/>
      <c r="AL115" s="267"/>
      <c r="AM115" s="267"/>
      <c r="AN115" s="267"/>
      <c r="AQ115" s="267"/>
      <c r="AR115" s="267"/>
      <c r="AS115" s="267"/>
      <c r="AT115" s="267"/>
      <c r="AW115" s="267"/>
      <c r="AX115" s="267"/>
      <c r="AY115" s="267"/>
      <c r="AZ115" s="267"/>
      <c r="BG115" s="269"/>
      <c r="BM115" s="269"/>
      <c r="BS115" s="269"/>
      <c r="BU115" s="267"/>
      <c r="BY115" s="267"/>
      <c r="CC115" s="267"/>
      <c r="CG115" s="267"/>
      <c r="CS115" s="267"/>
      <c r="CW115" s="270"/>
      <c r="CX115" s="267"/>
      <c r="DC115" s="267"/>
      <c r="DH115" s="267"/>
      <c r="DM115" s="267"/>
      <c r="DR115" s="267"/>
      <c r="DW115" s="267"/>
      <c r="EB115" s="267"/>
      <c r="EG115" s="267"/>
      <c r="EL115" s="267"/>
      <c r="EQ115" s="267"/>
      <c r="EU115" s="270"/>
      <c r="EV115" s="267"/>
      <c r="FC115" s="267"/>
      <c r="FD115" s="267"/>
      <c r="FE115" s="267"/>
      <c r="FF115" s="267"/>
      <c r="FG115" s="267"/>
      <c r="FL115" s="267"/>
      <c r="FM115" s="267"/>
      <c r="FN115" s="267"/>
      <c r="FO115" s="267"/>
      <c r="FP115" s="267"/>
      <c r="FQ115" s="264"/>
      <c r="FR115" s="264"/>
      <c r="FS115" s="264"/>
      <c r="FT115" s="264"/>
      <c r="FU115" s="267"/>
      <c r="FV115" s="267"/>
      <c r="FW115" s="267"/>
      <c r="FX115" s="267"/>
      <c r="FY115" s="267"/>
      <c r="GD115" s="267"/>
      <c r="GE115" s="267"/>
      <c r="GF115" s="267"/>
      <c r="GG115" s="267"/>
      <c r="GH115" s="267"/>
      <c r="GI115" s="264"/>
      <c r="GJ115" s="264"/>
      <c r="GK115" s="264"/>
      <c r="GL115" s="264"/>
      <c r="HD115" s="267"/>
      <c r="HE115" s="267"/>
      <c r="HF115" s="267"/>
      <c r="HG115" s="267"/>
      <c r="HH115" s="267"/>
      <c r="HI115" s="267"/>
      <c r="HJ115" s="267"/>
      <c r="HK115" s="267"/>
      <c r="HL115" s="267"/>
      <c r="HM115" s="267"/>
      <c r="HN115" s="267"/>
      <c r="HO115" s="267"/>
      <c r="HP115" s="267"/>
      <c r="HQ115" s="267"/>
      <c r="HR115" s="267"/>
      <c r="HS115" s="267"/>
      <c r="HT115" s="267"/>
      <c r="HU115" s="267"/>
      <c r="IH115" s="267"/>
      <c r="IK115" s="267"/>
      <c r="IN115" s="267"/>
      <c r="IQ115" s="267"/>
      <c r="IR115" s="267"/>
      <c r="IS115" s="267"/>
      <c r="IT115" s="274"/>
      <c r="IU115" s="274"/>
      <c r="IV115" s="272"/>
      <c r="IW115" s="274"/>
      <c r="IX115" s="274"/>
      <c r="IY115" s="272"/>
    </row>
    <row r="116" spans="10:259">
      <c r="J116" s="267"/>
      <c r="K116" s="267"/>
      <c r="L116" s="267"/>
      <c r="M116" s="267"/>
      <c r="N116" s="267"/>
      <c r="O116" s="267"/>
      <c r="P116" s="267"/>
      <c r="Q116" s="267"/>
      <c r="S116" s="267"/>
      <c r="T116" s="267"/>
      <c r="U116" s="267"/>
      <c r="V116" s="267"/>
      <c r="W116" s="264"/>
      <c r="Y116" s="267"/>
      <c r="Z116" s="267"/>
      <c r="AA116" s="267"/>
      <c r="AB116" s="267"/>
      <c r="AE116" s="267"/>
      <c r="AF116" s="267"/>
      <c r="AG116" s="267"/>
      <c r="AH116" s="267"/>
      <c r="AK116" s="267"/>
      <c r="AL116" s="267"/>
      <c r="AM116" s="267"/>
      <c r="AN116" s="267"/>
      <c r="AQ116" s="267"/>
      <c r="AR116" s="267"/>
      <c r="AS116" s="267"/>
      <c r="AT116" s="267"/>
      <c r="AW116" s="267"/>
      <c r="AX116" s="267"/>
      <c r="AY116" s="267"/>
      <c r="AZ116" s="267"/>
      <c r="BG116" s="269"/>
      <c r="BM116" s="269"/>
      <c r="BS116" s="269"/>
      <c r="BU116" s="267"/>
      <c r="BY116" s="267"/>
      <c r="CC116" s="267"/>
      <c r="CG116" s="267"/>
      <c r="CS116" s="267"/>
      <c r="CW116" s="270"/>
      <c r="CX116" s="267"/>
      <c r="DC116" s="267"/>
      <c r="DH116" s="267"/>
      <c r="DM116" s="267"/>
      <c r="DR116" s="267"/>
      <c r="DW116" s="267"/>
      <c r="EB116" s="267"/>
      <c r="EG116" s="267"/>
      <c r="EL116" s="267"/>
      <c r="EQ116" s="267"/>
      <c r="EU116" s="270"/>
      <c r="EV116" s="267"/>
      <c r="FC116" s="267"/>
      <c r="FD116" s="267"/>
      <c r="FE116" s="267"/>
      <c r="FF116" s="267"/>
      <c r="FG116" s="267"/>
      <c r="FL116" s="267"/>
      <c r="FM116" s="267"/>
      <c r="FN116" s="267"/>
      <c r="FO116" s="267"/>
      <c r="FP116" s="267"/>
      <c r="FQ116" s="264"/>
      <c r="FR116" s="264"/>
      <c r="FS116" s="264"/>
      <c r="FT116" s="264"/>
      <c r="FU116" s="267"/>
      <c r="FV116" s="267"/>
      <c r="FW116" s="267"/>
      <c r="FX116" s="267"/>
      <c r="FY116" s="267"/>
      <c r="GD116" s="267"/>
      <c r="GE116" s="267"/>
      <c r="GF116" s="267"/>
      <c r="GG116" s="267"/>
      <c r="GH116" s="267"/>
      <c r="GI116" s="264"/>
      <c r="GJ116" s="264"/>
      <c r="GK116" s="264"/>
      <c r="GL116" s="264"/>
      <c r="HD116" s="267"/>
      <c r="HE116" s="267"/>
      <c r="HF116" s="267"/>
      <c r="HG116" s="267"/>
      <c r="HH116" s="267"/>
      <c r="HI116" s="267"/>
      <c r="HJ116" s="267"/>
      <c r="HK116" s="267"/>
      <c r="HL116" s="267"/>
      <c r="HM116" s="267"/>
      <c r="HN116" s="267"/>
      <c r="HO116" s="267"/>
      <c r="HP116" s="267"/>
      <c r="HQ116" s="267"/>
      <c r="HR116" s="267"/>
      <c r="HS116" s="267"/>
      <c r="HT116" s="267"/>
      <c r="HU116" s="267"/>
      <c r="IH116" s="267"/>
      <c r="IK116" s="267"/>
      <c r="IN116" s="267"/>
      <c r="IQ116" s="267"/>
      <c r="IR116" s="267"/>
      <c r="IS116" s="267"/>
      <c r="IT116" s="274"/>
      <c r="IU116" s="274"/>
      <c r="IV116" s="272"/>
      <c r="IW116" s="274"/>
      <c r="IX116" s="274"/>
      <c r="IY116" s="272"/>
    </row>
    <row r="117" spans="10:259">
      <c r="J117" s="267"/>
      <c r="K117" s="267"/>
      <c r="L117" s="267"/>
      <c r="M117" s="267"/>
      <c r="N117" s="267"/>
      <c r="O117" s="267"/>
      <c r="P117" s="267"/>
      <c r="Q117" s="267"/>
      <c r="S117" s="267"/>
      <c r="T117" s="267"/>
      <c r="U117" s="267"/>
      <c r="V117" s="267"/>
      <c r="W117" s="264"/>
      <c r="Y117" s="267"/>
      <c r="Z117" s="267"/>
      <c r="AA117" s="267"/>
      <c r="AB117" s="267"/>
      <c r="AE117" s="267"/>
      <c r="AF117" s="267"/>
      <c r="AG117" s="267"/>
      <c r="AH117" s="267"/>
      <c r="AK117" s="267"/>
      <c r="AL117" s="267"/>
      <c r="AM117" s="267"/>
      <c r="AN117" s="267"/>
      <c r="AQ117" s="267"/>
      <c r="AR117" s="267"/>
      <c r="AS117" s="267"/>
      <c r="AT117" s="267"/>
      <c r="AW117" s="267"/>
      <c r="AX117" s="267"/>
      <c r="AY117" s="267"/>
      <c r="AZ117" s="267"/>
      <c r="BG117" s="269"/>
      <c r="BM117" s="269"/>
      <c r="BS117" s="269"/>
      <c r="BU117" s="267"/>
      <c r="BY117" s="267"/>
      <c r="CC117" s="267"/>
      <c r="CG117" s="267"/>
      <c r="CS117" s="267"/>
      <c r="CW117" s="270"/>
      <c r="CX117" s="267"/>
      <c r="DC117" s="267"/>
      <c r="DH117" s="267"/>
      <c r="DM117" s="267"/>
      <c r="DR117" s="267"/>
      <c r="DW117" s="267"/>
      <c r="EB117" s="267"/>
      <c r="EG117" s="267"/>
      <c r="EL117" s="267"/>
      <c r="EQ117" s="267"/>
      <c r="EU117" s="270"/>
      <c r="EV117" s="267"/>
      <c r="FC117" s="267"/>
      <c r="FD117" s="267"/>
      <c r="FE117" s="267"/>
      <c r="FF117" s="267"/>
      <c r="FG117" s="267"/>
      <c r="FL117" s="267"/>
      <c r="FM117" s="267"/>
      <c r="FN117" s="267"/>
      <c r="FO117" s="267"/>
      <c r="FP117" s="267"/>
      <c r="FQ117" s="264"/>
      <c r="FR117" s="264"/>
      <c r="FS117" s="264"/>
      <c r="FT117" s="264"/>
      <c r="FU117" s="267"/>
      <c r="FV117" s="267"/>
      <c r="FW117" s="267"/>
      <c r="FX117" s="267"/>
      <c r="FY117" s="267"/>
      <c r="GD117" s="267"/>
      <c r="GE117" s="267"/>
      <c r="GF117" s="267"/>
      <c r="GG117" s="267"/>
      <c r="GH117" s="267"/>
      <c r="GI117" s="264"/>
      <c r="GJ117" s="264"/>
      <c r="GK117" s="264"/>
      <c r="GL117" s="264"/>
      <c r="HD117" s="267"/>
      <c r="HE117" s="267"/>
      <c r="HF117" s="267"/>
      <c r="HG117" s="267"/>
      <c r="HH117" s="267"/>
      <c r="HI117" s="267"/>
      <c r="HJ117" s="267"/>
      <c r="HK117" s="267"/>
      <c r="HL117" s="267"/>
      <c r="HM117" s="267"/>
      <c r="HN117" s="267"/>
      <c r="HO117" s="267"/>
      <c r="HP117" s="267"/>
      <c r="HQ117" s="267"/>
      <c r="HR117" s="267"/>
      <c r="HS117" s="267"/>
      <c r="HT117" s="267"/>
      <c r="HU117" s="267"/>
      <c r="IH117" s="267"/>
      <c r="IK117" s="267"/>
      <c r="IN117" s="267"/>
      <c r="IQ117" s="267"/>
      <c r="IR117" s="267"/>
      <c r="IS117" s="267"/>
      <c r="IT117" s="274"/>
      <c r="IU117" s="274"/>
      <c r="IV117" s="272"/>
      <c r="IW117" s="274"/>
      <c r="IX117" s="274"/>
      <c r="IY117" s="272"/>
    </row>
    <row r="118" spans="10:259">
      <c r="J118" s="267"/>
      <c r="K118" s="267"/>
      <c r="L118" s="267"/>
      <c r="M118" s="267"/>
      <c r="N118" s="267"/>
      <c r="O118" s="267"/>
      <c r="P118" s="267"/>
      <c r="Q118" s="267"/>
      <c r="S118" s="267"/>
      <c r="T118" s="267"/>
      <c r="U118" s="267"/>
      <c r="V118" s="267"/>
      <c r="W118" s="264"/>
      <c r="Y118" s="267"/>
      <c r="Z118" s="267"/>
      <c r="AA118" s="267"/>
      <c r="AB118" s="267"/>
      <c r="AE118" s="267"/>
      <c r="AF118" s="267"/>
      <c r="AG118" s="267"/>
      <c r="AH118" s="267"/>
      <c r="AK118" s="267"/>
      <c r="AL118" s="267"/>
      <c r="AM118" s="267"/>
      <c r="AN118" s="267"/>
      <c r="AQ118" s="267"/>
      <c r="AR118" s="267"/>
      <c r="AS118" s="267"/>
      <c r="AT118" s="267"/>
      <c r="AW118" s="267"/>
      <c r="AX118" s="267"/>
      <c r="AY118" s="267"/>
      <c r="AZ118" s="267"/>
      <c r="BG118" s="269"/>
      <c r="BM118" s="269"/>
      <c r="BS118" s="269"/>
      <c r="BU118" s="267"/>
      <c r="BY118" s="267"/>
      <c r="CC118" s="267"/>
      <c r="CG118" s="267"/>
      <c r="CS118" s="267"/>
      <c r="CW118" s="270"/>
      <c r="CX118" s="267"/>
      <c r="DC118" s="267"/>
      <c r="DH118" s="267"/>
      <c r="DM118" s="267"/>
      <c r="DR118" s="267"/>
      <c r="DW118" s="267"/>
      <c r="EB118" s="267"/>
      <c r="EG118" s="267"/>
      <c r="EL118" s="267"/>
      <c r="EQ118" s="267"/>
      <c r="EU118" s="270"/>
      <c r="EV118" s="267"/>
      <c r="FC118" s="267"/>
      <c r="FD118" s="267"/>
      <c r="FE118" s="267"/>
      <c r="FF118" s="267"/>
      <c r="FG118" s="267"/>
      <c r="FL118" s="267"/>
      <c r="FM118" s="267"/>
      <c r="FN118" s="267"/>
      <c r="FO118" s="267"/>
      <c r="FP118" s="267"/>
      <c r="FQ118" s="264"/>
      <c r="FR118" s="264"/>
      <c r="FS118" s="264"/>
      <c r="FT118" s="264"/>
      <c r="FU118" s="267"/>
      <c r="FV118" s="267"/>
      <c r="FW118" s="267"/>
      <c r="FX118" s="267"/>
      <c r="FY118" s="267"/>
      <c r="GD118" s="267"/>
      <c r="GE118" s="267"/>
      <c r="GF118" s="267"/>
      <c r="GG118" s="267"/>
      <c r="GH118" s="267"/>
      <c r="GI118" s="264"/>
      <c r="GJ118" s="264"/>
      <c r="GK118" s="264"/>
      <c r="GL118" s="264"/>
      <c r="HD118" s="267"/>
      <c r="HE118" s="267"/>
      <c r="HF118" s="267"/>
      <c r="HG118" s="267"/>
      <c r="HH118" s="267"/>
      <c r="HI118" s="267"/>
      <c r="HJ118" s="267"/>
      <c r="HK118" s="267"/>
      <c r="HL118" s="267"/>
      <c r="HM118" s="267"/>
      <c r="HN118" s="267"/>
      <c r="HO118" s="267"/>
      <c r="HP118" s="267"/>
      <c r="HQ118" s="267"/>
      <c r="HR118" s="267"/>
      <c r="HS118" s="267"/>
      <c r="HT118" s="267"/>
      <c r="HU118" s="267"/>
      <c r="IH118" s="267"/>
      <c r="IK118" s="267"/>
      <c r="IN118" s="267"/>
      <c r="IQ118" s="267"/>
      <c r="IR118" s="267"/>
      <c r="IS118" s="267"/>
      <c r="IT118" s="274"/>
      <c r="IU118" s="274"/>
      <c r="IV118" s="272"/>
      <c r="IW118" s="274"/>
      <c r="IX118" s="274"/>
      <c r="IY118" s="272"/>
    </row>
    <row r="119" spans="10:259">
      <c r="J119" s="267"/>
      <c r="K119" s="267"/>
      <c r="L119" s="267"/>
      <c r="M119" s="267"/>
      <c r="N119" s="267"/>
      <c r="O119" s="267"/>
      <c r="P119" s="267"/>
      <c r="Q119" s="267"/>
      <c r="S119" s="267"/>
      <c r="T119" s="267"/>
      <c r="U119" s="267"/>
      <c r="V119" s="267"/>
      <c r="W119" s="264"/>
      <c r="Y119" s="267"/>
      <c r="Z119" s="267"/>
      <c r="AA119" s="267"/>
      <c r="AB119" s="267"/>
      <c r="AE119" s="267"/>
      <c r="AF119" s="267"/>
      <c r="AG119" s="267"/>
      <c r="AH119" s="267"/>
      <c r="AK119" s="267"/>
      <c r="AL119" s="267"/>
      <c r="AM119" s="267"/>
      <c r="AN119" s="267"/>
      <c r="AQ119" s="267"/>
      <c r="AR119" s="267"/>
      <c r="AS119" s="267"/>
      <c r="AT119" s="267"/>
      <c r="AW119" s="267"/>
      <c r="AX119" s="267"/>
      <c r="AY119" s="267"/>
      <c r="AZ119" s="267"/>
      <c r="BG119" s="269"/>
      <c r="BM119" s="269"/>
      <c r="BS119" s="269"/>
      <c r="BU119" s="267"/>
      <c r="BY119" s="267"/>
      <c r="CC119" s="267"/>
      <c r="CG119" s="267"/>
      <c r="CS119" s="267"/>
      <c r="CW119" s="270"/>
      <c r="CX119" s="267"/>
      <c r="DC119" s="267"/>
      <c r="DH119" s="267"/>
      <c r="DM119" s="267"/>
      <c r="DR119" s="267"/>
      <c r="DW119" s="267"/>
      <c r="EB119" s="267"/>
      <c r="EG119" s="267"/>
      <c r="EL119" s="267"/>
      <c r="EQ119" s="267"/>
      <c r="EU119" s="270"/>
      <c r="EV119" s="267"/>
      <c r="FC119" s="267"/>
      <c r="FD119" s="267"/>
      <c r="FE119" s="267"/>
      <c r="FF119" s="267"/>
      <c r="FG119" s="267"/>
      <c r="FL119" s="267"/>
      <c r="FM119" s="267"/>
      <c r="FN119" s="267"/>
      <c r="FO119" s="267"/>
      <c r="FP119" s="267"/>
      <c r="FQ119" s="264"/>
      <c r="FR119" s="264"/>
      <c r="FS119" s="264"/>
      <c r="FT119" s="264"/>
      <c r="FU119" s="267"/>
      <c r="FV119" s="267"/>
      <c r="FW119" s="267"/>
      <c r="FX119" s="267"/>
      <c r="FY119" s="267"/>
      <c r="GD119" s="267"/>
      <c r="GE119" s="267"/>
      <c r="GF119" s="267"/>
      <c r="GG119" s="267"/>
      <c r="GH119" s="267"/>
      <c r="GI119" s="264"/>
      <c r="GJ119" s="264"/>
      <c r="GK119" s="264"/>
      <c r="GL119" s="264"/>
      <c r="HD119" s="267"/>
      <c r="HE119" s="267"/>
      <c r="HF119" s="267"/>
      <c r="HG119" s="267"/>
      <c r="HH119" s="267"/>
      <c r="HI119" s="267"/>
      <c r="HJ119" s="267"/>
      <c r="HK119" s="267"/>
      <c r="HL119" s="267"/>
      <c r="HM119" s="267"/>
      <c r="HN119" s="267"/>
      <c r="HO119" s="267"/>
      <c r="HP119" s="267"/>
      <c r="HQ119" s="267"/>
      <c r="HR119" s="267"/>
      <c r="HS119" s="267"/>
      <c r="HT119" s="267"/>
      <c r="HU119" s="267"/>
      <c r="IH119" s="267"/>
      <c r="IK119" s="267"/>
      <c r="IN119" s="267"/>
      <c r="IQ119" s="267"/>
      <c r="IR119" s="267"/>
      <c r="IS119" s="267"/>
      <c r="IT119" s="274"/>
      <c r="IU119" s="274"/>
      <c r="IV119" s="272"/>
      <c r="IW119" s="274"/>
      <c r="IX119" s="274"/>
      <c r="IY119" s="272"/>
    </row>
    <row r="120" spans="10:259">
      <c r="J120" s="267"/>
      <c r="K120" s="267"/>
      <c r="L120" s="267"/>
      <c r="M120" s="267"/>
      <c r="N120" s="267"/>
      <c r="O120" s="267"/>
      <c r="P120" s="267"/>
      <c r="Q120" s="267"/>
      <c r="S120" s="267"/>
      <c r="T120" s="267"/>
      <c r="U120" s="267"/>
      <c r="V120" s="267"/>
      <c r="W120" s="264"/>
      <c r="Y120" s="267"/>
      <c r="Z120" s="267"/>
      <c r="AA120" s="267"/>
      <c r="AB120" s="267"/>
      <c r="AE120" s="267"/>
      <c r="AF120" s="267"/>
      <c r="AG120" s="267"/>
      <c r="AH120" s="267"/>
      <c r="AK120" s="267"/>
      <c r="AL120" s="267"/>
      <c r="AM120" s="267"/>
      <c r="AN120" s="267"/>
      <c r="AQ120" s="267"/>
      <c r="AR120" s="267"/>
      <c r="AS120" s="267"/>
      <c r="AT120" s="267"/>
      <c r="AW120" s="267"/>
      <c r="AX120" s="267"/>
      <c r="AY120" s="267"/>
      <c r="AZ120" s="267"/>
      <c r="BG120" s="269"/>
      <c r="BM120" s="269"/>
      <c r="BS120" s="269"/>
      <c r="BU120" s="267"/>
      <c r="BY120" s="267"/>
      <c r="CC120" s="267"/>
      <c r="CG120" s="267"/>
      <c r="CS120" s="267"/>
      <c r="CW120" s="270"/>
      <c r="CX120" s="267"/>
      <c r="DC120" s="267"/>
      <c r="DH120" s="267"/>
      <c r="DM120" s="267"/>
      <c r="DR120" s="267"/>
      <c r="DW120" s="267"/>
      <c r="EB120" s="267"/>
      <c r="EG120" s="267"/>
      <c r="EL120" s="267"/>
      <c r="EQ120" s="267"/>
      <c r="EU120" s="270"/>
      <c r="EV120" s="267"/>
      <c r="FC120" s="267"/>
      <c r="FD120" s="267"/>
      <c r="FE120" s="267"/>
      <c r="FF120" s="267"/>
      <c r="FG120" s="267"/>
      <c r="FL120" s="267"/>
      <c r="FM120" s="267"/>
      <c r="FN120" s="267"/>
      <c r="FO120" s="267"/>
      <c r="FP120" s="267"/>
      <c r="FQ120" s="264"/>
      <c r="FR120" s="264"/>
      <c r="FS120" s="264"/>
      <c r="FT120" s="264"/>
      <c r="FU120" s="267"/>
      <c r="FV120" s="267"/>
      <c r="FW120" s="267"/>
      <c r="FX120" s="267"/>
      <c r="FY120" s="267"/>
      <c r="GD120" s="267"/>
      <c r="GE120" s="267"/>
      <c r="GF120" s="267"/>
      <c r="GG120" s="267"/>
      <c r="GH120" s="267"/>
      <c r="GI120" s="264"/>
      <c r="GJ120" s="264"/>
      <c r="GK120" s="264"/>
      <c r="GL120" s="264"/>
      <c r="HD120" s="267"/>
      <c r="HE120" s="267"/>
      <c r="HF120" s="267"/>
      <c r="HG120" s="267"/>
      <c r="HH120" s="267"/>
      <c r="HI120" s="267"/>
      <c r="HJ120" s="267"/>
      <c r="HK120" s="267"/>
      <c r="HL120" s="267"/>
      <c r="HM120" s="267"/>
      <c r="HN120" s="267"/>
      <c r="HO120" s="267"/>
      <c r="HP120" s="267"/>
      <c r="HQ120" s="267"/>
      <c r="HR120" s="267"/>
      <c r="HS120" s="267"/>
      <c r="HT120" s="267"/>
      <c r="HU120" s="267"/>
      <c r="IH120" s="267"/>
      <c r="IK120" s="267"/>
      <c r="IN120" s="267"/>
      <c r="IQ120" s="267"/>
      <c r="IR120" s="267"/>
      <c r="IS120" s="267"/>
      <c r="IT120" s="274"/>
      <c r="IU120" s="274"/>
      <c r="IV120" s="272"/>
      <c r="IW120" s="274"/>
      <c r="IX120" s="274"/>
      <c r="IY120" s="272"/>
    </row>
    <row r="121" spans="10:259">
      <c r="J121" s="267"/>
      <c r="K121" s="267"/>
      <c r="L121" s="267"/>
      <c r="M121" s="267"/>
      <c r="N121" s="267"/>
      <c r="O121" s="267"/>
      <c r="P121" s="267"/>
      <c r="Q121" s="267"/>
      <c r="S121" s="267"/>
      <c r="T121" s="267"/>
      <c r="U121" s="267"/>
      <c r="V121" s="267"/>
      <c r="W121" s="264"/>
      <c r="Y121" s="267"/>
      <c r="Z121" s="267"/>
      <c r="AA121" s="267"/>
      <c r="AB121" s="267"/>
      <c r="AE121" s="267"/>
      <c r="AF121" s="267"/>
      <c r="AG121" s="267"/>
      <c r="AH121" s="267"/>
      <c r="AK121" s="267"/>
      <c r="AL121" s="267"/>
      <c r="AM121" s="267"/>
      <c r="AN121" s="267"/>
      <c r="AQ121" s="267"/>
      <c r="AR121" s="267"/>
      <c r="AS121" s="267"/>
      <c r="AT121" s="267"/>
      <c r="AW121" s="267"/>
      <c r="AX121" s="267"/>
      <c r="AY121" s="267"/>
      <c r="AZ121" s="267"/>
      <c r="BG121" s="269"/>
      <c r="BM121" s="269"/>
      <c r="BS121" s="269"/>
      <c r="BU121" s="267"/>
      <c r="BY121" s="267"/>
      <c r="CC121" s="267"/>
      <c r="CG121" s="267"/>
      <c r="CS121" s="267"/>
      <c r="CW121" s="270"/>
      <c r="CX121" s="267"/>
      <c r="DC121" s="267"/>
      <c r="DH121" s="267"/>
      <c r="DM121" s="267"/>
      <c r="DR121" s="267"/>
      <c r="DW121" s="267"/>
      <c r="EB121" s="267"/>
      <c r="EG121" s="267"/>
      <c r="EL121" s="267"/>
      <c r="EQ121" s="267"/>
      <c r="EU121" s="270"/>
      <c r="EV121" s="267"/>
      <c r="FC121" s="267"/>
      <c r="FD121" s="267"/>
      <c r="FE121" s="267"/>
      <c r="FF121" s="267"/>
      <c r="FG121" s="267"/>
      <c r="FL121" s="267"/>
      <c r="FM121" s="267"/>
      <c r="FN121" s="267"/>
      <c r="FO121" s="267"/>
      <c r="FP121" s="267"/>
      <c r="FQ121" s="264"/>
      <c r="FR121" s="264"/>
      <c r="FS121" s="264"/>
      <c r="FT121" s="264"/>
      <c r="FU121" s="267"/>
      <c r="FV121" s="267"/>
      <c r="FW121" s="267"/>
      <c r="FX121" s="267"/>
      <c r="FY121" s="267"/>
      <c r="GD121" s="267"/>
      <c r="GE121" s="267"/>
      <c r="GF121" s="267"/>
      <c r="GG121" s="267"/>
      <c r="GH121" s="267"/>
      <c r="GI121" s="264"/>
      <c r="GJ121" s="264"/>
      <c r="GK121" s="264"/>
      <c r="GL121" s="264"/>
      <c r="HD121" s="267"/>
      <c r="HE121" s="267"/>
      <c r="HF121" s="267"/>
      <c r="HG121" s="267"/>
      <c r="HH121" s="267"/>
      <c r="HI121" s="267"/>
      <c r="HJ121" s="267"/>
      <c r="HK121" s="267"/>
      <c r="HL121" s="267"/>
      <c r="HM121" s="267"/>
      <c r="HN121" s="267"/>
      <c r="HO121" s="267"/>
      <c r="HP121" s="267"/>
      <c r="HQ121" s="267"/>
      <c r="HR121" s="267"/>
      <c r="HS121" s="267"/>
      <c r="HT121" s="267"/>
      <c r="HU121" s="267"/>
      <c r="IH121" s="267"/>
      <c r="IK121" s="267"/>
      <c r="IN121" s="267"/>
      <c r="IQ121" s="267"/>
      <c r="IR121" s="267"/>
      <c r="IS121" s="267"/>
      <c r="IT121" s="274"/>
      <c r="IU121" s="274"/>
      <c r="IV121" s="272"/>
      <c r="IW121" s="274"/>
      <c r="IX121" s="274"/>
      <c r="IY121" s="272"/>
    </row>
    <row r="122" spans="10:259">
      <c r="J122" s="267"/>
      <c r="K122" s="267"/>
      <c r="L122" s="267"/>
      <c r="M122" s="267"/>
      <c r="N122" s="267"/>
      <c r="O122" s="267"/>
      <c r="P122" s="267"/>
      <c r="Q122" s="267"/>
      <c r="S122" s="267"/>
      <c r="T122" s="267"/>
      <c r="U122" s="267"/>
      <c r="V122" s="267"/>
      <c r="W122" s="264"/>
      <c r="Y122" s="267"/>
      <c r="Z122" s="267"/>
      <c r="AA122" s="267"/>
      <c r="AB122" s="267"/>
      <c r="AE122" s="267"/>
      <c r="AF122" s="267"/>
      <c r="AG122" s="267"/>
      <c r="AH122" s="267"/>
      <c r="AK122" s="267"/>
      <c r="AL122" s="267"/>
      <c r="AM122" s="267"/>
      <c r="AN122" s="267"/>
      <c r="AQ122" s="267"/>
      <c r="AR122" s="267"/>
      <c r="AS122" s="267"/>
      <c r="AT122" s="267"/>
      <c r="AW122" s="267"/>
      <c r="AX122" s="267"/>
      <c r="AY122" s="267"/>
      <c r="AZ122" s="267"/>
      <c r="BG122" s="269"/>
      <c r="BM122" s="269"/>
      <c r="BS122" s="269"/>
      <c r="BU122" s="267"/>
      <c r="BY122" s="267"/>
      <c r="CC122" s="267"/>
      <c r="CG122" s="267"/>
      <c r="CS122" s="267"/>
      <c r="CW122" s="270"/>
      <c r="CX122" s="267"/>
      <c r="DC122" s="267"/>
      <c r="DH122" s="267"/>
      <c r="DM122" s="267"/>
      <c r="DR122" s="267"/>
      <c r="DW122" s="267"/>
      <c r="EB122" s="267"/>
      <c r="EG122" s="267"/>
      <c r="EL122" s="267"/>
      <c r="EQ122" s="267"/>
      <c r="EU122" s="270"/>
      <c r="EV122" s="267"/>
      <c r="FC122" s="267"/>
      <c r="FD122" s="267"/>
      <c r="FE122" s="267"/>
      <c r="FF122" s="267"/>
      <c r="FG122" s="267"/>
      <c r="FL122" s="267"/>
      <c r="FM122" s="267"/>
      <c r="FN122" s="267"/>
      <c r="FO122" s="267"/>
      <c r="FP122" s="267"/>
      <c r="FQ122" s="264"/>
      <c r="FR122" s="264"/>
      <c r="FS122" s="264"/>
      <c r="FT122" s="264"/>
      <c r="FU122" s="267"/>
      <c r="FV122" s="267"/>
      <c r="FW122" s="267"/>
      <c r="FX122" s="267"/>
      <c r="FY122" s="267"/>
      <c r="GD122" s="267"/>
      <c r="GE122" s="267"/>
      <c r="GF122" s="267"/>
      <c r="GG122" s="267"/>
      <c r="GH122" s="267"/>
      <c r="GI122" s="264"/>
      <c r="GJ122" s="264"/>
      <c r="GK122" s="264"/>
      <c r="GL122" s="264"/>
      <c r="HD122" s="267"/>
      <c r="HE122" s="267"/>
      <c r="HF122" s="267"/>
      <c r="HG122" s="267"/>
      <c r="HH122" s="267"/>
      <c r="HI122" s="267"/>
      <c r="HJ122" s="267"/>
      <c r="HK122" s="267"/>
      <c r="HL122" s="267"/>
      <c r="HM122" s="267"/>
      <c r="HN122" s="267"/>
      <c r="HO122" s="267"/>
      <c r="HP122" s="267"/>
      <c r="HQ122" s="267"/>
      <c r="HR122" s="267"/>
      <c r="HS122" s="267"/>
      <c r="HT122" s="267"/>
      <c r="HU122" s="267"/>
      <c r="IH122" s="267"/>
      <c r="IK122" s="267"/>
      <c r="IN122" s="267"/>
      <c r="IQ122" s="267"/>
      <c r="IR122" s="267"/>
      <c r="IS122" s="267"/>
      <c r="IT122" s="274"/>
      <c r="IU122" s="274"/>
      <c r="IV122" s="272"/>
      <c r="IW122" s="274"/>
      <c r="IX122" s="274"/>
      <c r="IY122" s="272"/>
    </row>
    <row r="123" spans="10:259">
      <c r="J123" s="267"/>
      <c r="K123" s="267"/>
      <c r="L123" s="267"/>
      <c r="M123" s="267"/>
      <c r="N123" s="267"/>
      <c r="O123" s="267"/>
      <c r="P123" s="267"/>
      <c r="Q123" s="267"/>
      <c r="S123" s="267"/>
      <c r="T123" s="267"/>
      <c r="U123" s="267"/>
      <c r="V123" s="267"/>
      <c r="W123" s="264"/>
      <c r="Y123" s="267"/>
      <c r="Z123" s="267"/>
      <c r="AA123" s="267"/>
      <c r="AB123" s="267"/>
      <c r="AE123" s="267"/>
      <c r="AF123" s="267"/>
      <c r="AG123" s="267"/>
      <c r="AH123" s="267"/>
      <c r="AK123" s="267"/>
      <c r="AL123" s="267"/>
      <c r="AM123" s="267"/>
      <c r="AN123" s="267"/>
      <c r="AQ123" s="267"/>
      <c r="AR123" s="267"/>
      <c r="AS123" s="267"/>
      <c r="AT123" s="267"/>
      <c r="AW123" s="267"/>
      <c r="AX123" s="267"/>
      <c r="AY123" s="267"/>
      <c r="AZ123" s="267"/>
      <c r="BG123" s="269"/>
      <c r="BM123" s="269"/>
      <c r="BS123" s="269"/>
      <c r="BU123" s="267"/>
      <c r="BY123" s="267"/>
      <c r="CC123" s="267"/>
      <c r="CG123" s="267"/>
      <c r="CS123" s="267"/>
      <c r="CW123" s="270"/>
      <c r="CX123" s="267"/>
      <c r="DC123" s="267"/>
      <c r="DH123" s="267"/>
      <c r="DM123" s="267"/>
      <c r="DR123" s="267"/>
      <c r="DW123" s="267"/>
      <c r="EB123" s="267"/>
      <c r="EG123" s="267"/>
      <c r="EL123" s="267"/>
      <c r="EQ123" s="267"/>
      <c r="EU123" s="270"/>
      <c r="EV123" s="267"/>
      <c r="FC123" s="267"/>
      <c r="FD123" s="267"/>
      <c r="FE123" s="267"/>
      <c r="FF123" s="267"/>
      <c r="FG123" s="267"/>
      <c r="FL123" s="267"/>
      <c r="FM123" s="267"/>
      <c r="FN123" s="267"/>
      <c r="FO123" s="267"/>
      <c r="FP123" s="267"/>
      <c r="FQ123" s="264"/>
      <c r="FR123" s="264"/>
      <c r="FS123" s="264"/>
      <c r="FT123" s="264"/>
      <c r="FU123" s="267"/>
      <c r="FV123" s="267"/>
      <c r="FW123" s="267"/>
      <c r="FX123" s="267"/>
      <c r="FY123" s="267"/>
      <c r="GD123" s="267"/>
      <c r="GE123" s="267"/>
      <c r="GF123" s="267"/>
      <c r="GG123" s="267"/>
      <c r="GH123" s="267"/>
      <c r="GI123" s="264"/>
      <c r="GJ123" s="264"/>
      <c r="GK123" s="264"/>
      <c r="GL123" s="264"/>
      <c r="HD123" s="267"/>
      <c r="HE123" s="267"/>
      <c r="HF123" s="267"/>
      <c r="HG123" s="267"/>
      <c r="HH123" s="267"/>
      <c r="HI123" s="267"/>
      <c r="HJ123" s="267"/>
      <c r="HK123" s="267"/>
      <c r="HL123" s="267"/>
      <c r="HM123" s="267"/>
      <c r="HN123" s="267"/>
      <c r="HO123" s="267"/>
      <c r="HP123" s="267"/>
      <c r="HQ123" s="267"/>
      <c r="HR123" s="267"/>
      <c r="HS123" s="267"/>
      <c r="HT123" s="267"/>
      <c r="HU123" s="267"/>
      <c r="IH123" s="267"/>
      <c r="IK123" s="267"/>
      <c r="IN123" s="267"/>
      <c r="IQ123" s="267"/>
      <c r="IR123" s="267"/>
      <c r="IS123" s="267"/>
      <c r="IT123" s="274"/>
      <c r="IU123" s="274"/>
      <c r="IV123" s="272"/>
      <c r="IW123" s="274"/>
      <c r="IX123" s="274"/>
      <c r="IY123" s="272"/>
    </row>
    <row r="124" spans="10:259">
      <c r="J124" s="267"/>
      <c r="K124" s="267"/>
      <c r="L124" s="267"/>
      <c r="M124" s="267"/>
      <c r="N124" s="267"/>
      <c r="O124" s="267"/>
      <c r="P124" s="267"/>
      <c r="Q124" s="267"/>
      <c r="S124" s="267"/>
      <c r="T124" s="267"/>
      <c r="U124" s="267"/>
      <c r="V124" s="267"/>
      <c r="W124" s="264"/>
      <c r="Y124" s="267"/>
      <c r="Z124" s="267"/>
      <c r="AA124" s="267"/>
      <c r="AB124" s="267"/>
      <c r="AE124" s="267"/>
      <c r="AF124" s="267"/>
      <c r="AG124" s="267"/>
      <c r="AH124" s="267"/>
      <c r="AK124" s="267"/>
      <c r="AL124" s="267"/>
      <c r="AM124" s="267"/>
      <c r="AN124" s="267"/>
      <c r="AQ124" s="267"/>
      <c r="AR124" s="267"/>
      <c r="AS124" s="267"/>
      <c r="AT124" s="267"/>
      <c r="AW124" s="267"/>
      <c r="AX124" s="267"/>
      <c r="AY124" s="267"/>
      <c r="AZ124" s="267"/>
      <c r="BG124" s="269"/>
      <c r="BM124" s="269"/>
      <c r="BS124" s="269"/>
      <c r="BU124" s="267"/>
      <c r="BY124" s="267"/>
      <c r="CC124" s="267"/>
      <c r="CG124" s="267"/>
      <c r="CS124" s="267"/>
      <c r="CW124" s="270"/>
      <c r="CX124" s="267"/>
      <c r="DC124" s="267"/>
      <c r="DH124" s="267"/>
      <c r="DM124" s="267"/>
      <c r="DR124" s="267"/>
      <c r="DW124" s="267"/>
      <c r="EB124" s="267"/>
      <c r="EG124" s="267"/>
      <c r="EL124" s="267"/>
      <c r="EQ124" s="267"/>
      <c r="EU124" s="270"/>
      <c r="EV124" s="267"/>
      <c r="FC124" s="267"/>
      <c r="FD124" s="267"/>
      <c r="FE124" s="267"/>
      <c r="FF124" s="267"/>
      <c r="FG124" s="267"/>
      <c r="FL124" s="267"/>
      <c r="FM124" s="267"/>
      <c r="FN124" s="267"/>
      <c r="FO124" s="267"/>
      <c r="FP124" s="267"/>
      <c r="FQ124" s="264"/>
      <c r="FR124" s="264"/>
      <c r="FS124" s="264"/>
      <c r="FT124" s="264"/>
      <c r="FU124" s="267"/>
      <c r="FV124" s="267"/>
      <c r="FW124" s="267"/>
      <c r="FX124" s="267"/>
      <c r="FY124" s="267"/>
      <c r="GD124" s="267"/>
      <c r="GE124" s="267"/>
      <c r="GF124" s="267"/>
      <c r="GG124" s="267"/>
      <c r="GH124" s="267"/>
      <c r="GI124" s="264"/>
      <c r="GJ124" s="264"/>
      <c r="GK124" s="264"/>
      <c r="GL124" s="264"/>
      <c r="HD124" s="267"/>
      <c r="HE124" s="267"/>
      <c r="HF124" s="267"/>
      <c r="HG124" s="267"/>
      <c r="HH124" s="267"/>
      <c r="HI124" s="267"/>
      <c r="HJ124" s="267"/>
      <c r="HK124" s="267"/>
      <c r="HL124" s="267"/>
      <c r="HM124" s="267"/>
      <c r="HN124" s="267"/>
      <c r="HO124" s="267"/>
      <c r="HP124" s="267"/>
      <c r="HQ124" s="267"/>
      <c r="HR124" s="267"/>
      <c r="HS124" s="267"/>
      <c r="HT124" s="267"/>
      <c r="HU124" s="267"/>
      <c r="IH124" s="267"/>
      <c r="IK124" s="267"/>
      <c r="IN124" s="267"/>
      <c r="IQ124" s="267"/>
      <c r="IR124" s="267"/>
      <c r="IS124" s="267"/>
      <c r="IT124" s="274"/>
      <c r="IU124" s="274"/>
      <c r="IV124" s="272"/>
      <c r="IW124" s="274"/>
      <c r="IX124" s="274"/>
      <c r="IY124" s="272"/>
    </row>
    <row r="125" spans="10:259">
      <c r="J125" s="267"/>
      <c r="K125" s="267"/>
      <c r="L125" s="267"/>
      <c r="M125" s="267"/>
      <c r="N125" s="267"/>
      <c r="O125" s="267"/>
      <c r="P125" s="267"/>
      <c r="Q125" s="267"/>
      <c r="S125" s="267"/>
      <c r="T125" s="267"/>
      <c r="U125" s="267"/>
      <c r="V125" s="267"/>
      <c r="W125" s="264"/>
      <c r="Y125" s="267"/>
      <c r="Z125" s="267"/>
      <c r="AA125" s="267"/>
      <c r="AB125" s="267"/>
      <c r="AE125" s="267"/>
      <c r="AF125" s="267"/>
      <c r="AG125" s="267"/>
      <c r="AH125" s="267"/>
      <c r="AK125" s="267"/>
      <c r="AL125" s="267"/>
      <c r="AM125" s="267"/>
      <c r="AN125" s="267"/>
      <c r="AQ125" s="267"/>
      <c r="AR125" s="267"/>
      <c r="AS125" s="267"/>
      <c r="AT125" s="267"/>
      <c r="AW125" s="267"/>
      <c r="AX125" s="267"/>
      <c r="AY125" s="267"/>
      <c r="AZ125" s="267"/>
      <c r="BG125" s="269"/>
      <c r="BM125" s="269"/>
      <c r="BS125" s="269"/>
      <c r="BU125" s="267"/>
      <c r="BY125" s="267"/>
      <c r="CC125" s="267"/>
      <c r="CG125" s="267"/>
      <c r="CS125" s="267"/>
      <c r="CW125" s="270"/>
      <c r="CX125" s="267"/>
      <c r="DC125" s="267"/>
      <c r="DH125" s="267"/>
      <c r="DM125" s="267"/>
      <c r="DR125" s="267"/>
      <c r="DW125" s="267"/>
      <c r="EB125" s="267"/>
      <c r="EG125" s="267"/>
      <c r="EL125" s="267"/>
      <c r="EQ125" s="267"/>
      <c r="EU125" s="270"/>
      <c r="EV125" s="267"/>
      <c r="FC125" s="267"/>
      <c r="FD125" s="267"/>
      <c r="FE125" s="267"/>
      <c r="FF125" s="267"/>
      <c r="FG125" s="267"/>
      <c r="FL125" s="267"/>
      <c r="FM125" s="267"/>
      <c r="FN125" s="267"/>
      <c r="FO125" s="267"/>
      <c r="FP125" s="267"/>
      <c r="FQ125" s="264"/>
      <c r="FR125" s="264"/>
      <c r="FS125" s="264"/>
      <c r="FT125" s="264"/>
      <c r="FU125" s="267"/>
      <c r="FV125" s="267"/>
      <c r="FW125" s="267"/>
      <c r="FX125" s="267"/>
      <c r="FY125" s="267"/>
      <c r="GD125" s="267"/>
      <c r="GE125" s="267"/>
      <c r="GF125" s="267"/>
      <c r="GG125" s="267"/>
      <c r="GH125" s="267"/>
      <c r="GI125" s="264"/>
      <c r="GJ125" s="264"/>
      <c r="GK125" s="264"/>
      <c r="GL125" s="264"/>
      <c r="HD125" s="267"/>
      <c r="HE125" s="267"/>
      <c r="HF125" s="267"/>
      <c r="HG125" s="267"/>
      <c r="HH125" s="267"/>
      <c r="HI125" s="267"/>
      <c r="HJ125" s="267"/>
      <c r="HK125" s="267"/>
      <c r="HL125" s="267"/>
      <c r="HM125" s="267"/>
      <c r="HN125" s="267"/>
      <c r="HO125" s="267"/>
      <c r="HP125" s="267"/>
      <c r="HQ125" s="267"/>
      <c r="HR125" s="267"/>
      <c r="HS125" s="267"/>
      <c r="HT125" s="267"/>
      <c r="HU125" s="267"/>
      <c r="IH125" s="267"/>
      <c r="IK125" s="267"/>
      <c r="IN125" s="267"/>
      <c r="IQ125" s="267"/>
      <c r="IR125" s="267"/>
      <c r="IS125" s="267"/>
      <c r="IT125" s="274"/>
      <c r="IU125" s="274"/>
      <c r="IV125" s="272"/>
      <c r="IW125" s="274"/>
      <c r="IX125" s="274"/>
      <c r="IY125" s="272"/>
    </row>
    <row r="126" spans="10:259">
      <c r="J126" s="267"/>
      <c r="K126" s="267"/>
      <c r="L126" s="267"/>
      <c r="M126" s="267"/>
      <c r="N126" s="267"/>
      <c r="O126" s="267"/>
      <c r="P126" s="267"/>
      <c r="Q126" s="267"/>
      <c r="S126" s="267"/>
      <c r="T126" s="267"/>
      <c r="U126" s="267"/>
      <c r="V126" s="267"/>
      <c r="W126" s="264"/>
      <c r="Y126" s="267"/>
      <c r="Z126" s="267"/>
      <c r="AA126" s="267"/>
      <c r="AB126" s="267"/>
      <c r="AE126" s="267"/>
      <c r="AF126" s="267"/>
      <c r="AG126" s="267"/>
      <c r="AH126" s="267"/>
      <c r="AK126" s="267"/>
      <c r="AL126" s="267"/>
      <c r="AM126" s="267"/>
      <c r="AN126" s="267"/>
      <c r="AQ126" s="267"/>
      <c r="AR126" s="267"/>
      <c r="AS126" s="267"/>
      <c r="AT126" s="267"/>
      <c r="AW126" s="267"/>
      <c r="AX126" s="267"/>
      <c r="AY126" s="267"/>
      <c r="AZ126" s="267"/>
      <c r="BG126" s="269"/>
      <c r="BM126" s="269"/>
      <c r="BS126" s="269"/>
      <c r="BU126" s="267"/>
      <c r="BY126" s="267"/>
      <c r="CC126" s="267"/>
      <c r="CG126" s="267"/>
      <c r="CS126" s="267"/>
      <c r="CW126" s="270"/>
      <c r="CX126" s="267"/>
      <c r="DC126" s="267"/>
      <c r="DH126" s="267"/>
      <c r="DM126" s="267"/>
      <c r="DR126" s="267"/>
      <c r="DW126" s="267"/>
      <c r="EB126" s="267"/>
      <c r="EG126" s="267"/>
      <c r="EL126" s="267"/>
      <c r="EQ126" s="267"/>
      <c r="EU126" s="270"/>
      <c r="EV126" s="267"/>
      <c r="FC126" s="267"/>
      <c r="FD126" s="267"/>
      <c r="FE126" s="267"/>
      <c r="FF126" s="267"/>
      <c r="FG126" s="267"/>
      <c r="FL126" s="267"/>
      <c r="FM126" s="267"/>
      <c r="FN126" s="267"/>
      <c r="FO126" s="267"/>
      <c r="FP126" s="267"/>
      <c r="FQ126" s="264"/>
      <c r="FR126" s="264"/>
      <c r="FS126" s="264"/>
      <c r="FT126" s="264"/>
      <c r="FU126" s="267"/>
      <c r="FV126" s="267"/>
      <c r="FW126" s="267"/>
      <c r="FX126" s="267"/>
      <c r="FY126" s="267"/>
      <c r="GD126" s="267"/>
      <c r="GE126" s="267"/>
      <c r="GF126" s="267"/>
      <c r="GG126" s="267"/>
      <c r="GH126" s="267"/>
      <c r="GI126" s="264"/>
      <c r="GJ126" s="264"/>
      <c r="GK126" s="264"/>
      <c r="GL126" s="264"/>
      <c r="HD126" s="267"/>
      <c r="HE126" s="267"/>
      <c r="HF126" s="267"/>
      <c r="HG126" s="267"/>
      <c r="HH126" s="267"/>
      <c r="HI126" s="267"/>
      <c r="HJ126" s="267"/>
      <c r="HK126" s="267"/>
      <c r="HL126" s="267"/>
      <c r="HM126" s="267"/>
      <c r="HN126" s="267"/>
      <c r="HO126" s="267"/>
      <c r="HP126" s="267"/>
      <c r="HQ126" s="267"/>
      <c r="HR126" s="267"/>
      <c r="HS126" s="267"/>
      <c r="HT126" s="267"/>
      <c r="HU126" s="267"/>
      <c r="IH126" s="267"/>
      <c r="IK126" s="267"/>
      <c r="IN126" s="267"/>
      <c r="IQ126" s="267"/>
      <c r="IR126" s="267"/>
      <c r="IS126" s="267"/>
      <c r="IT126" s="274"/>
      <c r="IU126" s="274"/>
      <c r="IV126" s="272"/>
      <c r="IW126" s="274"/>
      <c r="IX126" s="274"/>
      <c r="IY126" s="272"/>
    </row>
    <row r="127" spans="10:259">
      <c r="J127" s="267"/>
      <c r="K127" s="267"/>
      <c r="L127" s="267"/>
      <c r="M127" s="267"/>
      <c r="N127" s="267"/>
      <c r="O127" s="267"/>
      <c r="P127" s="267"/>
      <c r="Q127" s="267"/>
      <c r="S127" s="267"/>
      <c r="T127" s="267"/>
      <c r="U127" s="267"/>
      <c r="V127" s="267"/>
      <c r="W127" s="264"/>
      <c r="Y127" s="267"/>
      <c r="Z127" s="267"/>
      <c r="AA127" s="267"/>
      <c r="AB127" s="267"/>
      <c r="AE127" s="267"/>
      <c r="AF127" s="267"/>
      <c r="AG127" s="267"/>
      <c r="AH127" s="267"/>
      <c r="AK127" s="267"/>
      <c r="AL127" s="267"/>
      <c r="AM127" s="267"/>
      <c r="AN127" s="267"/>
      <c r="AQ127" s="267"/>
      <c r="AR127" s="267"/>
      <c r="AS127" s="267"/>
      <c r="AT127" s="267"/>
      <c r="AW127" s="267"/>
      <c r="AX127" s="267"/>
      <c r="AY127" s="267"/>
      <c r="AZ127" s="267"/>
      <c r="BG127" s="269"/>
      <c r="BM127" s="269"/>
      <c r="BS127" s="269"/>
      <c r="BU127" s="267"/>
      <c r="BY127" s="267"/>
      <c r="CC127" s="267"/>
      <c r="CG127" s="267"/>
      <c r="CS127" s="267"/>
      <c r="CW127" s="270"/>
      <c r="CX127" s="267"/>
      <c r="DC127" s="267"/>
      <c r="DH127" s="267"/>
      <c r="DM127" s="267"/>
      <c r="DR127" s="267"/>
      <c r="DW127" s="267"/>
      <c r="EB127" s="267"/>
      <c r="EG127" s="267"/>
      <c r="EL127" s="267"/>
      <c r="EQ127" s="267"/>
      <c r="EU127" s="270"/>
      <c r="EV127" s="267"/>
      <c r="FC127" s="267"/>
      <c r="FD127" s="267"/>
      <c r="FE127" s="267"/>
      <c r="FF127" s="267"/>
      <c r="FG127" s="267"/>
      <c r="FL127" s="267"/>
      <c r="FM127" s="267"/>
      <c r="FN127" s="267"/>
      <c r="FO127" s="267"/>
      <c r="FP127" s="267"/>
      <c r="FQ127" s="264"/>
      <c r="FR127" s="264"/>
      <c r="FS127" s="264"/>
      <c r="FT127" s="264"/>
      <c r="FU127" s="267"/>
      <c r="FV127" s="267"/>
      <c r="FW127" s="267"/>
      <c r="FX127" s="267"/>
      <c r="FY127" s="267"/>
      <c r="GD127" s="267"/>
      <c r="GE127" s="267"/>
      <c r="GF127" s="267"/>
      <c r="GG127" s="267"/>
      <c r="GH127" s="267"/>
      <c r="GI127" s="264"/>
      <c r="GJ127" s="264"/>
      <c r="GK127" s="264"/>
      <c r="GL127" s="264"/>
      <c r="HD127" s="267"/>
      <c r="HE127" s="267"/>
      <c r="HF127" s="267"/>
      <c r="HG127" s="267"/>
      <c r="HH127" s="267"/>
      <c r="HI127" s="267"/>
      <c r="HJ127" s="267"/>
      <c r="HK127" s="267"/>
      <c r="HL127" s="267"/>
      <c r="HM127" s="267"/>
      <c r="HN127" s="267"/>
      <c r="HO127" s="267"/>
      <c r="HP127" s="267"/>
      <c r="HQ127" s="267"/>
      <c r="HR127" s="267"/>
      <c r="HS127" s="267"/>
      <c r="HT127" s="267"/>
      <c r="HU127" s="267"/>
      <c r="IH127" s="267"/>
      <c r="IK127" s="267"/>
      <c r="IN127" s="267"/>
      <c r="IQ127" s="267"/>
      <c r="IR127" s="267"/>
      <c r="IS127" s="267"/>
      <c r="IT127" s="274"/>
      <c r="IU127" s="274"/>
      <c r="IV127" s="272"/>
      <c r="IW127" s="274"/>
      <c r="IX127" s="274"/>
      <c r="IY127" s="272"/>
    </row>
    <row r="128" spans="10:259">
      <c r="J128" s="267"/>
      <c r="K128" s="267"/>
      <c r="L128" s="267"/>
      <c r="M128" s="267"/>
      <c r="N128" s="267"/>
      <c r="O128" s="267"/>
      <c r="P128" s="267"/>
      <c r="Q128" s="267"/>
      <c r="S128" s="267"/>
      <c r="T128" s="267"/>
      <c r="U128" s="267"/>
      <c r="V128" s="267"/>
      <c r="W128" s="264"/>
      <c r="Y128" s="267"/>
      <c r="Z128" s="267"/>
      <c r="AA128" s="267"/>
      <c r="AB128" s="267"/>
      <c r="AE128" s="267"/>
      <c r="AF128" s="267"/>
      <c r="AG128" s="267"/>
      <c r="AH128" s="267"/>
      <c r="AK128" s="267"/>
      <c r="AL128" s="267"/>
      <c r="AM128" s="267"/>
      <c r="AN128" s="267"/>
      <c r="AQ128" s="267"/>
      <c r="AR128" s="267"/>
      <c r="AS128" s="267"/>
      <c r="AT128" s="267"/>
      <c r="AW128" s="267"/>
      <c r="AX128" s="267"/>
      <c r="AY128" s="267"/>
      <c r="AZ128" s="267"/>
      <c r="BG128" s="269"/>
      <c r="BM128" s="269"/>
      <c r="BS128" s="269"/>
      <c r="BU128" s="267"/>
      <c r="BY128" s="267"/>
      <c r="CC128" s="267"/>
      <c r="CG128" s="267"/>
      <c r="CS128" s="267"/>
      <c r="CW128" s="270"/>
      <c r="CX128" s="267"/>
      <c r="DC128" s="267"/>
      <c r="DH128" s="267"/>
      <c r="DM128" s="267"/>
      <c r="DR128" s="267"/>
      <c r="DW128" s="267"/>
      <c r="EB128" s="267"/>
      <c r="EG128" s="267"/>
      <c r="EL128" s="267"/>
      <c r="EQ128" s="267"/>
      <c r="EU128" s="270"/>
      <c r="EV128" s="267"/>
      <c r="FC128" s="267"/>
      <c r="FD128" s="267"/>
      <c r="FE128" s="267"/>
      <c r="FF128" s="267"/>
      <c r="FG128" s="267"/>
      <c r="FL128" s="267"/>
      <c r="FM128" s="267"/>
      <c r="FN128" s="267"/>
      <c r="FO128" s="267"/>
      <c r="FP128" s="267"/>
      <c r="FQ128" s="264"/>
      <c r="FR128" s="264"/>
      <c r="FS128" s="264"/>
      <c r="FT128" s="264"/>
      <c r="FU128" s="267"/>
      <c r="FV128" s="267"/>
      <c r="FW128" s="267"/>
      <c r="FX128" s="267"/>
      <c r="FY128" s="267"/>
      <c r="GD128" s="267"/>
      <c r="GE128" s="267"/>
      <c r="GF128" s="267"/>
      <c r="GG128" s="267"/>
      <c r="GH128" s="267"/>
      <c r="GI128" s="264"/>
      <c r="GJ128" s="264"/>
      <c r="GK128" s="264"/>
      <c r="GL128" s="264"/>
      <c r="HD128" s="267"/>
      <c r="HE128" s="267"/>
      <c r="HF128" s="267"/>
      <c r="HG128" s="267"/>
      <c r="HH128" s="267"/>
      <c r="HI128" s="267"/>
      <c r="HJ128" s="267"/>
      <c r="HK128" s="267"/>
      <c r="HL128" s="267"/>
      <c r="HM128" s="267"/>
      <c r="HN128" s="267"/>
      <c r="HO128" s="267"/>
      <c r="HP128" s="267"/>
      <c r="HQ128" s="267"/>
      <c r="HR128" s="267"/>
      <c r="HS128" s="267"/>
      <c r="HT128" s="267"/>
      <c r="HU128" s="267"/>
      <c r="IH128" s="267"/>
      <c r="IK128" s="267"/>
      <c r="IN128" s="267"/>
      <c r="IQ128" s="267"/>
      <c r="IR128" s="267"/>
      <c r="IS128" s="267"/>
      <c r="IT128" s="274"/>
      <c r="IU128" s="274"/>
      <c r="IV128" s="272"/>
      <c r="IW128" s="274"/>
      <c r="IX128" s="274"/>
      <c r="IY128" s="272"/>
    </row>
    <row r="129" spans="10:259">
      <c r="J129" s="267"/>
      <c r="K129" s="267"/>
      <c r="L129" s="267"/>
      <c r="M129" s="267"/>
      <c r="N129" s="267"/>
      <c r="O129" s="267"/>
      <c r="P129" s="267"/>
      <c r="Q129" s="267"/>
      <c r="S129" s="267"/>
      <c r="T129" s="267"/>
      <c r="U129" s="267"/>
      <c r="V129" s="267"/>
      <c r="W129" s="264"/>
      <c r="Y129" s="267"/>
      <c r="Z129" s="267"/>
      <c r="AA129" s="267"/>
      <c r="AB129" s="267"/>
      <c r="AE129" s="267"/>
      <c r="AF129" s="267"/>
      <c r="AG129" s="267"/>
      <c r="AH129" s="267"/>
      <c r="AK129" s="267"/>
      <c r="AL129" s="267"/>
      <c r="AM129" s="267"/>
      <c r="AN129" s="267"/>
      <c r="AQ129" s="267"/>
      <c r="AR129" s="267"/>
      <c r="AS129" s="267"/>
      <c r="AT129" s="267"/>
      <c r="AW129" s="267"/>
      <c r="AX129" s="267"/>
      <c r="AY129" s="267"/>
      <c r="AZ129" s="267"/>
      <c r="BG129" s="269"/>
      <c r="BM129" s="269"/>
      <c r="BS129" s="269"/>
      <c r="BU129" s="267"/>
      <c r="BY129" s="267"/>
      <c r="CC129" s="267"/>
      <c r="CG129" s="267"/>
      <c r="CS129" s="267"/>
      <c r="CW129" s="270"/>
      <c r="CX129" s="267"/>
      <c r="DC129" s="267"/>
      <c r="DH129" s="267"/>
      <c r="DM129" s="267"/>
      <c r="DR129" s="267"/>
      <c r="DW129" s="267"/>
      <c r="EB129" s="267"/>
      <c r="EG129" s="267"/>
      <c r="EL129" s="267"/>
      <c r="EQ129" s="267"/>
      <c r="EU129" s="270"/>
      <c r="EV129" s="267"/>
      <c r="FC129" s="267"/>
      <c r="FD129" s="267"/>
      <c r="FE129" s="267"/>
      <c r="FF129" s="267"/>
      <c r="FG129" s="267"/>
      <c r="FL129" s="267"/>
      <c r="FM129" s="267"/>
      <c r="FN129" s="267"/>
      <c r="FO129" s="267"/>
      <c r="FP129" s="267"/>
      <c r="FQ129" s="264"/>
      <c r="FR129" s="264"/>
      <c r="FS129" s="264"/>
      <c r="FT129" s="264"/>
      <c r="FU129" s="267"/>
      <c r="FV129" s="267"/>
      <c r="FW129" s="267"/>
      <c r="FX129" s="267"/>
      <c r="FY129" s="267"/>
      <c r="GD129" s="267"/>
      <c r="GE129" s="267"/>
      <c r="GF129" s="267"/>
      <c r="GG129" s="267"/>
      <c r="GH129" s="267"/>
      <c r="GI129" s="264"/>
      <c r="GJ129" s="264"/>
      <c r="GK129" s="264"/>
      <c r="GL129" s="264"/>
      <c r="HD129" s="267"/>
      <c r="HE129" s="267"/>
      <c r="HF129" s="267"/>
      <c r="HG129" s="267"/>
      <c r="HH129" s="267"/>
      <c r="HI129" s="267"/>
      <c r="HJ129" s="267"/>
      <c r="HK129" s="267"/>
      <c r="HL129" s="267"/>
      <c r="HM129" s="267"/>
      <c r="HN129" s="267"/>
      <c r="HO129" s="267"/>
      <c r="HP129" s="267"/>
      <c r="HQ129" s="267"/>
      <c r="HR129" s="267"/>
      <c r="HS129" s="267"/>
      <c r="HT129" s="267"/>
      <c r="HU129" s="267"/>
      <c r="IH129" s="267"/>
      <c r="IK129" s="267"/>
      <c r="IN129" s="267"/>
      <c r="IQ129" s="267"/>
      <c r="IR129" s="267"/>
      <c r="IS129" s="267"/>
      <c r="IT129" s="274"/>
      <c r="IU129" s="274"/>
      <c r="IV129" s="272"/>
      <c r="IW129" s="274"/>
      <c r="IX129" s="274"/>
      <c r="IY129" s="272"/>
    </row>
    <row r="130" spans="10:259">
      <c r="J130" s="267"/>
      <c r="K130" s="267"/>
      <c r="L130" s="267"/>
      <c r="M130" s="267"/>
      <c r="N130" s="267"/>
      <c r="O130" s="267"/>
      <c r="P130" s="267"/>
      <c r="Q130" s="267"/>
      <c r="S130" s="267"/>
      <c r="T130" s="267"/>
      <c r="U130" s="267"/>
      <c r="V130" s="267"/>
      <c r="W130" s="264"/>
      <c r="Y130" s="267"/>
      <c r="Z130" s="267"/>
      <c r="AA130" s="267"/>
      <c r="AB130" s="267"/>
      <c r="AE130" s="267"/>
      <c r="AF130" s="267"/>
      <c r="AG130" s="267"/>
      <c r="AH130" s="267"/>
      <c r="AK130" s="267"/>
      <c r="AL130" s="267"/>
      <c r="AM130" s="267"/>
      <c r="AN130" s="267"/>
      <c r="AQ130" s="267"/>
      <c r="AR130" s="267"/>
      <c r="AS130" s="267"/>
      <c r="AT130" s="267"/>
      <c r="AW130" s="267"/>
      <c r="AX130" s="267"/>
      <c r="AY130" s="267"/>
      <c r="AZ130" s="267"/>
      <c r="BG130" s="269"/>
      <c r="BM130" s="269"/>
      <c r="BS130" s="269"/>
      <c r="BU130" s="267"/>
      <c r="BY130" s="267"/>
      <c r="CC130" s="267"/>
      <c r="CG130" s="267"/>
      <c r="CS130" s="267"/>
      <c r="CW130" s="270"/>
      <c r="CX130" s="267"/>
      <c r="DC130" s="267"/>
      <c r="DH130" s="267"/>
      <c r="DM130" s="267"/>
      <c r="DR130" s="267"/>
      <c r="DW130" s="267"/>
      <c r="EB130" s="267"/>
      <c r="EG130" s="267"/>
      <c r="EL130" s="267"/>
      <c r="EQ130" s="267"/>
      <c r="EU130" s="270"/>
      <c r="EV130" s="267"/>
      <c r="FC130" s="267"/>
      <c r="FD130" s="267"/>
      <c r="FE130" s="267"/>
      <c r="FF130" s="267"/>
      <c r="FG130" s="267"/>
      <c r="FL130" s="267"/>
      <c r="FM130" s="267"/>
      <c r="FN130" s="267"/>
      <c r="FO130" s="267"/>
      <c r="FP130" s="267"/>
      <c r="FQ130" s="264"/>
      <c r="FR130" s="264"/>
      <c r="FS130" s="264"/>
      <c r="FT130" s="264"/>
      <c r="FU130" s="267"/>
      <c r="FV130" s="267"/>
      <c r="FW130" s="267"/>
      <c r="FX130" s="267"/>
      <c r="FY130" s="267"/>
      <c r="GD130" s="267"/>
      <c r="GE130" s="267"/>
      <c r="GF130" s="267"/>
      <c r="GG130" s="267"/>
      <c r="GH130" s="267"/>
      <c r="GI130" s="264"/>
      <c r="GJ130" s="264"/>
      <c r="GK130" s="264"/>
      <c r="GL130" s="264"/>
      <c r="HD130" s="267"/>
      <c r="HE130" s="267"/>
      <c r="HF130" s="267"/>
      <c r="HG130" s="267"/>
      <c r="HH130" s="267"/>
      <c r="HI130" s="267"/>
      <c r="HJ130" s="267"/>
      <c r="HK130" s="267"/>
      <c r="HL130" s="267"/>
      <c r="HM130" s="267"/>
      <c r="HN130" s="267"/>
      <c r="HO130" s="267"/>
      <c r="HP130" s="267"/>
      <c r="HQ130" s="267"/>
      <c r="HR130" s="267"/>
      <c r="HS130" s="267"/>
      <c r="HT130" s="267"/>
      <c r="HU130" s="267"/>
      <c r="IH130" s="267"/>
      <c r="IK130" s="267"/>
      <c r="IN130" s="267"/>
      <c r="IQ130" s="267"/>
      <c r="IR130" s="267"/>
      <c r="IS130" s="267"/>
      <c r="IT130" s="274"/>
      <c r="IU130" s="274"/>
      <c r="IV130" s="272"/>
      <c r="IW130" s="274"/>
      <c r="IX130" s="274"/>
      <c r="IY130" s="272"/>
    </row>
    <row r="131" spans="10:259">
      <c r="J131" s="267"/>
      <c r="K131" s="267"/>
      <c r="L131" s="267"/>
      <c r="M131" s="267"/>
      <c r="N131" s="267"/>
      <c r="O131" s="267"/>
      <c r="P131" s="267"/>
      <c r="Q131" s="267"/>
      <c r="S131" s="267"/>
      <c r="T131" s="267"/>
      <c r="U131" s="267"/>
      <c r="V131" s="267"/>
      <c r="W131" s="264"/>
      <c r="Y131" s="267"/>
      <c r="Z131" s="267"/>
      <c r="AA131" s="267"/>
      <c r="AB131" s="267"/>
      <c r="AE131" s="267"/>
      <c r="AF131" s="267"/>
      <c r="AG131" s="267"/>
      <c r="AH131" s="267"/>
      <c r="AK131" s="267"/>
      <c r="AL131" s="267"/>
      <c r="AM131" s="267"/>
      <c r="AN131" s="267"/>
      <c r="AQ131" s="267"/>
      <c r="AR131" s="267"/>
      <c r="AS131" s="267"/>
      <c r="AT131" s="267"/>
      <c r="AW131" s="267"/>
      <c r="AX131" s="267"/>
      <c r="AY131" s="267"/>
      <c r="AZ131" s="267"/>
      <c r="BG131" s="269"/>
      <c r="BM131" s="269"/>
      <c r="BS131" s="269"/>
      <c r="BU131" s="267"/>
      <c r="BY131" s="267"/>
      <c r="CC131" s="267"/>
      <c r="CG131" s="267"/>
      <c r="CS131" s="267"/>
      <c r="CW131" s="270"/>
      <c r="CX131" s="267"/>
      <c r="DC131" s="267"/>
      <c r="DH131" s="267"/>
      <c r="DM131" s="267"/>
      <c r="DR131" s="267"/>
      <c r="DW131" s="267"/>
      <c r="EB131" s="267"/>
      <c r="EG131" s="267"/>
      <c r="EL131" s="267"/>
      <c r="EQ131" s="267"/>
      <c r="EU131" s="270"/>
      <c r="EV131" s="267"/>
      <c r="FC131" s="267"/>
      <c r="FD131" s="267"/>
      <c r="FE131" s="267"/>
      <c r="FF131" s="267"/>
      <c r="FG131" s="267"/>
      <c r="FL131" s="267"/>
      <c r="FM131" s="267"/>
      <c r="FN131" s="267"/>
      <c r="FO131" s="267"/>
      <c r="FP131" s="267"/>
      <c r="FQ131" s="264"/>
      <c r="FR131" s="264"/>
      <c r="FS131" s="264"/>
      <c r="FT131" s="264"/>
      <c r="FU131" s="267"/>
      <c r="FV131" s="267"/>
      <c r="FW131" s="267"/>
      <c r="FX131" s="267"/>
      <c r="FY131" s="267"/>
      <c r="GD131" s="267"/>
      <c r="GE131" s="267"/>
      <c r="GF131" s="267"/>
      <c r="GG131" s="267"/>
      <c r="GH131" s="267"/>
      <c r="GI131" s="264"/>
      <c r="GJ131" s="264"/>
      <c r="GK131" s="264"/>
      <c r="GL131" s="264"/>
      <c r="HD131" s="267"/>
      <c r="HE131" s="267"/>
      <c r="HF131" s="267"/>
      <c r="HG131" s="267"/>
      <c r="HH131" s="267"/>
      <c r="HI131" s="267"/>
      <c r="HJ131" s="267"/>
      <c r="HK131" s="267"/>
      <c r="HL131" s="267"/>
      <c r="HM131" s="267"/>
      <c r="HN131" s="267"/>
      <c r="HO131" s="267"/>
      <c r="HP131" s="267"/>
      <c r="HQ131" s="267"/>
      <c r="HR131" s="267"/>
      <c r="HS131" s="267"/>
      <c r="HT131" s="267"/>
      <c r="HU131" s="267"/>
      <c r="IH131" s="267"/>
      <c r="IK131" s="267"/>
      <c r="IN131" s="267"/>
      <c r="IQ131" s="267"/>
      <c r="IR131" s="267"/>
      <c r="IS131" s="267"/>
      <c r="IT131" s="274"/>
      <c r="IU131" s="274"/>
      <c r="IV131" s="272"/>
      <c r="IW131" s="274"/>
      <c r="IX131" s="274"/>
      <c r="IY131" s="272"/>
    </row>
    <row r="132" spans="10:259">
      <c r="J132" s="267"/>
      <c r="K132" s="267"/>
      <c r="L132" s="267"/>
      <c r="M132" s="267"/>
      <c r="N132" s="267"/>
      <c r="O132" s="267"/>
      <c r="P132" s="267"/>
      <c r="Q132" s="267"/>
      <c r="S132" s="267"/>
      <c r="T132" s="267"/>
      <c r="U132" s="267"/>
      <c r="V132" s="267"/>
      <c r="W132" s="264"/>
      <c r="Y132" s="267"/>
      <c r="Z132" s="267"/>
      <c r="AA132" s="267"/>
      <c r="AB132" s="267"/>
      <c r="AE132" s="267"/>
      <c r="AF132" s="267"/>
      <c r="AG132" s="267"/>
      <c r="AH132" s="267"/>
      <c r="AK132" s="267"/>
      <c r="AL132" s="267"/>
      <c r="AM132" s="267"/>
      <c r="AN132" s="267"/>
      <c r="AQ132" s="267"/>
      <c r="AR132" s="267"/>
      <c r="AS132" s="267"/>
      <c r="AT132" s="267"/>
      <c r="AW132" s="267"/>
      <c r="AX132" s="267"/>
      <c r="AY132" s="267"/>
      <c r="AZ132" s="267"/>
      <c r="BG132" s="269"/>
      <c r="BM132" s="269"/>
      <c r="BS132" s="269"/>
      <c r="BU132" s="267"/>
      <c r="BY132" s="267"/>
      <c r="CC132" s="267"/>
      <c r="CG132" s="267"/>
      <c r="CS132" s="267"/>
      <c r="CW132" s="270"/>
      <c r="CX132" s="267"/>
      <c r="DC132" s="267"/>
      <c r="DH132" s="267"/>
      <c r="DM132" s="267"/>
      <c r="DR132" s="267"/>
      <c r="DW132" s="267"/>
      <c r="EB132" s="267"/>
      <c r="EG132" s="267"/>
      <c r="EL132" s="267"/>
      <c r="EQ132" s="267"/>
      <c r="EU132" s="270"/>
      <c r="EV132" s="267"/>
      <c r="FC132" s="267"/>
      <c r="FD132" s="267"/>
      <c r="FE132" s="267"/>
      <c r="FF132" s="267"/>
      <c r="FG132" s="267"/>
      <c r="FL132" s="267"/>
      <c r="FM132" s="267"/>
      <c r="FN132" s="267"/>
      <c r="FO132" s="267"/>
      <c r="FP132" s="267"/>
      <c r="FQ132" s="264"/>
      <c r="FR132" s="264"/>
      <c r="FS132" s="264"/>
      <c r="FT132" s="264"/>
      <c r="FU132" s="267"/>
      <c r="FV132" s="267"/>
      <c r="FW132" s="267"/>
      <c r="FX132" s="267"/>
      <c r="FY132" s="267"/>
      <c r="GD132" s="267"/>
      <c r="GE132" s="267"/>
      <c r="GF132" s="267"/>
      <c r="GG132" s="267"/>
      <c r="GH132" s="267"/>
      <c r="GI132" s="264"/>
      <c r="GJ132" s="264"/>
      <c r="GK132" s="264"/>
      <c r="GL132" s="264"/>
      <c r="HD132" s="267"/>
      <c r="HE132" s="267"/>
      <c r="HF132" s="267"/>
      <c r="HG132" s="267"/>
      <c r="HH132" s="267"/>
      <c r="HI132" s="267"/>
      <c r="HJ132" s="267"/>
      <c r="HK132" s="267"/>
      <c r="HL132" s="267"/>
      <c r="HM132" s="267"/>
      <c r="HN132" s="267"/>
      <c r="HO132" s="267"/>
      <c r="HP132" s="267"/>
      <c r="HQ132" s="267"/>
      <c r="HR132" s="267"/>
      <c r="HS132" s="267"/>
      <c r="HT132" s="267"/>
      <c r="HU132" s="267"/>
      <c r="IH132" s="267"/>
      <c r="IK132" s="267"/>
      <c r="IN132" s="267"/>
      <c r="IQ132" s="267"/>
      <c r="IR132" s="267"/>
      <c r="IS132" s="267"/>
      <c r="IT132" s="274"/>
      <c r="IU132" s="274"/>
      <c r="IV132" s="272"/>
      <c r="IW132" s="274"/>
      <c r="IX132" s="274"/>
      <c r="IY132" s="272"/>
    </row>
    <row r="133" spans="10:259">
      <c r="J133" s="267"/>
      <c r="K133" s="267"/>
      <c r="L133" s="267"/>
      <c r="M133" s="267"/>
      <c r="N133" s="267"/>
      <c r="O133" s="267"/>
      <c r="P133" s="267"/>
      <c r="Q133" s="267"/>
      <c r="S133" s="267"/>
      <c r="T133" s="267"/>
      <c r="U133" s="267"/>
      <c r="V133" s="267"/>
      <c r="W133" s="264"/>
      <c r="Y133" s="267"/>
      <c r="Z133" s="267"/>
      <c r="AA133" s="267"/>
      <c r="AB133" s="267"/>
      <c r="AE133" s="267"/>
      <c r="AF133" s="267"/>
      <c r="AG133" s="267"/>
      <c r="AH133" s="267"/>
      <c r="AK133" s="267"/>
      <c r="AL133" s="267"/>
      <c r="AM133" s="267"/>
      <c r="AN133" s="267"/>
      <c r="AQ133" s="267"/>
      <c r="AR133" s="267"/>
      <c r="AS133" s="267"/>
      <c r="AT133" s="267"/>
      <c r="AW133" s="267"/>
      <c r="AX133" s="267"/>
      <c r="AY133" s="267"/>
      <c r="AZ133" s="267"/>
      <c r="BG133" s="269"/>
      <c r="BM133" s="269"/>
      <c r="BS133" s="269"/>
      <c r="BU133" s="267"/>
      <c r="BY133" s="267"/>
      <c r="CC133" s="267"/>
      <c r="CG133" s="267"/>
      <c r="CS133" s="267"/>
      <c r="CW133" s="270"/>
      <c r="CX133" s="267"/>
      <c r="DC133" s="267"/>
      <c r="DH133" s="267"/>
      <c r="DM133" s="267"/>
      <c r="DR133" s="267"/>
      <c r="DW133" s="267"/>
      <c r="EB133" s="267"/>
      <c r="EG133" s="267"/>
      <c r="EL133" s="267"/>
      <c r="EQ133" s="267"/>
      <c r="EU133" s="270"/>
      <c r="EV133" s="267"/>
      <c r="FC133" s="267"/>
      <c r="FD133" s="267"/>
      <c r="FE133" s="267"/>
      <c r="FF133" s="267"/>
      <c r="FG133" s="267"/>
      <c r="FL133" s="267"/>
      <c r="FM133" s="267"/>
      <c r="FN133" s="267"/>
      <c r="FO133" s="267"/>
      <c r="FP133" s="267"/>
      <c r="FQ133" s="264"/>
      <c r="FR133" s="264"/>
      <c r="FS133" s="264"/>
      <c r="FT133" s="264"/>
      <c r="FU133" s="267"/>
      <c r="FV133" s="267"/>
      <c r="FW133" s="267"/>
      <c r="FX133" s="267"/>
      <c r="FY133" s="267"/>
      <c r="GD133" s="267"/>
      <c r="GE133" s="267"/>
      <c r="GF133" s="267"/>
      <c r="GG133" s="267"/>
      <c r="GH133" s="267"/>
      <c r="GI133" s="264"/>
      <c r="GJ133" s="264"/>
      <c r="GK133" s="264"/>
      <c r="GL133" s="264"/>
      <c r="HD133" s="267"/>
      <c r="HE133" s="267"/>
      <c r="HF133" s="267"/>
      <c r="HG133" s="267"/>
      <c r="HH133" s="267"/>
      <c r="HI133" s="267"/>
      <c r="HJ133" s="267"/>
      <c r="HK133" s="267"/>
      <c r="HL133" s="267"/>
      <c r="HM133" s="267"/>
      <c r="HN133" s="267"/>
      <c r="HO133" s="267"/>
      <c r="HP133" s="267"/>
      <c r="HQ133" s="267"/>
      <c r="HR133" s="267"/>
      <c r="HS133" s="267"/>
      <c r="HT133" s="267"/>
      <c r="HU133" s="267"/>
      <c r="IH133" s="267"/>
      <c r="IK133" s="267"/>
      <c r="IN133" s="267"/>
      <c r="IQ133" s="267"/>
      <c r="IR133" s="267"/>
      <c r="IS133" s="267"/>
      <c r="IT133" s="274"/>
      <c r="IU133" s="274"/>
      <c r="IV133" s="272"/>
      <c r="IW133" s="274"/>
      <c r="IX133" s="274"/>
      <c r="IY133" s="272"/>
    </row>
    <row r="134" spans="10:259">
      <c r="J134" s="267"/>
      <c r="K134" s="267"/>
      <c r="L134" s="267"/>
      <c r="M134" s="267"/>
      <c r="N134" s="267"/>
      <c r="O134" s="267"/>
      <c r="P134" s="267"/>
      <c r="Q134" s="267"/>
      <c r="S134" s="267"/>
      <c r="T134" s="267"/>
      <c r="U134" s="267"/>
      <c r="V134" s="267"/>
      <c r="W134" s="264"/>
      <c r="Y134" s="267"/>
      <c r="Z134" s="267"/>
      <c r="AA134" s="267"/>
      <c r="AB134" s="267"/>
      <c r="AE134" s="267"/>
      <c r="AF134" s="267"/>
      <c r="AG134" s="267"/>
      <c r="AH134" s="267"/>
      <c r="AK134" s="267"/>
      <c r="AL134" s="267"/>
      <c r="AM134" s="267"/>
      <c r="AN134" s="267"/>
      <c r="AQ134" s="267"/>
      <c r="AR134" s="267"/>
      <c r="AS134" s="267"/>
      <c r="AT134" s="267"/>
      <c r="AW134" s="267"/>
      <c r="AX134" s="267"/>
      <c r="AY134" s="267"/>
      <c r="AZ134" s="267"/>
      <c r="BG134" s="269"/>
      <c r="BM134" s="269"/>
      <c r="BS134" s="269"/>
      <c r="BU134" s="267"/>
      <c r="BY134" s="267"/>
      <c r="CC134" s="267"/>
      <c r="CG134" s="267"/>
      <c r="CS134" s="267"/>
      <c r="CW134" s="270"/>
      <c r="CX134" s="267"/>
      <c r="DC134" s="267"/>
      <c r="DH134" s="267"/>
      <c r="DM134" s="267"/>
      <c r="DR134" s="267"/>
      <c r="DW134" s="267"/>
      <c r="EB134" s="267"/>
      <c r="EG134" s="267"/>
      <c r="EL134" s="267"/>
      <c r="EQ134" s="267"/>
      <c r="EU134" s="270"/>
      <c r="EV134" s="267"/>
      <c r="FC134" s="267"/>
      <c r="FD134" s="267"/>
      <c r="FE134" s="267"/>
      <c r="FF134" s="267"/>
      <c r="FG134" s="267"/>
      <c r="FL134" s="267"/>
      <c r="FM134" s="267"/>
      <c r="FN134" s="267"/>
      <c r="FO134" s="267"/>
      <c r="FP134" s="267"/>
      <c r="FQ134" s="264"/>
      <c r="FR134" s="264"/>
      <c r="FS134" s="264"/>
      <c r="FT134" s="264"/>
      <c r="FU134" s="267"/>
      <c r="FV134" s="267"/>
      <c r="FW134" s="267"/>
      <c r="FX134" s="267"/>
      <c r="FY134" s="267"/>
      <c r="GD134" s="267"/>
      <c r="GE134" s="267"/>
      <c r="GF134" s="267"/>
      <c r="GG134" s="267"/>
      <c r="GH134" s="267"/>
      <c r="GI134" s="264"/>
      <c r="GJ134" s="264"/>
      <c r="GK134" s="264"/>
      <c r="GL134" s="264"/>
      <c r="HD134" s="267"/>
      <c r="HE134" s="267"/>
      <c r="HF134" s="267"/>
      <c r="HG134" s="267"/>
      <c r="HH134" s="267"/>
      <c r="HI134" s="267"/>
      <c r="HJ134" s="267"/>
      <c r="HK134" s="267"/>
      <c r="HL134" s="267"/>
      <c r="HM134" s="267"/>
      <c r="HN134" s="267"/>
      <c r="HO134" s="267"/>
      <c r="HP134" s="267"/>
      <c r="HQ134" s="267"/>
      <c r="HR134" s="267"/>
      <c r="HS134" s="267"/>
      <c r="HT134" s="267"/>
      <c r="HU134" s="267"/>
      <c r="IH134" s="267"/>
      <c r="IK134" s="267"/>
      <c r="IN134" s="267"/>
      <c r="IQ134" s="267"/>
      <c r="IR134" s="267"/>
      <c r="IS134" s="267"/>
      <c r="IT134" s="274"/>
      <c r="IU134" s="274"/>
      <c r="IV134" s="272"/>
      <c r="IW134" s="274"/>
      <c r="IX134" s="274"/>
      <c r="IY134" s="272"/>
    </row>
    <row r="135" spans="10:259">
      <c r="J135" s="267"/>
      <c r="K135" s="267"/>
      <c r="L135" s="267"/>
      <c r="M135" s="267"/>
      <c r="N135" s="267"/>
      <c r="O135" s="267"/>
      <c r="P135" s="267"/>
      <c r="Q135" s="267"/>
      <c r="S135" s="267"/>
      <c r="T135" s="267"/>
      <c r="U135" s="267"/>
      <c r="V135" s="267"/>
      <c r="W135" s="264"/>
      <c r="Y135" s="267"/>
      <c r="Z135" s="267"/>
      <c r="AA135" s="267"/>
      <c r="AB135" s="267"/>
      <c r="AE135" s="267"/>
      <c r="AF135" s="267"/>
      <c r="AG135" s="267"/>
      <c r="AH135" s="267"/>
      <c r="AK135" s="267"/>
      <c r="AL135" s="267"/>
      <c r="AM135" s="267"/>
      <c r="AN135" s="267"/>
      <c r="AQ135" s="267"/>
      <c r="AR135" s="267"/>
      <c r="AS135" s="267"/>
      <c r="AT135" s="267"/>
      <c r="AW135" s="267"/>
      <c r="AX135" s="267"/>
      <c r="AY135" s="267"/>
      <c r="AZ135" s="267"/>
      <c r="BG135" s="269"/>
      <c r="BM135" s="269"/>
      <c r="BS135" s="269"/>
      <c r="BU135" s="267"/>
      <c r="BY135" s="267"/>
      <c r="CC135" s="267"/>
      <c r="CG135" s="267"/>
      <c r="CS135" s="267"/>
      <c r="CW135" s="270"/>
      <c r="CX135" s="267"/>
      <c r="DC135" s="267"/>
      <c r="DH135" s="267"/>
      <c r="DM135" s="267"/>
      <c r="DR135" s="267"/>
      <c r="DW135" s="267"/>
      <c r="EB135" s="267"/>
      <c r="EG135" s="267"/>
      <c r="EL135" s="267"/>
      <c r="EQ135" s="267"/>
      <c r="EU135" s="270"/>
      <c r="EV135" s="267"/>
      <c r="FC135" s="267"/>
      <c r="FD135" s="267"/>
      <c r="FE135" s="267"/>
      <c r="FF135" s="267"/>
      <c r="FG135" s="267"/>
      <c r="FL135" s="267"/>
      <c r="FM135" s="267"/>
      <c r="FN135" s="267"/>
      <c r="FO135" s="267"/>
      <c r="FP135" s="267"/>
      <c r="FQ135" s="264"/>
      <c r="FR135" s="264"/>
      <c r="FS135" s="264"/>
      <c r="FT135" s="264"/>
      <c r="FU135" s="267"/>
      <c r="FV135" s="267"/>
      <c r="FW135" s="267"/>
      <c r="FX135" s="267"/>
      <c r="FY135" s="267"/>
      <c r="GD135" s="267"/>
      <c r="GE135" s="267"/>
      <c r="GF135" s="267"/>
      <c r="GG135" s="267"/>
      <c r="GH135" s="267"/>
      <c r="GI135" s="264"/>
      <c r="GJ135" s="264"/>
      <c r="GK135" s="264"/>
      <c r="GL135" s="264"/>
      <c r="HD135" s="267"/>
      <c r="HE135" s="267"/>
      <c r="HF135" s="267"/>
      <c r="HG135" s="267"/>
      <c r="HH135" s="267"/>
      <c r="HI135" s="267"/>
      <c r="HJ135" s="267"/>
      <c r="HK135" s="267"/>
      <c r="HL135" s="267"/>
      <c r="HM135" s="267"/>
      <c r="HN135" s="267"/>
      <c r="HO135" s="267"/>
      <c r="HP135" s="267"/>
      <c r="HQ135" s="267"/>
      <c r="HR135" s="267"/>
      <c r="HS135" s="267"/>
      <c r="HT135" s="267"/>
      <c r="HU135" s="267"/>
      <c r="IH135" s="267"/>
      <c r="IK135" s="267"/>
      <c r="IN135" s="267"/>
      <c r="IQ135" s="267"/>
      <c r="IR135" s="267"/>
      <c r="IS135" s="267"/>
      <c r="IT135" s="274"/>
      <c r="IU135" s="274"/>
      <c r="IV135" s="272"/>
      <c r="IW135" s="274"/>
      <c r="IX135" s="274"/>
      <c r="IY135" s="272"/>
    </row>
    <row r="136" spans="10:259">
      <c r="J136" s="267"/>
      <c r="K136" s="267"/>
      <c r="L136" s="267"/>
      <c r="M136" s="267"/>
      <c r="N136" s="267"/>
      <c r="O136" s="267"/>
      <c r="P136" s="267"/>
      <c r="Q136" s="267"/>
      <c r="S136" s="267"/>
      <c r="T136" s="267"/>
      <c r="U136" s="267"/>
      <c r="V136" s="267"/>
      <c r="W136" s="264"/>
      <c r="Y136" s="267"/>
      <c r="Z136" s="267"/>
      <c r="AA136" s="267"/>
      <c r="AB136" s="267"/>
      <c r="AE136" s="267"/>
      <c r="AF136" s="267"/>
      <c r="AG136" s="267"/>
      <c r="AH136" s="267"/>
      <c r="AK136" s="267"/>
      <c r="AL136" s="267"/>
      <c r="AM136" s="267"/>
      <c r="AN136" s="267"/>
      <c r="AQ136" s="267"/>
      <c r="AR136" s="267"/>
      <c r="AS136" s="267"/>
      <c r="AT136" s="267"/>
      <c r="AW136" s="267"/>
      <c r="AX136" s="267"/>
      <c r="AY136" s="267"/>
      <c r="AZ136" s="267"/>
      <c r="BG136" s="269"/>
      <c r="BM136" s="269"/>
      <c r="BS136" s="269"/>
      <c r="BU136" s="267"/>
      <c r="BY136" s="267"/>
      <c r="CC136" s="267"/>
      <c r="CG136" s="267"/>
      <c r="CS136" s="267"/>
      <c r="CW136" s="270"/>
      <c r="CX136" s="267"/>
      <c r="DC136" s="267"/>
      <c r="DH136" s="267"/>
      <c r="DM136" s="267"/>
      <c r="DR136" s="267"/>
      <c r="DW136" s="267"/>
      <c r="EB136" s="267"/>
      <c r="EG136" s="267"/>
      <c r="EL136" s="267"/>
      <c r="EQ136" s="267"/>
      <c r="EU136" s="270"/>
      <c r="EV136" s="267"/>
      <c r="FC136" s="267"/>
      <c r="FD136" s="267"/>
      <c r="FE136" s="267"/>
      <c r="FF136" s="267"/>
      <c r="FG136" s="267"/>
      <c r="FL136" s="267"/>
      <c r="FM136" s="267"/>
      <c r="FN136" s="267"/>
      <c r="FO136" s="267"/>
      <c r="FP136" s="267"/>
      <c r="FQ136" s="264"/>
      <c r="FR136" s="264"/>
      <c r="FS136" s="264"/>
      <c r="FT136" s="264"/>
      <c r="FU136" s="267"/>
      <c r="FV136" s="267"/>
      <c r="FW136" s="267"/>
      <c r="FX136" s="267"/>
      <c r="FY136" s="267"/>
      <c r="GD136" s="267"/>
      <c r="GE136" s="267"/>
      <c r="GF136" s="267"/>
      <c r="GG136" s="267"/>
      <c r="GH136" s="267"/>
      <c r="GI136" s="264"/>
      <c r="GJ136" s="264"/>
      <c r="GK136" s="264"/>
      <c r="GL136" s="264"/>
      <c r="HD136" s="267"/>
      <c r="HE136" s="267"/>
      <c r="HF136" s="267"/>
      <c r="HG136" s="267"/>
      <c r="HH136" s="267"/>
      <c r="HI136" s="267"/>
      <c r="HJ136" s="267"/>
      <c r="HK136" s="267"/>
      <c r="HL136" s="267"/>
      <c r="HM136" s="267"/>
      <c r="HN136" s="267"/>
      <c r="HO136" s="267"/>
      <c r="HP136" s="267"/>
      <c r="HQ136" s="267"/>
      <c r="HR136" s="267"/>
      <c r="HS136" s="267"/>
      <c r="HT136" s="267"/>
      <c r="HU136" s="267"/>
      <c r="IH136" s="267"/>
      <c r="IK136" s="267"/>
      <c r="IN136" s="267"/>
      <c r="IQ136" s="267"/>
      <c r="IR136" s="267"/>
      <c r="IS136" s="267"/>
      <c r="IT136" s="274"/>
      <c r="IU136" s="274"/>
      <c r="IV136" s="272"/>
      <c r="IW136" s="274"/>
      <c r="IX136" s="274"/>
      <c r="IY136" s="272"/>
    </row>
    <row r="137" spans="10:259">
      <c r="J137" s="267"/>
      <c r="K137" s="267"/>
      <c r="L137" s="267"/>
      <c r="M137" s="267"/>
      <c r="N137" s="267"/>
      <c r="O137" s="267"/>
      <c r="P137" s="267"/>
      <c r="Q137" s="267"/>
      <c r="S137" s="267"/>
      <c r="T137" s="267"/>
      <c r="U137" s="267"/>
      <c r="V137" s="267"/>
      <c r="W137" s="264"/>
      <c r="Y137" s="267"/>
      <c r="Z137" s="267"/>
      <c r="AA137" s="267"/>
      <c r="AB137" s="267"/>
      <c r="AE137" s="267"/>
      <c r="AF137" s="267"/>
      <c r="AG137" s="267"/>
      <c r="AH137" s="267"/>
      <c r="AK137" s="267"/>
      <c r="AL137" s="267"/>
      <c r="AM137" s="267"/>
      <c r="AN137" s="267"/>
      <c r="AQ137" s="267"/>
      <c r="AR137" s="267"/>
      <c r="AS137" s="267"/>
      <c r="AT137" s="267"/>
      <c r="AW137" s="267"/>
      <c r="AX137" s="267"/>
      <c r="AY137" s="267"/>
      <c r="AZ137" s="267"/>
      <c r="BG137" s="269"/>
      <c r="BM137" s="269"/>
      <c r="BS137" s="269"/>
      <c r="BU137" s="267"/>
      <c r="BY137" s="267"/>
      <c r="CC137" s="267"/>
      <c r="CG137" s="267"/>
      <c r="CS137" s="267"/>
      <c r="CW137" s="270"/>
      <c r="CX137" s="267"/>
      <c r="DC137" s="267"/>
      <c r="DH137" s="267"/>
      <c r="DM137" s="267"/>
      <c r="DR137" s="267"/>
      <c r="DW137" s="267"/>
      <c r="EB137" s="267"/>
      <c r="EG137" s="267"/>
      <c r="EL137" s="267"/>
      <c r="EQ137" s="267"/>
      <c r="EU137" s="270"/>
      <c r="EV137" s="267"/>
      <c r="FC137" s="267"/>
      <c r="FD137" s="267"/>
      <c r="FE137" s="267"/>
      <c r="FF137" s="267"/>
      <c r="FG137" s="267"/>
      <c r="FL137" s="267"/>
      <c r="FM137" s="267"/>
      <c r="FN137" s="267"/>
      <c r="FO137" s="267"/>
      <c r="FP137" s="267"/>
      <c r="FQ137" s="264"/>
      <c r="FR137" s="264"/>
      <c r="FS137" s="264"/>
      <c r="FT137" s="264"/>
      <c r="FU137" s="267"/>
      <c r="FV137" s="267"/>
      <c r="FW137" s="267"/>
      <c r="FX137" s="267"/>
      <c r="FY137" s="267"/>
      <c r="GD137" s="267"/>
      <c r="GE137" s="267"/>
      <c r="GF137" s="267"/>
      <c r="GG137" s="267"/>
      <c r="GH137" s="267"/>
      <c r="GI137" s="264"/>
      <c r="GJ137" s="264"/>
      <c r="GK137" s="264"/>
      <c r="GL137" s="264"/>
      <c r="HD137" s="267"/>
      <c r="HE137" s="267"/>
      <c r="HF137" s="267"/>
      <c r="HG137" s="267"/>
      <c r="HH137" s="267"/>
      <c r="HI137" s="267"/>
      <c r="HJ137" s="267"/>
      <c r="HK137" s="267"/>
      <c r="HL137" s="267"/>
      <c r="HM137" s="267"/>
      <c r="HN137" s="267"/>
      <c r="HO137" s="267"/>
      <c r="HP137" s="267"/>
      <c r="HQ137" s="267"/>
      <c r="HR137" s="267"/>
      <c r="HS137" s="267"/>
      <c r="HT137" s="267"/>
      <c r="HU137" s="267"/>
      <c r="IH137" s="267"/>
      <c r="IK137" s="267"/>
      <c r="IN137" s="267"/>
      <c r="IQ137" s="267"/>
      <c r="IR137" s="267"/>
      <c r="IS137" s="267"/>
      <c r="IT137" s="274"/>
      <c r="IU137" s="274"/>
      <c r="IV137" s="272"/>
      <c r="IW137" s="274"/>
      <c r="IX137" s="274"/>
      <c r="IY137" s="272"/>
    </row>
    <row r="138" spans="10:259">
      <c r="J138" s="267"/>
      <c r="K138" s="267"/>
      <c r="L138" s="267"/>
      <c r="M138" s="267"/>
      <c r="N138" s="267"/>
      <c r="O138" s="267"/>
      <c r="P138" s="267"/>
      <c r="Q138" s="267"/>
      <c r="S138" s="267"/>
      <c r="T138" s="267"/>
      <c r="U138" s="267"/>
      <c r="V138" s="267"/>
      <c r="W138" s="264"/>
      <c r="Y138" s="267"/>
      <c r="Z138" s="267"/>
      <c r="AA138" s="267"/>
      <c r="AB138" s="267"/>
      <c r="AE138" s="267"/>
      <c r="AF138" s="267"/>
      <c r="AG138" s="267"/>
      <c r="AH138" s="267"/>
      <c r="AK138" s="267"/>
      <c r="AL138" s="267"/>
      <c r="AM138" s="267"/>
      <c r="AN138" s="267"/>
      <c r="AQ138" s="267"/>
      <c r="AR138" s="267"/>
      <c r="AS138" s="267"/>
      <c r="AT138" s="267"/>
      <c r="AW138" s="267"/>
      <c r="AX138" s="267"/>
      <c r="AY138" s="267"/>
      <c r="AZ138" s="267"/>
      <c r="BG138" s="269"/>
      <c r="BM138" s="269"/>
      <c r="BS138" s="269"/>
      <c r="BU138" s="267"/>
      <c r="BY138" s="267"/>
      <c r="CC138" s="267"/>
      <c r="CG138" s="267"/>
      <c r="CS138" s="267"/>
      <c r="CW138" s="270"/>
      <c r="CX138" s="267"/>
      <c r="DC138" s="267"/>
      <c r="DH138" s="267"/>
      <c r="DM138" s="267"/>
      <c r="DR138" s="267"/>
      <c r="DW138" s="267"/>
      <c r="EB138" s="267"/>
      <c r="EG138" s="267"/>
      <c r="EL138" s="267"/>
      <c r="EQ138" s="267"/>
      <c r="EU138" s="270"/>
      <c r="EV138" s="267"/>
      <c r="FC138" s="267"/>
      <c r="FD138" s="267"/>
      <c r="FE138" s="267"/>
      <c r="FF138" s="267"/>
      <c r="FG138" s="267"/>
      <c r="FL138" s="267"/>
      <c r="FM138" s="267"/>
      <c r="FN138" s="267"/>
      <c r="FO138" s="267"/>
      <c r="FP138" s="267"/>
      <c r="FQ138" s="264"/>
      <c r="FR138" s="264"/>
      <c r="FS138" s="264"/>
      <c r="FT138" s="264"/>
      <c r="FU138" s="267"/>
      <c r="FV138" s="267"/>
      <c r="FW138" s="267"/>
      <c r="FX138" s="267"/>
      <c r="FY138" s="267"/>
      <c r="GD138" s="267"/>
      <c r="GE138" s="267"/>
      <c r="GF138" s="267"/>
      <c r="GG138" s="267"/>
      <c r="GH138" s="267"/>
      <c r="GI138" s="264"/>
      <c r="GJ138" s="264"/>
      <c r="GK138" s="264"/>
      <c r="GL138" s="264"/>
      <c r="HD138" s="267"/>
      <c r="HE138" s="267"/>
      <c r="HF138" s="267"/>
      <c r="HG138" s="267"/>
      <c r="HH138" s="267"/>
      <c r="HI138" s="267"/>
      <c r="HJ138" s="267"/>
      <c r="HK138" s="267"/>
      <c r="HL138" s="267"/>
      <c r="HM138" s="267"/>
      <c r="HN138" s="267"/>
      <c r="HO138" s="267"/>
      <c r="HP138" s="267"/>
      <c r="HQ138" s="267"/>
      <c r="HR138" s="267"/>
      <c r="HS138" s="267"/>
      <c r="HT138" s="267"/>
      <c r="HU138" s="267"/>
      <c r="IH138" s="267"/>
      <c r="IK138" s="267"/>
      <c r="IN138" s="267"/>
      <c r="IQ138" s="267"/>
      <c r="IR138" s="267"/>
      <c r="IS138" s="267"/>
      <c r="IT138" s="274"/>
      <c r="IU138" s="274"/>
      <c r="IV138" s="272"/>
      <c r="IW138" s="274"/>
      <c r="IX138" s="274"/>
      <c r="IY138" s="272"/>
    </row>
    <row r="139" spans="10:259">
      <c r="J139" s="267"/>
      <c r="K139" s="267"/>
      <c r="L139" s="267"/>
      <c r="M139" s="267"/>
      <c r="N139" s="267"/>
      <c r="O139" s="267"/>
      <c r="P139" s="267"/>
      <c r="Q139" s="267"/>
      <c r="S139" s="267"/>
      <c r="T139" s="267"/>
      <c r="U139" s="267"/>
      <c r="V139" s="267"/>
      <c r="W139" s="264"/>
      <c r="Y139" s="267"/>
      <c r="Z139" s="267"/>
      <c r="AA139" s="267"/>
      <c r="AB139" s="267"/>
      <c r="AE139" s="267"/>
      <c r="AF139" s="267"/>
      <c r="AG139" s="267"/>
      <c r="AH139" s="267"/>
      <c r="AK139" s="267"/>
      <c r="AL139" s="267"/>
      <c r="AM139" s="267"/>
      <c r="AN139" s="267"/>
      <c r="AQ139" s="267"/>
      <c r="AR139" s="267"/>
      <c r="AS139" s="267"/>
      <c r="AT139" s="267"/>
      <c r="AW139" s="267"/>
      <c r="AX139" s="267"/>
      <c r="AY139" s="267"/>
      <c r="AZ139" s="267"/>
      <c r="BG139" s="269"/>
      <c r="BM139" s="269"/>
      <c r="BS139" s="269"/>
      <c r="BU139" s="267"/>
      <c r="BY139" s="267"/>
      <c r="CC139" s="267"/>
      <c r="CG139" s="267"/>
      <c r="CS139" s="267"/>
      <c r="CW139" s="270"/>
      <c r="CX139" s="267"/>
      <c r="DC139" s="267"/>
      <c r="DH139" s="267"/>
      <c r="DM139" s="267"/>
      <c r="DR139" s="267"/>
      <c r="DW139" s="267"/>
      <c r="EB139" s="267"/>
      <c r="EG139" s="267"/>
      <c r="EL139" s="267"/>
      <c r="EQ139" s="267"/>
      <c r="EU139" s="270"/>
      <c r="EV139" s="267"/>
      <c r="FC139" s="267"/>
      <c r="FD139" s="267"/>
      <c r="FE139" s="267"/>
      <c r="FF139" s="267"/>
      <c r="FG139" s="267"/>
      <c r="FL139" s="267"/>
      <c r="FM139" s="267"/>
      <c r="FN139" s="267"/>
      <c r="FO139" s="267"/>
      <c r="FP139" s="267"/>
      <c r="FQ139" s="264"/>
      <c r="FR139" s="264"/>
      <c r="FS139" s="264"/>
      <c r="FT139" s="264"/>
      <c r="FU139" s="267"/>
      <c r="FV139" s="267"/>
      <c r="FW139" s="267"/>
      <c r="FX139" s="267"/>
      <c r="FY139" s="267"/>
      <c r="GD139" s="267"/>
      <c r="GE139" s="267"/>
      <c r="GF139" s="267"/>
      <c r="GG139" s="267"/>
      <c r="GH139" s="267"/>
      <c r="GI139" s="264"/>
      <c r="GJ139" s="264"/>
      <c r="GK139" s="264"/>
      <c r="GL139" s="264"/>
      <c r="HD139" s="267"/>
      <c r="HE139" s="267"/>
      <c r="HF139" s="267"/>
      <c r="HG139" s="267"/>
      <c r="HH139" s="267"/>
      <c r="HI139" s="267"/>
      <c r="HJ139" s="267"/>
      <c r="HK139" s="267"/>
      <c r="HL139" s="267"/>
      <c r="HM139" s="267"/>
      <c r="HN139" s="267"/>
      <c r="HO139" s="267"/>
      <c r="HP139" s="267"/>
      <c r="HQ139" s="267"/>
      <c r="HR139" s="267"/>
      <c r="HS139" s="267"/>
      <c r="HT139" s="267"/>
      <c r="HU139" s="267"/>
      <c r="IH139" s="267"/>
      <c r="IK139" s="267"/>
      <c r="IN139" s="267"/>
      <c r="IQ139" s="267"/>
      <c r="IR139" s="267"/>
      <c r="IS139" s="267"/>
      <c r="IT139" s="274"/>
      <c r="IU139" s="274"/>
      <c r="IV139" s="272"/>
      <c r="IW139" s="274"/>
      <c r="IX139" s="274"/>
      <c r="IY139" s="272"/>
    </row>
    <row r="140" spans="10:259">
      <c r="J140" s="267"/>
      <c r="K140" s="267"/>
      <c r="L140" s="267"/>
      <c r="M140" s="267"/>
      <c r="N140" s="267"/>
      <c r="O140" s="267"/>
      <c r="P140" s="267"/>
      <c r="Q140" s="267"/>
      <c r="S140" s="267"/>
      <c r="T140" s="267"/>
      <c r="U140" s="267"/>
      <c r="V140" s="267"/>
      <c r="W140" s="264"/>
      <c r="Y140" s="267"/>
      <c r="Z140" s="267"/>
      <c r="AA140" s="267"/>
      <c r="AB140" s="267"/>
      <c r="AE140" s="267"/>
      <c r="AF140" s="267"/>
      <c r="AG140" s="267"/>
      <c r="AH140" s="267"/>
      <c r="AK140" s="267"/>
      <c r="AL140" s="267"/>
      <c r="AM140" s="267"/>
      <c r="AN140" s="267"/>
      <c r="AQ140" s="267"/>
      <c r="AR140" s="267"/>
      <c r="AS140" s="267"/>
      <c r="AT140" s="267"/>
      <c r="AW140" s="267"/>
      <c r="AX140" s="267"/>
      <c r="AY140" s="267"/>
      <c r="AZ140" s="267"/>
      <c r="BG140" s="269"/>
      <c r="BM140" s="269"/>
      <c r="BS140" s="269"/>
      <c r="BU140" s="267"/>
      <c r="BY140" s="267"/>
      <c r="CC140" s="267"/>
      <c r="CG140" s="267"/>
      <c r="CS140" s="267"/>
      <c r="CW140" s="270"/>
      <c r="CX140" s="267"/>
      <c r="DC140" s="267"/>
      <c r="DH140" s="267"/>
      <c r="DM140" s="267"/>
      <c r="DR140" s="267"/>
      <c r="DW140" s="267"/>
      <c r="EB140" s="267"/>
      <c r="EG140" s="267"/>
      <c r="EL140" s="267"/>
      <c r="EQ140" s="267"/>
      <c r="EU140" s="270"/>
      <c r="EV140" s="267"/>
      <c r="FC140" s="267"/>
      <c r="FD140" s="267"/>
      <c r="FE140" s="267"/>
      <c r="FF140" s="267"/>
      <c r="FG140" s="267"/>
      <c r="FL140" s="267"/>
      <c r="FM140" s="267"/>
      <c r="FN140" s="267"/>
      <c r="FO140" s="267"/>
      <c r="FP140" s="267"/>
      <c r="FQ140" s="264"/>
      <c r="FR140" s="264"/>
      <c r="FS140" s="264"/>
      <c r="FT140" s="264"/>
      <c r="FU140" s="267"/>
      <c r="FV140" s="267"/>
      <c r="FW140" s="267"/>
      <c r="FX140" s="267"/>
      <c r="FY140" s="267"/>
      <c r="GD140" s="267"/>
      <c r="GE140" s="267"/>
      <c r="GF140" s="267"/>
      <c r="GG140" s="267"/>
      <c r="GH140" s="267"/>
      <c r="GI140" s="264"/>
      <c r="GJ140" s="264"/>
      <c r="GK140" s="264"/>
      <c r="GL140" s="264"/>
      <c r="HD140" s="267"/>
      <c r="HE140" s="267"/>
      <c r="HF140" s="267"/>
      <c r="HG140" s="267"/>
      <c r="HH140" s="267"/>
      <c r="HI140" s="267"/>
      <c r="HJ140" s="267"/>
      <c r="HK140" s="267"/>
      <c r="HL140" s="267"/>
      <c r="HM140" s="267"/>
      <c r="HN140" s="267"/>
      <c r="HO140" s="267"/>
      <c r="HP140" s="267"/>
      <c r="HQ140" s="267"/>
      <c r="HR140" s="267"/>
      <c r="HS140" s="267"/>
      <c r="HT140" s="267"/>
      <c r="HU140" s="267"/>
      <c r="IH140" s="267"/>
      <c r="IK140" s="267"/>
      <c r="IN140" s="267"/>
      <c r="IQ140" s="267"/>
      <c r="IR140" s="267"/>
      <c r="IS140" s="267"/>
      <c r="IT140" s="274"/>
      <c r="IU140" s="274"/>
      <c r="IV140" s="272"/>
      <c r="IW140" s="274"/>
      <c r="IX140" s="274"/>
      <c r="IY140" s="272"/>
    </row>
    <row r="141" spans="10:259">
      <c r="J141" s="267"/>
      <c r="K141" s="267"/>
      <c r="L141" s="267"/>
      <c r="M141" s="267"/>
      <c r="N141" s="267"/>
      <c r="O141" s="267"/>
      <c r="P141" s="267"/>
      <c r="Q141" s="267"/>
      <c r="S141" s="267"/>
      <c r="T141" s="267"/>
      <c r="U141" s="267"/>
      <c r="V141" s="267"/>
      <c r="W141" s="264"/>
      <c r="Y141" s="267"/>
      <c r="Z141" s="267"/>
      <c r="AA141" s="267"/>
      <c r="AB141" s="267"/>
      <c r="AE141" s="267"/>
      <c r="AF141" s="267"/>
      <c r="AG141" s="267"/>
      <c r="AH141" s="267"/>
      <c r="AK141" s="267"/>
      <c r="AL141" s="267"/>
      <c r="AM141" s="267"/>
      <c r="AN141" s="267"/>
      <c r="AQ141" s="267"/>
      <c r="AR141" s="267"/>
      <c r="AS141" s="267"/>
      <c r="AT141" s="267"/>
      <c r="AW141" s="267"/>
      <c r="AX141" s="267"/>
      <c r="AY141" s="267"/>
      <c r="AZ141" s="267"/>
      <c r="BG141" s="269"/>
      <c r="BM141" s="269"/>
      <c r="BS141" s="269"/>
      <c r="BU141" s="267"/>
      <c r="BY141" s="267"/>
      <c r="CC141" s="267"/>
      <c r="CG141" s="267"/>
      <c r="CS141" s="267"/>
      <c r="CW141" s="270"/>
      <c r="CX141" s="267"/>
      <c r="DC141" s="267"/>
      <c r="DH141" s="267"/>
      <c r="DM141" s="267"/>
      <c r="DR141" s="267"/>
      <c r="DW141" s="267"/>
      <c r="EB141" s="267"/>
      <c r="EG141" s="267"/>
      <c r="EL141" s="267"/>
      <c r="EQ141" s="267"/>
      <c r="EU141" s="270"/>
      <c r="EV141" s="267"/>
      <c r="FC141" s="267"/>
      <c r="FD141" s="267"/>
      <c r="FE141" s="267"/>
      <c r="FF141" s="267"/>
      <c r="FG141" s="267"/>
      <c r="FL141" s="267"/>
      <c r="FM141" s="267"/>
      <c r="FN141" s="267"/>
      <c r="FO141" s="267"/>
      <c r="FP141" s="267"/>
      <c r="FQ141" s="264"/>
      <c r="FR141" s="264"/>
      <c r="FS141" s="264"/>
      <c r="FT141" s="264"/>
      <c r="FU141" s="267"/>
      <c r="FV141" s="267"/>
      <c r="FW141" s="267"/>
      <c r="FX141" s="267"/>
      <c r="FY141" s="267"/>
      <c r="GD141" s="267"/>
      <c r="GE141" s="267"/>
      <c r="GF141" s="267"/>
      <c r="GG141" s="267"/>
      <c r="GH141" s="267"/>
      <c r="GI141" s="264"/>
      <c r="GJ141" s="264"/>
      <c r="GK141" s="264"/>
      <c r="GL141" s="264"/>
      <c r="HD141" s="267"/>
      <c r="HE141" s="267"/>
      <c r="HF141" s="267"/>
      <c r="HG141" s="267"/>
      <c r="HH141" s="267"/>
      <c r="HI141" s="267"/>
      <c r="HJ141" s="267"/>
      <c r="HK141" s="267"/>
      <c r="HL141" s="267"/>
      <c r="HM141" s="267"/>
      <c r="HN141" s="267"/>
      <c r="HO141" s="267"/>
      <c r="HP141" s="267"/>
      <c r="HQ141" s="267"/>
      <c r="HR141" s="267"/>
      <c r="HS141" s="267"/>
      <c r="HT141" s="267"/>
      <c r="HU141" s="267"/>
      <c r="IH141" s="267"/>
      <c r="IK141" s="267"/>
      <c r="IN141" s="267"/>
      <c r="IQ141" s="267"/>
      <c r="IR141" s="267"/>
      <c r="IS141" s="267"/>
      <c r="IT141" s="274"/>
      <c r="IU141" s="274"/>
      <c r="IV141" s="272"/>
      <c r="IW141" s="274"/>
      <c r="IX141" s="274"/>
      <c r="IY141" s="272"/>
    </row>
    <row r="142" spans="10:259">
      <c r="J142" s="267"/>
      <c r="K142" s="267"/>
      <c r="L142" s="267"/>
      <c r="M142" s="267"/>
      <c r="N142" s="267"/>
      <c r="O142" s="267"/>
      <c r="P142" s="267"/>
      <c r="Q142" s="267"/>
      <c r="S142" s="267"/>
      <c r="T142" s="267"/>
      <c r="U142" s="267"/>
      <c r="V142" s="267"/>
      <c r="W142" s="264"/>
      <c r="Y142" s="267"/>
      <c r="Z142" s="267"/>
      <c r="AA142" s="267"/>
      <c r="AB142" s="267"/>
      <c r="AE142" s="267"/>
      <c r="AF142" s="267"/>
      <c r="AG142" s="267"/>
      <c r="AH142" s="267"/>
      <c r="AK142" s="267"/>
      <c r="AL142" s="267"/>
      <c r="AM142" s="267"/>
      <c r="AN142" s="267"/>
      <c r="AQ142" s="267"/>
      <c r="AR142" s="267"/>
      <c r="AS142" s="267"/>
      <c r="AT142" s="267"/>
      <c r="AW142" s="267"/>
      <c r="AX142" s="267"/>
      <c r="AY142" s="267"/>
      <c r="AZ142" s="267"/>
      <c r="BG142" s="269"/>
      <c r="BM142" s="269"/>
      <c r="BS142" s="269"/>
      <c r="BU142" s="267"/>
      <c r="BY142" s="267"/>
      <c r="CC142" s="267"/>
      <c r="CG142" s="267"/>
      <c r="CS142" s="267"/>
      <c r="CW142" s="270"/>
      <c r="CX142" s="267"/>
      <c r="DC142" s="267"/>
      <c r="DH142" s="267"/>
      <c r="DM142" s="267"/>
      <c r="DR142" s="267"/>
      <c r="DW142" s="267"/>
      <c r="EB142" s="267"/>
      <c r="EG142" s="267"/>
      <c r="EL142" s="267"/>
      <c r="EQ142" s="267"/>
      <c r="EU142" s="270"/>
      <c r="EV142" s="267"/>
      <c r="FC142" s="267"/>
      <c r="FD142" s="267"/>
      <c r="FE142" s="267"/>
      <c r="FF142" s="267"/>
      <c r="FG142" s="267"/>
      <c r="FL142" s="267"/>
      <c r="FM142" s="267"/>
      <c r="FN142" s="267"/>
      <c r="FO142" s="267"/>
      <c r="FP142" s="267"/>
      <c r="FQ142" s="264"/>
      <c r="FR142" s="264"/>
      <c r="FS142" s="264"/>
      <c r="FT142" s="264"/>
      <c r="FU142" s="267"/>
      <c r="FV142" s="267"/>
      <c r="FW142" s="267"/>
      <c r="FX142" s="267"/>
      <c r="FY142" s="267"/>
      <c r="GD142" s="267"/>
      <c r="GE142" s="267"/>
      <c r="GF142" s="267"/>
      <c r="GG142" s="267"/>
      <c r="GH142" s="267"/>
      <c r="GI142" s="264"/>
      <c r="GJ142" s="264"/>
      <c r="GK142" s="264"/>
      <c r="GL142" s="264"/>
      <c r="HD142" s="267"/>
      <c r="HE142" s="267"/>
      <c r="HF142" s="267"/>
      <c r="HG142" s="267"/>
      <c r="HH142" s="267"/>
      <c r="HI142" s="267"/>
      <c r="HJ142" s="267"/>
      <c r="HK142" s="267"/>
      <c r="HL142" s="267"/>
      <c r="HM142" s="267"/>
      <c r="HN142" s="267"/>
      <c r="HO142" s="267"/>
      <c r="HP142" s="267"/>
      <c r="HQ142" s="267"/>
      <c r="HR142" s="267"/>
      <c r="HS142" s="267"/>
      <c r="HT142" s="267"/>
      <c r="HU142" s="267"/>
      <c r="IH142" s="267"/>
      <c r="IK142" s="267"/>
      <c r="IN142" s="267"/>
      <c r="IQ142" s="267"/>
      <c r="IR142" s="267"/>
      <c r="IS142" s="267"/>
      <c r="IT142" s="274"/>
      <c r="IU142" s="274"/>
      <c r="IV142" s="272"/>
      <c r="IW142" s="274"/>
      <c r="IX142" s="274"/>
      <c r="IY142" s="272"/>
    </row>
    <row r="143" spans="10:259">
      <c r="J143" s="267"/>
      <c r="K143" s="267"/>
      <c r="L143" s="267"/>
      <c r="M143" s="267"/>
      <c r="N143" s="267"/>
      <c r="O143" s="267"/>
      <c r="P143" s="267"/>
      <c r="Q143" s="267"/>
      <c r="S143" s="267"/>
      <c r="T143" s="267"/>
      <c r="U143" s="267"/>
      <c r="V143" s="267"/>
      <c r="W143" s="264"/>
      <c r="Y143" s="267"/>
      <c r="Z143" s="267"/>
      <c r="AA143" s="267"/>
      <c r="AB143" s="267"/>
      <c r="AE143" s="267"/>
      <c r="AF143" s="267"/>
      <c r="AG143" s="267"/>
      <c r="AH143" s="267"/>
      <c r="AK143" s="267"/>
      <c r="AL143" s="267"/>
      <c r="AM143" s="267"/>
      <c r="AN143" s="267"/>
      <c r="AQ143" s="267"/>
      <c r="AR143" s="267"/>
      <c r="AS143" s="267"/>
      <c r="AT143" s="267"/>
      <c r="AW143" s="267"/>
      <c r="AX143" s="267"/>
      <c r="AY143" s="267"/>
      <c r="AZ143" s="267"/>
      <c r="BG143" s="269"/>
      <c r="BM143" s="269"/>
      <c r="BS143" s="269"/>
      <c r="BU143" s="267"/>
      <c r="BY143" s="267"/>
      <c r="CC143" s="267"/>
      <c r="CG143" s="267"/>
      <c r="CS143" s="267"/>
      <c r="CW143" s="270"/>
      <c r="CX143" s="267"/>
      <c r="DC143" s="267"/>
      <c r="DH143" s="267"/>
      <c r="DM143" s="267"/>
      <c r="DR143" s="267"/>
      <c r="DW143" s="267"/>
      <c r="EB143" s="267"/>
      <c r="EG143" s="267"/>
      <c r="EL143" s="267"/>
      <c r="EQ143" s="267"/>
      <c r="EU143" s="270"/>
      <c r="EV143" s="267"/>
      <c r="FC143" s="267"/>
      <c r="FD143" s="267"/>
      <c r="FE143" s="267"/>
      <c r="FF143" s="267"/>
      <c r="FG143" s="267"/>
      <c r="FL143" s="267"/>
      <c r="FM143" s="267"/>
      <c r="FN143" s="267"/>
      <c r="FO143" s="267"/>
      <c r="FP143" s="267"/>
      <c r="FQ143" s="264"/>
      <c r="FR143" s="264"/>
      <c r="FS143" s="264"/>
      <c r="FT143" s="264"/>
      <c r="FU143" s="267"/>
      <c r="FV143" s="267"/>
      <c r="FW143" s="267"/>
      <c r="FX143" s="267"/>
      <c r="FY143" s="267"/>
      <c r="GD143" s="267"/>
      <c r="GE143" s="267"/>
      <c r="GF143" s="267"/>
      <c r="GG143" s="267"/>
      <c r="GH143" s="267"/>
      <c r="GI143" s="264"/>
      <c r="GJ143" s="264"/>
      <c r="GK143" s="264"/>
      <c r="GL143" s="264"/>
      <c r="HD143" s="267"/>
      <c r="HE143" s="267"/>
      <c r="HF143" s="267"/>
      <c r="HG143" s="267"/>
      <c r="HH143" s="267"/>
      <c r="HI143" s="267"/>
      <c r="HJ143" s="267"/>
      <c r="HK143" s="267"/>
      <c r="HL143" s="267"/>
      <c r="HM143" s="267"/>
      <c r="HN143" s="267"/>
      <c r="HO143" s="267"/>
      <c r="HP143" s="267"/>
      <c r="HQ143" s="267"/>
      <c r="HR143" s="267"/>
      <c r="HS143" s="267"/>
      <c r="HT143" s="267"/>
      <c r="HU143" s="267"/>
      <c r="IH143" s="267"/>
      <c r="IK143" s="267"/>
      <c r="IN143" s="267"/>
      <c r="IQ143" s="267"/>
      <c r="IR143" s="267"/>
      <c r="IS143" s="267"/>
      <c r="IT143" s="274"/>
      <c r="IU143" s="274"/>
      <c r="IV143" s="272"/>
      <c r="IW143" s="274"/>
      <c r="IX143" s="274"/>
      <c r="IY143" s="272"/>
    </row>
    <row r="144" spans="10:259">
      <c r="J144" s="267"/>
      <c r="K144" s="267"/>
      <c r="L144" s="267"/>
      <c r="M144" s="267"/>
      <c r="N144" s="267"/>
      <c r="O144" s="267"/>
      <c r="P144" s="267"/>
      <c r="Q144" s="267"/>
      <c r="S144" s="267"/>
      <c r="T144" s="267"/>
      <c r="U144" s="267"/>
      <c r="V144" s="267"/>
      <c r="W144" s="264"/>
      <c r="Y144" s="267"/>
      <c r="Z144" s="267"/>
      <c r="AA144" s="267"/>
      <c r="AB144" s="267"/>
      <c r="AE144" s="267"/>
      <c r="AF144" s="267"/>
      <c r="AG144" s="267"/>
      <c r="AH144" s="267"/>
      <c r="AK144" s="267"/>
      <c r="AL144" s="267"/>
      <c r="AM144" s="267"/>
      <c r="AN144" s="267"/>
      <c r="AQ144" s="267"/>
      <c r="AR144" s="267"/>
      <c r="AS144" s="267"/>
      <c r="AT144" s="267"/>
      <c r="AW144" s="267"/>
      <c r="AX144" s="267"/>
      <c r="AY144" s="267"/>
      <c r="AZ144" s="267"/>
      <c r="BG144" s="269"/>
      <c r="BM144" s="269"/>
      <c r="BS144" s="269"/>
      <c r="BU144" s="267"/>
      <c r="BY144" s="267"/>
      <c r="CC144" s="267"/>
      <c r="CG144" s="267"/>
      <c r="CS144" s="267"/>
      <c r="CW144" s="270"/>
      <c r="CX144" s="267"/>
      <c r="DC144" s="267"/>
      <c r="DH144" s="267"/>
      <c r="DM144" s="267"/>
      <c r="DR144" s="267"/>
      <c r="DW144" s="267"/>
      <c r="EB144" s="267"/>
      <c r="EG144" s="267"/>
      <c r="EL144" s="267"/>
      <c r="EQ144" s="267"/>
      <c r="EU144" s="270"/>
      <c r="EV144" s="267"/>
      <c r="FC144" s="267"/>
      <c r="FD144" s="267"/>
      <c r="FE144" s="267"/>
      <c r="FF144" s="267"/>
      <c r="FG144" s="267"/>
      <c r="FL144" s="267"/>
      <c r="FM144" s="267"/>
      <c r="FN144" s="267"/>
      <c r="FO144" s="267"/>
      <c r="FP144" s="267"/>
      <c r="FQ144" s="264"/>
      <c r="FR144" s="264"/>
      <c r="FS144" s="264"/>
      <c r="FT144" s="264"/>
      <c r="FU144" s="267"/>
      <c r="FV144" s="267"/>
      <c r="FW144" s="267"/>
      <c r="FX144" s="267"/>
      <c r="FY144" s="267"/>
      <c r="GD144" s="267"/>
      <c r="GE144" s="267"/>
      <c r="GF144" s="267"/>
      <c r="GG144" s="267"/>
      <c r="GH144" s="267"/>
      <c r="GI144" s="264"/>
      <c r="GJ144" s="264"/>
      <c r="GK144" s="264"/>
      <c r="GL144" s="264"/>
      <c r="HD144" s="267"/>
      <c r="HE144" s="267"/>
      <c r="HF144" s="267"/>
      <c r="HG144" s="267"/>
      <c r="HH144" s="267"/>
      <c r="HI144" s="267"/>
      <c r="HJ144" s="267"/>
      <c r="HK144" s="267"/>
      <c r="HL144" s="267"/>
      <c r="HM144" s="267"/>
      <c r="HN144" s="267"/>
      <c r="HO144" s="267"/>
      <c r="HP144" s="267"/>
      <c r="HQ144" s="267"/>
      <c r="HR144" s="267"/>
      <c r="HS144" s="267"/>
      <c r="HT144" s="267"/>
      <c r="HU144" s="267"/>
      <c r="IH144" s="267"/>
      <c r="IK144" s="267"/>
      <c r="IN144" s="267"/>
      <c r="IQ144" s="267"/>
      <c r="IR144" s="267"/>
      <c r="IS144" s="267"/>
      <c r="IT144" s="274"/>
      <c r="IU144" s="274"/>
      <c r="IV144" s="272"/>
      <c r="IW144" s="274"/>
      <c r="IX144" s="274"/>
      <c r="IY144" s="272"/>
    </row>
    <row r="145" spans="3:259">
      <c r="J145" s="267"/>
      <c r="K145" s="267"/>
      <c r="L145" s="267"/>
      <c r="M145" s="267"/>
      <c r="N145" s="267"/>
      <c r="O145" s="267"/>
      <c r="P145" s="267"/>
      <c r="Q145" s="267"/>
      <c r="S145" s="267"/>
      <c r="T145" s="267"/>
      <c r="U145" s="267"/>
      <c r="V145" s="267"/>
      <c r="W145" s="264"/>
      <c r="Y145" s="267"/>
      <c r="Z145" s="267"/>
      <c r="AA145" s="267"/>
      <c r="AB145" s="267"/>
      <c r="AE145" s="267"/>
      <c r="AF145" s="267"/>
      <c r="AG145" s="267"/>
      <c r="AH145" s="267"/>
      <c r="AK145" s="267"/>
      <c r="AL145" s="267"/>
      <c r="AM145" s="267"/>
      <c r="AN145" s="267"/>
      <c r="AQ145" s="267"/>
      <c r="AR145" s="267"/>
      <c r="AS145" s="267"/>
      <c r="AT145" s="267"/>
      <c r="AW145" s="267"/>
      <c r="AX145" s="267"/>
      <c r="AY145" s="267"/>
      <c r="AZ145" s="267"/>
      <c r="BG145" s="269"/>
      <c r="BM145" s="269"/>
      <c r="BS145" s="269"/>
      <c r="BU145" s="267"/>
      <c r="BY145" s="267"/>
      <c r="CC145" s="267"/>
      <c r="CG145" s="267"/>
      <c r="CS145" s="267"/>
      <c r="CW145" s="270"/>
      <c r="CX145" s="267"/>
      <c r="DC145" s="267"/>
      <c r="DH145" s="267"/>
      <c r="DM145" s="267"/>
      <c r="DR145" s="267"/>
      <c r="DW145" s="267"/>
      <c r="EB145" s="267"/>
      <c r="EG145" s="267"/>
      <c r="EL145" s="267"/>
      <c r="EQ145" s="267"/>
      <c r="EU145" s="270"/>
      <c r="EV145" s="267"/>
      <c r="FC145" s="267"/>
      <c r="FD145" s="267"/>
      <c r="FE145" s="267"/>
      <c r="FF145" s="267"/>
      <c r="FG145" s="267"/>
      <c r="FL145" s="267"/>
      <c r="FM145" s="267"/>
      <c r="FN145" s="267"/>
      <c r="FO145" s="267"/>
      <c r="FP145" s="267"/>
      <c r="FQ145" s="264"/>
      <c r="FR145" s="264"/>
      <c r="FS145" s="264"/>
      <c r="FT145" s="264"/>
      <c r="FU145" s="267"/>
      <c r="FV145" s="267"/>
      <c r="FW145" s="267"/>
      <c r="FX145" s="267"/>
      <c r="FY145" s="267"/>
      <c r="GD145" s="267"/>
      <c r="GE145" s="267"/>
      <c r="GF145" s="267"/>
      <c r="GG145" s="267"/>
      <c r="GH145" s="267"/>
      <c r="GI145" s="264"/>
      <c r="GJ145" s="264"/>
      <c r="GK145" s="264"/>
      <c r="GL145" s="264"/>
      <c r="HD145" s="267"/>
      <c r="HE145" s="267"/>
      <c r="HF145" s="267"/>
      <c r="HG145" s="267"/>
      <c r="HH145" s="267"/>
      <c r="HI145" s="267"/>
      <c r="HJ145" s="267"/>
      <c r="HK145" s="267"/>
      <c r="HL145" s="267"/>
      <c r="HM145" s="267"/>
      <c r="HN145" s="267"/>
      <c r="HO145" s="267"/>
      <c r="HP145" s="267"/>
      <c r="HQ145" s="267"/>
      <c r="HR145" s="267"/>
      <c r="HS145" s="267"/>
      <c r="HT145" s="267"/>
      <c r="HU145" s="267"/>
      <c r="IH145" s="267"/>
      <c r="IK145" s="267"/>
      <c r="IN145" s="267"/>
      <c r="IQ145" s="267"/>
      <c r="IR145" s="267"/>
      <c r="IS145" s="267"/>
      <c r="IT145" s="274"/>
      <c r="IU145" s="274"/>
      <c r="IV145" s="272"/>
      <c r="IW145" s="274"/>
      <c r="IX145" s="274"/>
      <c r="IY145" s="272"/>
    </row>
    <row r="146" spans="3:259">
      <c r="J146" s="267"/>
      <c r="K146" s="267"/>
      <c r="L146" s="267"/>
      <c r="M146" s="267"/>
      <c r="N146" s="267"/>
      <c r="O146" s="267"/>
      <c r="P146" s="267"/>
      <c r="Q146" s="267"/>
      <c r="S146" s="267"/>
      <c r="T146" s="267"/>
      <c r="U146" s="267"/>
      <c r="V146" s="267"/>
      <c r="W146" s="264"/>
      <c r="Y146" s="267"/>
      <c r="Z146" s="267"/>
      <c r="AA146" s="267"/>
      <c r="AB146" s="267"/>
      <c r="AE146" s="267"/>
      <c r="AF146" s="267"/>
      <c r="AG146" s="267"/>
      <c r="AH146" s="267"/>
      <c r="AK146" s="267"/>
      <c r="AL146" s="267"/>
      <c r="AM146" s="267"/>
      <c r="AN146" s="267"/>
      <c r="AQ146" s="267"/>
      <c r="AR146" s="267"/>
      <c r="AS146" s="267"/>
      <c r="AT146" s="267"/>
      <c r="AW146" s="267"/>
      <c r="AX146" s="267"/>
      <c r="AY146" s="267"/>
      <c r="AZ146" s="267"/>
      <c r="BG146" s="269"/>
      <c r="BM146" s="269"/>
      <c r="BS146" s="269"/>
      <c r="BU146" s="267"/>
      <c r="BY146" s="267"/>
      <c r="CC146" s="267"/>
      <c r="CG146" s="267"/>
      <c r="CS146" s="267"/>
      <c r="CW146" s="270"/>
      <c r="CX146" s="267"/>
      <c r="DC146" s="267"/>
      <c r="DH146" s="267"/>
      <c r="DM146" s="267"/>
      <c r="DR146" s="267"/>
      <c r="DW146" s="267"/>
      <c r="EB146" s="267"/>
      <c r="EG146" s="267"/>
      <c r="EL146" s="267"/>
      <c r="EQ146" s="267"/>
      <c r="EU146" s="270"/>
      <c r="EV146" s="267"/>
      <c r="FC146" s="267"/>
      <c r="FD146" s="267"/>
      <c r="FE146" s="267"/>
      <c r="FF146" s="267"/>
      <c r="FG146" s="267"/>
      <c r="FL146" s="267"/>
      <c r="FM146" s="267"/>
      <c r="FN146" s="267"/>
      <c r="FO146" s="267"/>
      <c r="FP146" s="267"/>
      <c r="FQ146" s="264"/>
      <c r="FR146" s="264"/>
      <c r="FS146" s="264"/>
      <c r="FT146" s="264"/>
      <c r="FU146" s="267"/>
      <c r="FV146" s="267"/>
      <c r="FW146" s="267"/>
      <c r="FX146" s="267"/>
      <c r="FY146" s="267"/>
      <c r="GD146" s="267"/>
      <c r="GE146" s="267"/>
      <c r="GF146" s="267"/>
      <c r="GG146" s="267"/>
      <c r="GH146" s="267"/>
      <c r="GI146" s="264"/>
      <c r="GJ146" s="264"/>
      <c r="GK146" s="264"/>
      <c r="GL146" s="264"/>
      <c r="HD146" s="267"/>
      <c r="HE146" s="267"/>
      <c r="HF146" s="267"/>
      <c r="HG146" s="267"/>
      <c r="HH146" s="267"/>
      <c r="HI146" s="267"/>
      <c r="HJ146" s="267"/>
      <c r="HK146" s="267"/>
      <c r="HL146" s="267"/>
      <c r="HM146" s="267"/>
      <c r="HN146" s="267"/>
      <c r="HO146" s="267"/>
      <c r="HP146" s="267"/>
      <c r="HQ146" s="267"/>
      <c r="HR146" s="267"/>
      <c r="HS146" s="267"/>
      <c r="HT146" s="267"/>
      <c r="HU146" s="267"/>
      <c r="IH146" s="267"/>
      <c r="IK146" s="267"/>
      <c r="IN146" s="267"/>
      <c r="IQ146" s="267"/>
      <c r="IR146" s="267"/>
      <c r="IS146" s="267"/>
      <c r="IT146" s="274"/>
      <c r="IU146" s="274"/>
      <c r="IV146" s="272"/>
      <c r="IW146" s="274"/>
      <c r="IX146" s="274"/>
      <c r="IY146" s="272"/>
    </row>
    <row r="147" spans="3:259">
      <c r="J147" s="267"/>
      <c r="K147" s="267"/>
      <c r="L147" s="267"/>
      <c r="M147" s="267"/>
      <c r="N147" s="267"/>
      <c r="O147" s="267"/>
      <c r="P147" s="267"/>
      <c r="Q147" s="267"/>
      <c r="S147" s="267"/>
      <c r="T147" s="267"/>
      <c r="U147" s="267"/>
      <c r="V147" s="267"/>
      <c r="W147" s="264"/>
      <c r="Y147" s="267"/>
      <c r="Z147" s="267"/>
      <c r="AA147" s="267"/>
      <c r="AB147" s="267"/>
      <c r="AE147" s="267"/>
      <c r="AF147" s="267"/>
      <c r="AG147" s="267"/>
      <c r="AH147" s="267"/>
      <c r="AK147" s="267"/>
      <c r="AL147" s="267"/>
      <c r="AM147" s="267"/>
      <c r="AN147" s="267"/>
      <c r="AQ147" s="267"/>
      <c r="AR147" s="267"/>
      <c r="AS147" s="267"/>
      <c r="AT147" s="267"/>
      <c r="AW147" s="267"/>
      <c r="AX147" s="267"/>
      <c r="AY147" s="267"/>
      <c r="AZ147" s="267"/>
      <c r="BG147" s="269"/>
      <c r="BM147" s="269"/>
      <c r="BS147" s="269"/>
      <c r="BU147" s="267"/>
      <c r="BY147" s="267"/>
      <c r="CC147" s="267"/>
      <c r="CG147" s="267"/>
      <c r="CS147" s="267"/>
      <c r="CW147" s="270"/>
      <c r="CX147" s="267"/>
      <c r="DC147" s="267"/>
      <c r="DH147" s="267"/>
      <c r="DM147" s="267"/>
      <c r="DR147" s="267"/>
      <c r="DW147" s="267"/>
      <c r="EB147" s="267"/>
      <c r="EG147" s="267"/>
      <c r="EL147" s="267"/>
      <c r="EQ147" s="267"/>
      <c r="EU147" s="270"/>
      <c r="EV147" s="267"/>
      <c r="FC147" s="267"/>
      <c r="FD147" s="267"/>
      <c r="FE147" s="267"/>
      <c r="FF147" s="267"/>
      <c r="FG147" s="267"/>
      <c r="FL147" s="267"/>
      <c r="FM147" s="267"/>
      <c r="FN147" s="267"/>
      <c r="FO147" s="267"/>
      <c r="FP147" s="267"/>
      <c r="FQ147" s="264"/>
      <c r="FR147" s="264"/>
      <c r="FS147" s="264"/>
      <c r="FT147" s="264"/>
      <c r="FU147" s="267"/>
      <c r="FV147" s="267"/>
      <c r="FW147" s="267"/>
      <c r="FX147" s="267"/>
      <c r="FY147" s="267"/>
      <c r="GD147" s="267"/>
      <c r="GE147" s="267"/>
      <c r="GF147" s="267"/>
      <c r="GG147" s="267"/>
      <c r="GH147" s="267"/>
      <c r="GI147" s="264"/>
      <c r="GJ147" s="264"/>
      <c r="GK147" s="264"/>
      <c r="GL147" s="264"/>
      <c r="HD147" s="267"/>
      <c r="HE147" s="267"/>
      <c r="HF147" s="267"/>
      <c r="HG147" s="267"/>
      <c r="HH147" s="267"/>
      <c r="HI147" s="267"/>
      <c r="HJ147" s="267"/>
      <c r="HK147" s="267"/>
      <c r="HL147" s="267"/>
      <c r="HM147" s="267"/>
      <c r="HN147" s="267"/>
      <c r="HO147" s="267"/>
      <c r="HP147" s="267"/>
      <c r="HQ147" s="267"/>
      <c r="HR147" s="267"/>
      <c r="HS147" s="267"/>
      <c r="HT147" s="267"/>
      <c r="HU147" s="267"/>
      <c r="IH147" s="267"/>
      <c r="IK147" s="267"/>
      <c r="IN147" s="267"/>
      <c r="IQ147" s="267"/>
      <c r="IR147" s="267"/>
      <c r="IS147" s="267"/>
      <c r="IT147" s="274"/>
      <c r="IU147" s="274"/>
      <c r="IV147" s="272"/>
      <c r="IW147" s="274"/>
      <c r="IX147" s="274"/>
      <c r="IY147" s="272"/>
    </row>
    <row r="148" spans="3:259">
      <c r="J148" s="267"/>
      <c r="K148" s="267"/>
      <c r="L148" s="267"/>
      <c r="M148" s="267"/>
      <c r="N148" s="267"/>
      <c r="O148" s="267"/>
      <c r="P148" s="267"/>
      <c r="Q148" s="267"/>
      <c r="S148" s="267"/>
      <c r="T148" s="267"/>
      <c r="U148" s="267"/>
      <c r="V148" s="267"/>
      <c r="W148" s="264"/>
      <c r="Y148" s="267"/>
      <c r="Z148" s="267"/>
      <c r="AA148" s="267"/>
      <c r="AB148" s="267"/>
      <c r="AE148" s="267"/>
      <c r="AF148" s="267"/>
      <c r="AG148" s="267"/>
      <c r="AH148" s="267"/>
      <c r="AK148" s="267"/>
      <c r="AL148" s="267"/>
      <c r="AM148" s="267"/>
      <c r="AN148" s="267"/>
      <c r="AQ148" s="267"/>
      <c r="AR148" s="267"/>
      <c r="AS148" s="267"/>
      <c r="AT148" s="267"/>
      <c r="AW148" s="267"/>
      <c r="AX148" s="267"/>
      <c r="AY148" s="267"/>
      <c r="AZ148" s="267"/>
      <c r="BG148" s="269"/>
      <c r="BM148" s="269"/>
      <c r="BS148" s="269"/>
      <c r="BU148" s="267"/>
      <c r="BY148" s="267"/>
      <c r="CC148" s="267"/>
      <c r="CG148" s="267"/>
      <c r="CS148" s="267"/>
      <c r="CW148" s="270"/>
      <c r="CX148" s="267"/>
      <c r="DC148" s="267"/>
      <c r="DH148" s="267"/>
      <c r="DM148" s="267"/>
      <c r="DR148" s="267"/>
      <c r="DW148" s="267"/>
      <c r="EB148" s="267"/>
      <c r="EG148" s="267"/>
      <c r="EL148" s="267"/>
      <c r="EQ148" s="267"/>
      <c r="EU148" s="270"/>
      <c r="EV148" s="267"/>
      <c r="FC148" s="267"/>
      <c r="FD148" s="267"/>
      <c r="FE148" s="267"/>
      <c r="FF148" s="267"/>
      <c r="FG148" s="267"/>
      <c r="FL148" s="267"/>
      <c r="FM148" s="267"/>
      <c r="FN148" s="267"/>
      <c r="FO148" s="267"/>
      <c r="FP148" s="267"/>
      <c r="FQ148" s="264"/>
      <c r="FR148" s="264"/>
      <c r="FS148" s="264"/>
      <c r="FT148" s="264"/>
      <c r="FU148" s="267"/>
      <c r="FV148" s="267"/>
      <c r="FW148" s="267"/>
      <c r="FX148" s="267"/>
      <c r="FY148" s="267"/>
      <c r="GD148" s="267"/>
      <c r="GE148" s="267"/>
      <c r="GF148" s="267"/>
      <c r="GG148" s="267"/>
      <c r="GH148" s="267"/>
      <c r="GI148" s="264"/>
      <c r="GJ148" s="264"/>
      <c r="GK148" s="264"/>
      <c r="GL148" s="264"/>
      <c r="HD148" s="267"/>
      <c r="HE148" s="267"/>
      <c r="HF148" s="267"/>
      <c r="HG148" s="267"/>
      <c r="HH148" s="267"/>
      <c r="HI148" s="267"/>
      <c r="HJ148" s="267"/>
      <c r="HK148" s="267"/>
      <c r="HL148" s="267"/>
      <c r="HM148" s="267"/>
      <c r="HN148" s="267"/>
      <c r="HO148" s="267"/>
      <c r="HP148" s="267"/>
      <c r="HQ148" s="267"/>
      <c r="HR148" s="267"/>
      <c r="HS148" s="267"/>
      <c r="HT148" s="267"/>
      <c r="HU148" s="267"/>
      <c r="IH148" s="267"/>
      <c r="IK148" s="267"/>
      <c r="IN148" s="267"/>
      <c r="IQ148" s="267"/>
      <c r="IR148" s="267"/>
      <c r="IS148" s="267"/>
      <c r="IT148" s="274"/>
      <c r="IU148" s="274"/>
      <c r="IV148" s="272"/>
      <c r="IW148" s="274"/>
      <c r="IX148" s="274"/>
      <c r="IY148" s="272"/>
    </row>
    <row r="149" spans="3:259">
      <c r="J149" s="267"/>
      <c r="K149" s="267"/>
      <c r="L149" s="267"/>
      <c r="M149" s="267"/>
      <c r="N149" s="267"/>
      <c r="O149" s="267"/>
      <c r="P149" s="267"/>
      <c r="Q149" s="267"/>
      <c r="S149" s="267"/>
      <c r="T149" s="267"/>
      <c r="U149" s="267"/>
      <c r="V149" s="267"/>
      <c r="W149" s="264"/>
      <c r="Y149" s="267"/>
      <c r="Z149" s="267"/>
      <c r="AA149" s="267"/>
      <c r="AB149" s="267"/>
      <c r="AE149" s="267"/>
      <c r="AF149" s="267"/>
      <c r="AG149" s="267"/>
      <c r="AH149" s="267"/>
      <c r="AK149" s="267"/>
      <c r="AL149" s="267"/>
      <c r="AM149" s="267"/>
      <c r="AN149" s="267"/>
      <c r="AQ149" s="267"/>
      <c r="AR149" s="267"/>
      <c r="AS149" s="267"/>
      <c r="AT149" s="267"/>
      <c r="AW149" s="267"/>
      <c r="AX149" s="267"/>
      <c r="AY149" s="267"/>
      <c r="AZ149" s="267"/>
      <c r="BG149" s="269"/>
      <c r="BM149" s="269"/>
      <c r="BS149" s="269"/>
      <c r="BU149" s="267"/>
      <c r="BY149" s="267"/>
      <c r="CC149" s="267"/>
      <c r="CG149" s="267"/>
      <c r="CS149" s="267"/>
      <c r="CW149" s="270"/>
      <c r="CX149" s="267"/>
      <c r="DC149" s="267"/>
      <c r="DH149" s="267"/>
      <c r="DM149" s="267"/>
      <c r="DR149" s="267"/>
      <c r="DW149" s="267"/>
      <c r="EB149" s="267"/>
      <c r="EG149" s="267"/>
      <c r="EL149" s="267"/>
      <c r="EQ149" s="267"/>
      <c r="EU149" s="270"/>
      <c r="EV149" s="267"/>
      <c r="FC149" s="267"/>
      <c r="FD149" s="267"/>
      <c r="FE149" s="267"/>
      <c r="FF149" s="267"/>
      <c r="FG149" s="267"/>
      <c r="FL149" s="267"/>
      <c r="FM149" s="267"/>
      <c r="FN149" s="267"/>
      <c r="FO149" s="267"/>
      <c r="FP149" s="267"/>
      <c r="FQ149" s="264"/>
      <c r="FR149" s="264"/>
      <c r="FS149" s="264"/>
      <c r="FT149" s="264"/>
      <c r="FU149" s="267"/>
      <c r="FV149" s="267"/>
      <c r="FW149" s="267"/>
      <c r="FX149" s="267"/>
      <c r="FY149" s="267"/>
      <c r="GD149" s="267"/>
      <c r="GE149" s="267"/>
      <c r="GF149" s="267"/>
      <c r="GG149" s="267"/>
      <c r="GH149" s="267"/>
      <c r="GI149" s="264"/>
      <c r="GJ149" s="264"/>
      <c r="GK149" s="264"/>
      <c r="GL149" s="264"/>
      <c r="HD149" s="267"/>
      <c r="HE149" s="267"/>
      <c r="HF149" s="267"/>
      <c r="HG149" s="267"/>
      <c r="HH149" s="267"/>
      <c r="HI149" s="267"/>
      <c r="HJ149" s="267"/>
      <c r="HK149" s="267"/>
      <c r="HL149" s="267"/>
      <c r="HM149" s="267"/>
      <c r="HN149" s="267"/>
      <c r="HO149" s="267"/>
      <c r="HP149" s="267"/>
      <c r="HQ149" s="267"/>
      <c r="HR149" s="267"/>
      <c r="HS149" s="267"/>
      <c r="HT149" s="267"/>
      <c r="HU149" s="267"/>
      <c r="IH149" s="267"/>
      <c r="IK149" s="267"/>
      <c r="IN149" s="267"/>
      <c r="IQ149" s="267"/>
      <c r="IR149" s="267"/>
      <c r="IS149" s="267"/>
      <c r="IT149" s="274"/>
      <c r="IU149" s="274"/>
      <c r="IV149" s="272"/>
      <c r="IW149" s="274"/>
      <c r="IX149" s="274"/>
      <c r="IY149" s="272"/>
    </row>
    <row r="150" spans="3:259">
      <c r="J150" s="267"/>
      <c r="K150" s="267"/>
      <c r="L150" s="267"/>
      <c r="M150" s="267"/>
      <c r="N150" s="267"/>
      <c r="O150" s="267"/>
      <c r="P150" s="267"/>
      <c r="Q150" s="267"/>
      <c r="S150" s="267"/>
      <c r="T150" s="267"/>
      <c r="U150" s="267"/>
      <c r="V150" s="267"/>
      <c r="W150" s="264"/>
      <c r="Y150" s="267"/>
      <c r="Z150" s="267"/>
      <c r="AA150" s="267"/>
      <c r="AB150" s="267"/>
      <c r="AE150" s="267"/>
      <c r="AF150" s="267"/>
      <c r="AG150" s="267"/>
      <c r="AH150" s="267"/>
      <c r="AK150" s="267"/>
      <c r="AL150" s="267"/>
      <c r="AM150" s="267"/>
      <c r="AN150" s="267"/>
      <c r="AQ150" s="267"/>
      <c r="AR150" s="267"/>
      <c r="AS150" s="267"/>
      <c r="AT150" s="267"/>
      <c r="AW150" s="267"/>
      <c r="AX150" s="267"/>
      <c r="AY150" s="267"/>
      <c r="AZ150" s="267"/>
      <c r="BG150" s="269"/>
      <c r="BM150" s="269"/>
      <c r="BS150" s="269"/>
      <c r="BU150" s="267"/>
      <c r="BY150" s="267"/>
      <c r="CC150" s="267"/>
      <c r="CG150" s="267"/>
      <c r="CS150" s="267"/>
      <c r="CW150" s="270"/>
      <c r="CX150" s="267"/>
      <c r="DC150" s="267"/>
      <c r="DH150" s="267"/>
      <c r="DM150" s="267"/>
      <c r="DR150" s="267"/>
      <c r="DW150" s="267"/>
      <c r="EB150" s="267"/>
      <c r="EG150" s="267"/>
      <c r="EL150" s="267"/>
      <c r="EQ150" s="267"/>
      <c r="EU150" s="270"/>
      <c r="EV150" s="267"/>
      <c r="FC150" s="267"/>
      <c r="FD150" s="267"/>
      <c r="FE150" s="267"/>
      <c r="FF150" s="267"/>
      <c r="FG150" s="267"/>
      <c r="FL150" s="267"/>
      <c r="FM150" s="267"/>
      <c r="FN150" s="267"/>
      <c r="FO150" s="267"/>
      <c r="FP150" s="267"/>
      <c r="FQ150" s="264"/>
      <c r="FR150" s="264"/>
      <c r="FS150" s="264"/>
      <c r="FT150" s="264"/>
      <c r="FU150" s="267"/>
      <c r="FV150" s="267"/>
      <c r="FW150" s="267"/>
      <c r="FX150" s="267"/>
      <c r="FY150" s="267"/>
      <c r="GD150" s="267"/>
      <c r="GE150" s="267"/>
      <c r="GF150" s="267"/>
      <c r="GG150" s="267"/>
      <c r="GH150" s="267"/>
      <c r="GI150" s="264"/>
      <c r="GJ150" s="264"/>
      <c r="GK150" s="264"/>
      <c r="GL150" s="264"/>
      <c r="HD150" s="267"/>
      <c r="HE150" s="267"/>
      <c r="HF150" s="267"/>
      <c r="HG150" s="267"/>
      <c r="HH150" s="267"/>
      <c r="HI150" s="267"/>
      <c r="HJ150" s="267"/>
      <c r="HK150" s="267"/>
      <c r="HL150" s="267"/>
      <c r="HM150" s="267"/>
      <c r="HN150" s="267"/>
      <c r="HO150" s="267"/>
      <c r="HP150" s="267"/>
      <c r="HQ150" s="267"/>
      <c r="HR150" s="267"/>
      <c r="HS150" s="267"/>
      <c r="HT150" s="267"/>
      <c r="HU150" s="267"/>
      <c r="IH150" s="267"/>
      <c r="IK150" s="267"/>
      <c r="IN150" s="267"/>
      <c r="IQ150" s="267"/>
      <c r="IR150" s="267"/>
      <c r="IS150" s="267"/>
      <c r="IT150" s="274"/>
      <c r="IU150" s="274"/>
      <c r="IV150" s="272"/>
      <c r="IW150" s="274"/>
      <c r="IX150" s="274"/>
      <c r="IY150" s="272"/>
    </row>
    <row r="151" spans="3:259">
      <c r="J151" s="267"/>
      <c r="K151" s="267"/>
      <c r="L151" s="267"/>
      <c r="M151" s="267"/>
      <c r="N151" s="267"/>
      <c r="O151" s="267"/>
      <c r="P151" s="267"/>
      <c r="Q151" s="267"/>
      <c r="S151" s="267"/>
      <c r="T151" s="267"/>
      <c r="U151" s="267"/>
      <c r="V151" s="267"/>
      <c r="W151" s="264"/>
      <c r="Y151" s="267"/>
      <c r="Z151" s="267"/>
      <c r="AA151" s="267"/>
      <c r="AB151" s="267"/>
      <c r="AE151" s="267"/>
      <c r="AF151" s="267"/>
      <c r="AG151" s="267"/>
      <c r="AH151" s="267"/>
      <c r="AK151" s="267"/>
      <c r="AL151" s="267"/>
      <c r="AM151" s="267"/>
      <c r="AN151" s="267"/>
      <c r="AQ151" s="267"/>
      <c r="AR151" s="267"/>
      <c r="AS151" s="267"/>
      <c r="AT151" s="267"/>
      <c r="AW151" s="267"/>
      <c r="AX151" s="267"/>
      <c r="AY151" s="267"/>
      <c r="AZ151" s="267"/>
      <c r="BG151" s="269"/>
      <c r="BM151" s="269"/>
      <c r="BS151" s="269"/>
      <c r="BU151" s="267"/>
      <c r="BY151" s="267"/>
      <c r="CC151" s="267"/>
      <c r="CG151" s="267"/>
      <c r="CS151" s="267"/>
      <c r="CW151" s="270"/>
      <c r="CX151" s="267"/>
      <c r="DC151" s="267"/>
      <c r="DH151" s="267"/>
      <c r="DM151" s="267"/>
      <c r="DR151" s="267"/>
      <c r="DW151" s="267"/>
      <c r="EB151" s="267"/>
      <c r="EG151" s="267"/>
      <c r="EL151" s="267"/>
      <c r="EQ151" s="267"/>
      <c r="EU151" s="270"/>
      <c r="EV151" s="267"/>
      <c r="FC151" s="267"/>
      <c r="FD151" s="267"/>
      <c r="FE151" s="267"/>
      <c r="FF151" s="267"/>
      <c r="FG151" s="267"/>
      <c r="FL151" s="267"/>
      <c r="FM151" s="267"/>
      <c r="FN151" s="267"/>
      <c r="FO151" s="267"/>
      <c r="FP151" s="267"/>
      <c r="FQ151" s="264"/>
      <c r="FR151" s="264"/>
      <c r="FS151" s="264"/>
      <c r="FT151" s="264"/>
      <c r="FU151" s="267"/>
      <c r="FV151" s="267"/>
      <c r="FW151" s="267"/>
      <c r="FX151" s="267"/>
      <c r="FY151" s="267"/>
      <c r="GD151" s="267"/>
      <c r="GE151" s="267"/>
      <c r="GF151" s="267"/>
      <c r="GG151" s="267"/>
      <c r="GH151" s="267"/>
      <c r="GI151" s="264"/>
      <c r="GJ151" s="264"/>
      <c r="GK151" s="264"/>
      <c r="GL151" s="264"/>
      <c r="HD151" s="267"/>
      <c r="HE151" s="267"/>
      <c r="HF151" s="267"/>
      <c r="HG151" s="267"/>
      <c r="HH151" s="267"/>
      <c r="HI151" s="267"/>
      <c r="HJ151" s="267"/>
      <c r="HK151" s="267"/>
      <c r="HL151" s="267"/>
      <c r="HM151" s="267"/>
      <c r="HN151" s="267"/>
      <c r="HO151" s="267"/>
      <c r="HP151" s="267"/>
      <c r="HQ151" s="267"/>
      <c r="HR151" s="267"/>
      <c r="HS151" s="267"/>
      <c r="HT151" s="267"/>
      <c r="HU151" s="267"/>
      <c r="IH151" s="267"/>
      <c r="IK151" s="267"/>
      <c r="IN151" s="267"/>
      <c r="IQ151" s="267"/>
      <c r="IR151" s="267"/>
      <c r="IS151" s="267"/>
      <c r="IT151" s="274"/>
      <c r="IU151" s="274"/>
      <c r="IV151" s="272"/>
      <c r="IW151" s="274"/>
      <c r="IX151" s="274"/>
      <c r="IY151" s="272"/>
    </row>
    <row r="152" spans="3:259">
      <c r="J152" s="267"/>
      <c r="K152" s="267"/>
      <c r="L152" s="267"/>
      <c r="M152" s="267"/>
      <c r="N152" s="267"/>
      <c r="O152" s="267"/>
      <c r="P152" s="267"/>
      <c r="Q152" s="267"/>
      <c r="S152" s="267"/>
      <c r="T152" s="267"/>
      <c r="U152" s="267"/>
      <c r="V152" s="267"/>
      <c r="W152" s="264"/>
      <c r="Y152" s="267"/>
      <c r="Z152" s="267"/>
      <c r="AA152" s="267"/>
      <c r="AB152" s="267"/>
      <c r="AE152" s="267"/>
      <c r="AF152" s="267"/>
      <c r="AG152" s="267"/>
      <c r="AH152" s="267"/>
      <c r="AK152" s="267"/>
      <c r="AL152" s="267"/>
      <c r="AM152" s="267"/>
      <c r="AN152" s="267"/>
      <c r="AQ152" s="267"/>
      <c r="AR152" s="267"/>
      <c r="AS152" s="267"/>
      <c r="AT152" s="267"/>
      <c r="AW152" s="267"/>
      <c r="AX152" s="267"/>
      <c r="AY152" s="267"/>
      <c r="AZ152" s="267"/>
      <c r="BG152" s="269"/>
      <c r="BM152" s="269"/>
      <c r="BS152" s="269"/>
      <c r="BU152" s="267"/>
      <c r="BY152" s="267"/>
      <c r="CC152" s="267"/>
      <c r="CG152" s="267"/>
      <c r="CS152" s="267"/>
      <c r="CW152" s="270"/>
      <c r="CX152" s="267"/>
      <c r="DC152" s="267"/>
      <c r="DH152" s="267"/>
      <c r="DM152" s="267"/>
      <c r="DR152" s="267"/>
      <c r="DW152" s="267"/>
      <c r="EB152" s="267"/>
      <c r="EG152" s="267"/>
      <c r="EL152" s="267"/>
      <c r="EQ152" s="267"/>
      <c r="EU152" s="270"/>
      <c r="EV152" s="267"/>
      <c r="FC152" s="267"/>
      <c r="FD152" s="267"/>
      <c r="FE152" s="267"/>
      <c r="FF152" s="267"/>
      <c r="FG152" s="267"/>
      <c r="FL152" s="267"/>
      <c r="FM152" s="267"/>
      <c r="FN152" s="267"/>
      <c r="FO152" s="267"/>
      <c r="FP152" s="267"/>
      <c r="FQ152" s="264"/>
      <c r="FR152" s="264"/>
      <c r="FS152" s="264"/>
      <c r="FT152" s="264"/>
      <c r="FU152" s="267"/>
      <c r="FV152" s="267"/>
      <c r="FW152" s="267"/>
      <c r="FX152" s="267"/>
      <c r="FY152" s="267"/>
      <c r="GD152" s="267"/>
      <c r="GE152" s="267"/>
      <c r="GF152" s="267"/>
      <c r="GG152" s="267"/>
      <c r="GH152" s="267"/>
      <c r="GI152" s="264"/>
      <c r="GJ152" s="264"/>
      <c r="GK152" s="264"/>
      <c r="GL152" s="264"/>
      <c r="HD152" s="267"/>
      <c r="HE152" s="267"/>
      <c r="HF152" s="267"/>
      <c r="HG152" s="267"/>
      <c r="HH152" s="267"/>
      <c r="HI152" s="267"/>
      <c r="HJ152" s="267"/>
      <c r="HK152" s="267"/>
      <c r="HL152" s="267"/>
      <c r="HM152" s="267"/>
      <c r="HN152" s="267"/>
      <c r="HO152" s="267"/>
      <c r="HP152" s="267"/>
      <c r="HQ152" s="267"/>
      <c r="HR152" s="267"/>
      <c r="HS152" s="267"/>
      <c r="HT152" s="267"/>
      <c r="HU152" s="267"/>
      <c r="IH152" s="267"/>
      <c r="IK152" s="267"/>
      <c r="IN152" s="267"/>
      <c r="IQ152" s="267"/>
      <c r="IR152" s="267"/>
      <c r="IS152" s="267"/>
      <c r="IT152" s="274"/>
      <c r="IU152" s="274"/>
      <c r="IV152" s="272"/>
      <c r="IW152" s="274"/>
      <c r="IX152" s="274"/>
      <c r="IY152" s="272"/>
    </row>
    <row r="153" spans="3:259">
      <c r="J153" s="267"/>
      <c r="K153" s="267"/>
      <c r="L153" s="267"/>
      <c r="M153" s="267"/>
      <c r="N153" s="267"/>
      <c r="O153" s="267"/>
      <c r="P153" s="267"/>
      <c r="Q153" s="267"/>
      <c r="S153" s="267"/>
      <c r="T153" s="267"/>
      <c r="U153" s="267"/>
      <c r="V153" s="267"/>
      <c r="W153" s="264"/>
      <c r="Y153" s="267"/>
      <c r="Z153" s="267"/>
      <c r="AA153" s="267"/>
      <c r="AB153" s="267"/>
      <c r="AE153" s="267"/>
      <c r="AF153" s="267"/>
      <c r="AG153" s="267"/>
      <c r="AH153" s="267"/>
      <c r="AK153" s="267"/>
      <c r="AL153" s="267"/>
      <c r="AM153" s="267"/>
      <c r="AN153" s="267"/>
      <c r="AQ153" s="267"/>
      <c r="AR153" s="267"/>
      <c r="AS153" s="267"/>
      <c r="AT153" s="267"/>
      <c r="AW153" s="267"/>
      <c r="AX153" s="267"/>
      <c r="AY153" s="267"/>
      <c r="AZ153" s="267"/>
      <c r="BG153" s="269"/>
      <c r="BM153" s="269"/>
      <c r="BS153" s="269"/>
      <c r="BU153" s="267"/>
      <c r="BY153" s="267"/>
      <c r="CC153" s="267"/>
      <c r="CG153" s="267"/>
      <c r="CS153" s="267"/>
      <c r="CW153" s="270"/>
      <c r="CX153" s="267"/>
      <c r="DC153" s="267"/>
      <c r="DH153" s="267"/>
      <c r="DM153" s="267"/>
      <c r="DR153" s="267"/>
      <c r="DW153" s="267"/>
      <c r="EB153" s="267"/>
      <c r="EG153" s="267"/>
      <c r="EL153" s="267"/>
      <c r="EQ153" s="267"/>
      <c r="EU153" s="270"/>
      <c r="EV153" s="267"/>
      <c r="FC153" s="267"/>
      <c r="FD153" s="267"/>
      <c r="FE153" s="267"/>
      <c r="FF153" s="267"/>
      <c r="FG153" s="267"/>
      <c r="FL153" s="267"/>
      <c r="FM153" s="267"/>
      <c r="FN153" s="267"/>
      <c r="FO153" s="267"/>
      <c r="FP153" s="267"/>
      <c r="FQ153" s="264"/>
      <c r="FR153" s="264"/>
      <c r="FS153" s="264"/>
      <c r="FT153" s="264"/>
      <c r="FU153" s="267"/>
      <c r="FV153" s="267"/>
      <c r="FW153" s="267"/>
      <c r="FX153" s="267"/>
      <c r="FY153" s="267"/>
      <c r="GD153" s="267"/>
      <c r="GE153" s="267"/>
      <c r="GF153" s="267"/>
      <c r="GG153" s="267"/>
      <c r="GH153" s="267"/>
      <c r="GI153" s="264"/>
      <c r="GJ153" s="264"/>
      <c r="GK153" s="264"/>
      <c r="GL153" s="264"/>
      <c r="HD153" s="267"/>
      <c r="HE153" s="267"/>
      <c r="HF153" s="267"/>
      <c r="HG153" s="267"/>
      <c r="HH153" s="267"/>
      <c r="HI153" s="267"/>
      <c r="HJ153" s="267"/>
      <c r="HK153" s="267"/>
      <c r="HL153" s="267"/>
      <c r="HM153" s="267"/>
      <c r="HN153" s="267"/>
      <c r="HO153" s="267"/>
      <c r="HP153" s="267"/>
      <c r="HQ153" s="267"/>
      <c r="HR153" s="267"/>
      <c r="HS153" s="267"/>
      <c r="HT153" s="267"/>
      <c r="HU153" s="267"/>
      <c r="IH153" s="267"/>
      <c r="IK153" s="267"/>
      <c r="IN153" s="267"/>
      <c r="IQ153" s="267"/>
      <c r="IR153" s="267"/>
      <c r="IS153" s="267"/>
      <c r="IT153" s="274"/>
      <c r="IU153" s="274"/>
      <c r="IV153" s="272"/>
      <c r="IW153" s="274"/>
      <c r="IX153" s="274"/>
      <c r="IY153" s="272"/>
    </row>
    <row r="154" spans="3:259">
      <c r="J154" s="267"/>
      <c r="K154" s="267"/>
      <c r="L154" s="267"/>
      <c r="M154" s="267"/>
      <c r="N154" s="267"/>
      <c r="O154" s="267"/>
      <c r="P154" s="267"/>
      <c r="Q154" s="267"/>
      <c r="S154" s="267"/>
      <c r="T154" s="267"/>
      <c r="U154" s="267"/>
      <c r="V154" s="267"/>
      <c r="W154" s="264"/>
      <c r="Y154" s="267"/>
      <c r="Z154" s="267"/>
      <c r="AA154" s="267"/>
      <c r="AB154" s="267"/>
      <c r="AE154" s="267"/>
      <c r="AF154" s="267"/>
      <c r="AG154" s="267"/>
      <c r="AH154" s="267"/>
      <c r="AK154" s="267"/>
      <c r="AL154" s="267"/>
      <c r="AM154" s="267"/>
      <c r="AN154" s="267"/>
      <c r="AQ154" s="267"/>
      <c r="AR154" s="267"/>
      <c r="AS154" s="267"/>
      <c r="AT154" s="267"/>
      <c r="AW154" s="267"/>
      <c r="AX154" s="267"/>
      <c r="AY154" s="267"/>
      <c r="AZ154" s="267"/>
      <c r="BG154" s="269"/>
      <c r="BM154" s="269"/>
      <c r="BS154" s="269"/>
      <c r="BU154" s="267"/>
      <c r="BY154" s="267"/>
      <c r="CC154" s="267"/>
      <c r="CG154" s="267"/>
      <c r="CS154" s="267"/>
      <c r="CW154" s="270"/>
      <c r="CX154" s="267"/>
      <c r="DC154" s="267"/>
      <c r="DH154" s="267"/>
      <c r="DM154" s="267"/>
      <c r="DR154" s="267"/>
      <c r="DW154" s="267"/>
      <c r="EB154" s="267"/>
      <c r="EG154" s="267"/>
      <c r="EL154" s="267"/>
      <c r="EQ154" s="267"/>
      <c r="EU154" s="270"/>
      <c r="EV154" s="267"/>
      <c r="FC154" s="267"/>
      <c r="FD154" s="267"/>
      <c r="FE154" s="267"/>
      <c r="FF154" s="267"/>
      <c r="FG154" s="267"/>
      <c r="FL154" s="267"/>
      <c r="FM154" s="267"/>
      <c r="FN154" s="267"/>
      <c r="FO154" s="267"/>
      <c r="FP154" s="267"/>
      <c r="FQ154" s="264"/>
      <c r="FR154" s="264"/>
      <c r="FS154" s="264"/>
      <c r="FT154" s="264"/>
      <c r="FU154" s="267"/>
      <c r="FV154" s="267"/>
      <c r="FW154" s="267"/>
      <c r="FX154" s="267"/>
      <c r="FY154" s="267"/>
      <c r="GD154" s="267"/>
      <c r="GE154" s="267"/>
      <c r="GF154" s="267"/>
      <c r="GG154" s="267"/>
      <c r="GH154" s="267"/>
      <c r="GI154" s="264"/>
      <c r="GJ154" s="264"/>
      <c r="GK154" s="264"/>
      <c r="GL154" s="264"/>
      <c r="HD154" s="267"/>
      <c r="HE154" s="267"/>
      <c r="HF154" s="267"/>
      <c r="HG154" s="267"/>
      <c r="HH154" s="267"/>
      <c r="HI154" s="267"/>
      <c r="HJ154" s="267"/>
      <c r="HK154" s="267"/>
      <c r="HL154" s="267"/>
      <c r="HM154" s="267"/>
      <c r="HN154" s="267"/>
      <c r="HO154" s="267"/>
      <c r="HP154" s="267"/>
      <c r="HQ154" s="267"/>
      <c r="HR154" s="267"/>
      <c r="HS154" s="267"/>
      <c r="HT154" s="267"/>
      <c r="HU154" s="267"/>
      <c r="IH154" s="267"/>
      <c r="IK154" s="267"/>
      <c r="IN154" s="267"/>
      <c r="IQ154" s="267"/>
      <c r="IR154" s="267"/>
      <c r="IS154" s="267"/>
      <c r="IT154" s="274"/>
      <c r="IU154" s="274"/>
      <c r="IV154" s="272"/>
      <c r="IW154" s="274"/>
      <c r="IX154" s="274"/>
      <c r="IY154" s="272"/>
    </row>
    <row r="155" spans="3:259">
      <c r="J155" s="267"/>
      <c r="K155" s="267"/>
      <c r="L155" s="267"/>
      <c r="M155" s="267"/>
      <c r="N155" s="267"/>
      <c r="O155" s="267"/>
      <c r="P155" s="267"/>
      <c r="Q155" s="267"/>
      <c r="S155" s="267"/>
      <c r="T155" s="267"/>
      <c r="U155" s="267"/>
      <c r="V155" s="267"/>
      <c r="W155" s="264"/>
      <c r="Y155" s="267"/>
      <c r="Z155" s="267"/>
      <c r="AA155" s="267"/>
      <c r="AB155" s="267"/>
      <c r="AE155" s="267"/>
      <c r="AF155" s="267"/>
      <c r="AG155" s="267"/>
      <c r="AH155" s="267"/>
      <c r="AK155" s="267"/>
      <c r="AL155" s="267"/>
      <c r="AM155" s="267"/>
      <c r="AN155" s="267"/>
      <c r="AQ155" s="267"/>
      <c r="AR155" s="267"/>
      <c r="AS155" s="267"/>
      <c r="AT155" s="267"/>
      <c r="AW155" s="267"/>
      <c r="AX155" s="267"/>
      <c r="AY155" s="267"/>
      <c r="AZ155" s="267"/>
      <c r="BG155" s="269"/>
      <c r="BM155" s="269"/>
      <c r="BS155" s="269"/>
      <c r="BU155" s="267"/>
      <c r="BY155" s="267"/>
      <c r="CC155" s="267"/>
      <c r="CG155" s="267"/>
      <c r="CS155" s="267"/>
      <c r="CW155" s="270"/>
      <c r="CX155" s="267"/>
      <c r="DC155" s="267"/>
      <c r="DH155" s="267"/>
      <c r="DM155" s="267"/>
      <c r="DR155" s="267"/>
      <c r="DW155" s="267"/>
      <c r="EB155" s="267"/>
      <c r="EG155" s="267"/>
      <c r="EL155" s="267"/>
      <c r="EQ155" s="267"/>
      <c r="EU155" s="270"/>
      <c r="EV155" s="267"/>
      <c r="FC155" s="267"/>
      <c r="FD155" s="267"/>
      <c r="FE155" s="267"/>
      <c r="FF155" s="267"/>
      <c r="FG155" s="267"/>
      <c r="FL155" s="267"/>
      <c r="FM155" s="267"/>
      <c r="FN155" s="267"/>
      <c r="FO155" s="267"/>
      <c r="FP155" s="267"/>
      <c r="FQ155" s="264"/>
      <c r="FR155" s="264"/>
      <c r="FS155" s="264"/>
      <c r="FT155" s="264"/>
      <c r="FU155" s="267"/>
      <c r="FV155" s="267"/>
      <c r="FW155" s="267"/>
      <c r="FX155" s="267"/>
      <c r="FY155" s="267"/>
      <c r="GD155" s="267"/>
      <c r="GE155" s="267"/>
      <c r="GF155" s="267"/>
      <c r="GG155" s="267"/>
      <c r="GH155" s="267"/>
      <c r="GI155" s="264"/>
      <c r="GJ155" s="264"/>
      <c r="GK155" s="264"/>
      <c r="GL155" s="264"/>
      <c r="HD155" s="267"/>
      <c r="HE155" s="267"/>
      <c r="HF155" s="267"/>
      <c r="HG155" s="267"/>
      <c r="HH155" s="267"/>
      <c r="HI155" s="267"/>
      <c r="HJ155" s="267"/>
      <c r="HK155" s="267"/>
      <c r="HL155" s="267"/>
      <c r="HM155" s="267"/>
      <c r="HN155" s="267"/>
      <c r="HO155" s="267"/>
      <c r="HP155" s="267"/>
      <c r="HQ155" s="267"/>
      <c r="HR155" s="267"/>
      <c r="HS155" s="267"/>
      <c r="HT155" s="267"/>
      <c r="HU155" s="267"/>
      <c r="IH155" s="267"/>
      <c r="IK155" s="267"/>
      <c r="IN155" s="267"/>
      <c r="IQ155" s="267"/>
      <c r="IR155" s="267"/>
      <c r="IS155" s="267"/>
      <c r="IT155" s="274"/>
      <c r="IU155" s="274"/>
      <c r="IV155" s="272"/>
      <c r="IW155" s="274"/>
      <c r="IX155" s="274"/>
      <c r="IY155" s="272"/>
    </row>
    <row r="156" spans="3:259">
      <c r="J156" s="267"/>
      <c r="K156" s="267"/>
      <c r="L156" s="267"/>
      <c r="M156" s="267"/>
      <c r="N156" s="267"/>
      <c r="O156" s="267"/>
      <c r="P156" s="267"/>
      <c r="Q156" s="267"/>
      <c r="S156" s="267"/>
      <c r="T156" s="267"/>
      <c r="U156" s="267"/>
      <c r="V156" s="267"/>
      <c r="W156" s="264"/>
      <c r="Y156" s="267"/>
      <c r="Z156" s="267"/>
      <c r="AA156" s="267"/>
      <c r="AB156" s="267"/>
      <c r="AE156" s="267"/>
      <c r="AF156" s="267"/>
      <c r="AG156" s="267"/>
      <c r="AH156" s="267"/>
      <c r="AK156" s="267"/>
      <c r="AL156" s="267"/>
      <c r="AM156" s="267"/>
      <c r="AN156" s="267"/>
      <c r="AQ156" s="267"/>
      <c r="AR156" s="267"/>
      <c r="AS156" s="267"/>
      <c r="AT156" s="267"/>
      <c r="AW156" s="267"/>
      <c r="AX156" s="267"/>
      <c r="AY156" s="267"/>
      <c r="AZ156" s="267"/>
      <c r="BG156" s="269"/>
      <c r="BM156" s="269"/>
      <c r="BS156" s="269"/>
      <c r="BU156" s="267"/>
      <c r="BY156" s="267"/>
      <c r="CC156" s="267"/>
      <c r="CG156" s="267"/>
      <c r="CS156" s="267"/>
      <c r="CW156" s="270"/>
      <c r="CX156" s="267"/>
      <c r="DC156" s="267"/>
      <c r="DH156" s="267"/>
      <c r="DM156" s="267"/>
      <c r="DR156" s="267"/>
      <c r="DW156" s="267"/>
      <c r="EB156" s="267"/>
      <c r="EG156" s="267"/>
      <c r="EL156" s="267"/>
      <c r="EQ156" s="267"/>
      <c r="EU156" s="270"/>
      <c r="EV156" s="267"/>
      <c r="FC156" s="267"/>
      <c r="FD156" s="267"/>
      <c r="FE156" s="267"/>
      <c r="FF156" s="267"/>
      <c r="FG156" s="267"/>
      <c r="FL156" s="267"/>
      <c r="FM156" s="267"/>
      <c r="FN156" s="267"/>
      <c r="FO156" s="267"/>
      <c r="FP156" s="267"/>
      <c r="FQ156" s="264"/>
      <c r="FR156" s="264"/>
      <c r="FS156" s="264"/>
      <c r="FT156" s="264"/>
      <c r="FU156" s="267"/>
      <c r="FV156" s="267"/>
      <c r="FW156" s="267"/>
      <c r="FX156" s="267"/>
      <c r="FY156" s="267"/>
      <c r="GD156" s="267"/>
      <c r="GE156" s="267"/>
      <c r="GF156" s="267"/>
      <c r="GG156" s="267"/>
      <c r="GH156" s="267"/>
      <c r="GI156" s="264"/>
      <c r="GJ156" s="264"/>
      <c r="GK156" s="264"/>
      <c r="GL156" s="264"/>
      <c r="HD156" s="267"/>
      <c r="HE156" s="267"/>
      <c r="HF156" s="267"/>
      <c r="HG156" s="267"/>
      <c r="HH156" s="267"/>
      <c r="HI156" s="267"/>
      <c r="HJ156" s="267"/>
      <c r="HK156" s="267"/>
      <c r="HL156" s="267"/>
      <c r="HM156" s="267"/>
      <c r="HN156" s="267"/>
      <c r="HO156" s="267"/>
      <c r="HP156" s="267"/>
      <c r="HQ156" s="267"/>
      <c r="HR156" s="267"/>
      <c r="HS156" s="267"/>
      <c r="HT156" s="267"/>
      <c r="HU156" s="267"/>
      <c r="IH156" s="267"/>
      <c r="IK156" s="267"/>
      <c r="IN156" s="267"/>
      <c r="IQ156" s="267"/>
      <c r="IR156" s="267"/>
      <c r="IS156" s="267"/>
      <c r="IT156" s="274"/>
      <c r="IU156" s="274"/>
      <c r="IV156" s="272"/>
      <c r="IW156" s="274"/>
      <c r="IX156" s="274"/>
      <c r="IY156" s="272"/>
    </row>
    <row r="157" spans="3:259">
      <c r="C157" s="277"/>
      <c r="D157" s="277"/>
      <c r="E157" s="277"/>
      <c r="F157" s="277"/>
      <c r="J157" s="267"/>
      <c r="K157" s="267"/>
      <c r="L157" s="267"/>
      <c r="M157" s="267"/>
      <c r="N157" s="267"/>
      <c r="O157" s="267"/>
      <c r="P157" s="278"/>
      <c r="Q157" s="267"/>
      <c r="S157" s="267"/>
      <c r="T157" s="267"/>
      <c r="U157" s="267"/>
      <c r="V157" s="267"/>
      <c r="W157" s="264"/>
      <c r="Y157" s="267"/>
      <c r="Z157" s="267"/>
      <c r="AA157" s="267"/>
      <c r="AB157" s="267"/>
      <c r="AE157" s="267"/>
      <c r="AF157" s="267"/>
      <c r="AG157" s="267"/>
      <c r="AH157" s="267"/>
      <c r="AK157" s="267"/>
      <c r="AL157" s="267"/>
      <c r="AM157" s="267"/>
      <c r="AN157" s="267"/>
      <c r="AQ157" s="267"/>
      <c r="AR157" s="267"/>
      <c r="AS157" s="267"/>
      <c r="AT157" s="267"/>
      <c r="AW157" s="267"/>
      <c r="AX157" s="267"/>
      <c r="AY157" s="267"/>
      <c r="AZ157" s="267"/>
      <c r="BG157" s="269"/>
      <c r="BM157" s="269"/>
      <c r="BS157" s="269"/>
      <c r="BU157" s="267"/>
      <c r="BY157" s="267"/>
      <c r="CC157" s="267"/>
      <c r="CG157" s="267"/>
      <c r="CS157" s="267"/>
      <c r="CW157" s="270"/>
      <c r="CX157" s="267"/>
      <c r="DC157" s="267"/>
      <c r="DH157" s="267"/>
      <c r="DM157" s="267"/>
      <c r="DR157" s="267"/>
      <c r="DW157" s="267"/>
      <c r="EB157" s="267"/>
      <c r="EG157" s="267"/>
      <c r="EL157" s="267"/>
      <c r="EQ157" s="267"/>
      <c r="EU157" s="270"/>
      <c r="EV157" s="267"/>
      <c r="FC157" s="267"/>
      <c r="FD157" s="267"/>
      <c r="FE157" s="267"/>
      <c r="FF157" s="267"/>
      <c r="FG157" s="267"/>
      <c r="FL157" s="267"/>
      <c r="FM157" s="267"/>
      <c r="FN157" s="267"/>
      <c r="FO157" s="267"/>
      <c r="FP157" s="267"/>
      <c r="FQ157" s="264"/>
      <c r="FR157" s="264"/>
      <c r="FS157" s="264"/>
      <c r="FT157" s="264"/>
      <c r="FU157" s="267"/>
      <c r="FV157" s="267"/>
      <c r="FW157" s="267"/>
      <c r="FX157" s="267"/>
      <c r="FY157" s="267"/>
      <c r="GD157" s="267"/>
      <c r="GE157" s="267"/>
      <c r="GF157" s="267"/>
      <c r="GG157" s="267"/>
      <c r="GH157" s="267"/>
      <c r="GI157" s="264"/>
      <c r="GJ157" s="264"/>
      <c r="GK157" s="264"/>
      <c r="GL157" s="264"/>
      <c r="HD157" s="267"/>
      <c r="HE157" s="267"/>
      <c r="HF157" s="267"/>
      <c r="HG157" s="267"/>
      <c r="HH157" s="267"/>
      <c r="HI157" s="267"/>
      <c r="HJ157" s="267"/>
      <c r="HK157" s="267"/>
      <c r="HL157" s="267"/>
      <c r="HM157" s="267"/>
      <c r="HN157" s="267"/>
      <c r="HO157" s="267"/>
      <c r="HP157" s="267"/>
      <c r="HQ157" s="267"/>
      <c r="HR157" s="267"/>
      <c r="HS157" s="267"/>
      <c r="HT157" s="267"/>
      <c r="HU157" s="267"/>
      <c r="IH157" s="267"/>
      <c r="IK157" s="267"/>
      <c r="IN157" s="267"/>
      <c r="IQ157" s="267"/>
      <c r="IR157" s="267"/>
      <c r="IS157" s="267"/>
      <c r="IT157" s="274"/>
      <c r="IU157" s="274"/>
      <c r="IV157" s="272"/>
      <c r="IW157" s="274"/>
      <c r="IX157" s="274"/>
      <c r="IY157" s="272"/>
    </row>
    <row r="158" spans="3:259">
      <c r="J158" s="267"/>
      <c r="K158" s="267"/>
      <c r="L158" s="267"/>
      <c r="M158" s="267"/>
      <c r="N158" s="267"/>
      <c r="O158" s="267"/>
      <c r="P158" s="267"/>
      <c r="Q158" s="267"/>
      <c r="S158" s="267"/>
      <c r="T158" s="267"/>
      <c r="U158" s="267"/>
      <c r="V158" s="267"/>
      <c r="W158" s="264"/>
      <c r="Y158" s="267"/>
      <c r="Z158" s="267"/>
      <c r="AA158" s="267"/>
      <c r="AB158" s="267"/>
      <c r="AE158" s="267"/>
      <c r="AF158" s="267"/>
      <c r="AG158" s="267"/>
      <c r="AH158" s="267"/>
      <c r="AK158" s="267"/>
      <c r="AL158" s="267"/>
      <c r="AM158" s="267"/>
      <c r="AN158" s="267"/>
      <c r="AQ158" s="267"/>
      <c r="AR158" s="267"/>
      <c r="AS158" s="267"/>
      <c r="AT158" s="267"/>
      <c r="AW158" s="267"/>
      <c r="AX158" s="267"/>
      <c r="AY158" s="267"/>
      <c r="AZ158" s="267"/>
      <c r="BG158" s="269"/>
      <c r="BM158" s="269"/>
      <c r="BS158" s="269"/>
      <c r="BU158" s="267"/>
      <c r="BY158" s="267"/>
      <c r="CC158" s="267"/>
      <c r="CG158" s="267"/>
      <c r="CS158" s="267"/>
      <c r="CW158" s="270"/>
      <c r="CX158" s="267"/>
      <c r="DC158" s="267"/>
      <c r="DH158" s="267"/>
      <c r="DM158" s="267"/>
      <c r="DR158" s="267"/>
      <c r="DW158" s="267"/>
      <c r="EB158" s="267"/>
      <c r="EG158" s="267"/>
      <c r="EL158" s="267"/>
      <c r="EQ158" s="267"/>
      <c r="EU158" s="270"/>
      <c r="EV158" s="267"/>
      <c r="FC158" s="267"/>
      <c r="FD158" s="267"/>
      <c r="FE158" s="267"/>
      <c r="FF158" s="267"/>
      <c r="FG158" s="267"/>
      <c r="FL158" s="267"/>
      <c r="FM158" s="267"/>
      <c r="FN158" s="267"/>
      <c r="FO158" s="267"/>
      <c r="FP158" s="267"/>
      <c r="FQ158" s="264"/>
      <c r="FR158" s="264"/>
      <c r="FS158" s="264"/>
      <c r="FT158" s="264"/>
      <c r="FU158" s="267"/>
      <c r="FV158" s="267"/>
      <c r="FW158" s="267"/>
      <c r="FX158" s="267"/>
      <c r="FY158" s="267"/>
      <c r="GD158" s="267"/>
      <c r="GE158" s="267"/>
      <c r="GF158" s="267"/>
      <c r="GG158" s="267"/>
      <c r="GH158" s="267"/>
      <c r="GI158" s="264"/>
      <c r="GJ158" s="264"/>
      <c r="GK158" s="264"/>
      <c r="GL158" s="264"/>
      <c r="HD158" s="267"/>
      <c r="HE158" s="267"/>
      <c r="HF158" s="267"/>
      <c r="HG158" s="267"/>
      <c r="HH158" s="267"/>
      <c r="HI158" s="267"/>
      <c r="HJ158" s="267"/>
      <c r="HK158" s="267"/>
      <c r="HL158" s="267"/>
      <c r="HM158" s="267"/>
      <c r="HN158" s="267"/>
      <c r="HO158" s="267"/>
      <c r="HP158" s="267"/>
      <c r="HQ158" s="267"/>
      <c r="HR158" s="267"/>
      <c r="HS158" s="267"/>
      <c r="HT158" s="267"/>
      <c r="HU158" s="267"/>
      <c r="IH158" s="267"/>
      <c r="IK158" s="267"/>
      <c r="IN158" s="267"/>
      <c r="IQ158" s="267"/>
      <c r="IR158" s="267"/>
      <c r="IS158" s="267"/>
      <c r="IT158" s="274"/>
      <c r="IU158" s="274"/>
      <c r="IV158" s="272"/>
      <c r="IW158" s="274"/>
      <c r="IX158" s="274"/>
      <c r="IY158" s="272"/>
    </row>
    <row r="159" spans="3:259">
      <c r="J159" s="267"/>
      <c r="K159" s="267"/>
      <c r="L159" s="267"/>
      <c r="M159" s="267"/>
      <c r="N159" s="267"/>
      <c r="O159" s="267"/>
      <c r="P159" s="267"/>
      <c r="Q159" s="267"/>
      <c r="S159" s="267"/>
      <c r="T159" s="267"/>
      <c r="U159" s="267"/>
      <c r="V159" s="267"/>
      <c r="W159" s="264"/>
      <c r="Y159" s="267"/>
      <c r="Z159" s="267"/>
      <c r="AA159" s="267"/>
      <c r="AB159" s="267"/>
      <c r="AE159" s="267"/>
      <c r="AF159" s="267"/>
      <c r="AG159" s="267"/>
      <c r="AH159" s="267"/>
      <c r="AK159" s="267"/>
      <c r="AL159" s="267"/>
      <c r="AM159" s="267"/>
      <c r="AN159" s="267"/>
      <c r="AQ159" s="267"/>
      <c r="AR159" s="267"/>
      <c r="AS159" s="267"/>
      <c r="AT159" s="267"/>
      <c r="AW159" s="267"/>
      <c r="AX159" s="267"/>
      <c r="AY159" s="267"/>
      <c r="AZ159" s="267"/>
      <c r="BG159" s="269"/>
      <c r="BM159" s="269"/>
      <c r="BS159" s="269"/>
      <c r="BU159" s="267"/>
      <c r="BY159" s="267"/>
      <c r="CC159" s="267"/>
      <c r="CG159" s="267"/>
      <c r="CS159" s="267"/>
      <c r="CW159" s="270"/>
      <c r="CX159" s="267"/>
      <c r="DC159" s="267"/>
      <c r="DH159" s="267"/>
      <c r="DM159" s="267"/>
      <c r="DR159" s="267"/>
      <c r="DW159" s="267"/>
      <c r="EB159" s="267"/>
      <c r="EG159" s="267"/>
      <c r="EL159" s="267"/>
      <c r="EQ159" s="267"/>
      <c r="EU159" s="270"/>
      <c r="EV159" s="267"/>
      <c r="FC159" s="267"/>
      <c r="FD159" s="267"/>
      <c r="FE159" s="267"/>
      <c r="FF159" s="267"/>
      <c r="FG159" s="267"/>
      <c r="FL159" s="267"/>
      <c r="FM159" s="267"/>
      <c r="FN159" s="267"/>
      <c r="FO159" s="267"/>
      <c r="FP159" s="267"/>
      <c r="FQ159" s="264"/>
      <c r="FR159" s="264"/>
      <c r="FS159" s="264"/>
      <c r="FT159" s="264"/>
      <c r="FU159" s="267"/>
      <c r="FV159" s="267"/>
      <c r="FW159" s="267"/>
      <c r="FX159" s="267"/>
      <c r="FY159" s="267"/>
      <c r="GD159" s="267"/>
      <c r="GE159" s="267"/>
      <c r="GF159" s="267"/>
      <c r="GG159" s="267"/>
      <c r="GH159" s="267"/>
      <c r="GI159" s="264"/>
      <c r="GJ159" s="264"/>
      <c r="GK159" s="264"/>
      <c r="GL159" s="264"/>
      <c r="HD159" s="267"/>
      <c r="HE159" s="267"/>
      <c r="HF159" s="267"/>
      <c r="HG159" s="267"/>
      <c r="HH159" s="267"/>
      <c r="HI159" s="267"/>
      <c r="HJ159" s="267"/>
      <c r="HK159" s="267"/>
      <c r="HL159" s="267"/>
      <c r="HM159" s="267"/>
      <c r="HN159" s="267"/>
      <c r="HO159" s="267"/>
      <c r="HP159" s="267"/>
      <c r="HQ159" s="267"/>
      <c r="HR159" s="267"/>
      <c r="HS159" s="267"/>
      <c r="HT159" s="267"/>
      <c r="HU159" s="267"/>
      <c r="IH159" s="267"/>
      <c r="IK159" s="267"/>
      <c r="IN159" s="267"/>
      <c r="IQ159" s="267"/>
      <c r="IR159" s="267"/>
      <c r="IS159" s="267"/>
      <c r="IT159" s="274"/>
      <c r="IU159" s="274"/>
      <c r="IV159" s="272"/>
      <c r="IW159" s="274"/>
      <c r="IX159" s="274"/>
      <c r="IY159" s="272"/>
    </row>
    <row r="160" spans="3:259">
      <c r="J160" s="267"/>
      <c r="K160" s="267"/>
      <c r="L160" s="267"/>
      <c r="M160" s="267"/>
      <c r="N160" s="267"/>
      <c r="O160" s="267"/>
      <c r="P160" s="267"/>
      <c r="Q160" s="267"/>
      <c r="S160" s="267"/>
      <c r="T160" s="267"/>
      <c r="U160" s="267"/>
      <c r="V160" s="267"/>
      <c r="W160" s="264"/>
      <c r="Y160" s="267"/>
      <c r="Z160" s="267"/>
      <c r="AA160" s="267"/>
      <c r="AB160" s="267"/>
      <c r="AE160" s="267"/>
      <c r="AF160" s="267"/>
      <c r="AG160" s="267"/>
      <c r="AH160" s="267"/>
      <c r="AK160" s="267"/>
      <c r="AL160" s="267"/>
      <c r="AM160" s="267"/>
      <c r="AN160" s="267"/>
      <c r="AQ160" s="267"/>
      <c r="AR160" s="267"/>
      <c r="AS160" s="267"/>
      <c r="AT160" s="267"/>
      <c r="AW160" s="267"/>
      <c r="AX160" s="267"/>
      <c r="AY160" s="267"/>
      <c r="AZ160" s="267"/>
      <c r="BG160" s="269"/>
      <c r="BM160" s="269"/>
      <c r="BS160" s="269"/>
      <c r="BU160" s="267"/>
      <c r="BY160" s="267"/>
      <c r="CC160" s="267"/>
      <c r="CG160" s="267"/>
      <c r="CS160" s="267"/>
      <c r="CW160" s="270"/>
      <c r="CX160" s="267"/>
      <c r="DC160" s="267"/>
      <c r="DH160" s="267"/>
      <c r="DM160" s="267"/>
      <c r="DR160" s="267"/>
      <c r="DW160" s="267"/>
      <c r="EB160" s="267"/>
      <c r="EG160" s="267"/>
      <c r="EL160" s="267"/>
      <c r="EQ160" s="267"/>
      <c r="EU160" s="270"/>
      <c r="EV160" s="267"/>
      <c r="FC160" s="267"/>
      <c r="FD160" s="267"/>
      <c r="FE160" s="267"/>
      <c r="FF160" s="267"/>
      <c r="FG160" s="267"/>
      <c r="FL160" s="267"/>
      <c r="FM160" s="267"/>
      <c r="FN160" s="267"/>
      <c r="FO160" s="267"/>
      <c r="FP160" s="267"/>
      <c r="FQ160" s="264"/>
      <c r="FR160" s="264"/>
      <c r="FS160" s="264"/>
      <c r="FT160" s="264"/>
      <c r="FU160" s="267"/>
      <c r="FV160" s="267"/>
      <c r="FW160" s="267"/>
      <c r="FX160" s="267"/>
      <c r="FY160" s="267"/>
      <c r="GD160" s="267"/>
      <c r="GE160" s="267"/>
      <c r="GF160" s="267"/>
      <c r="GG160" s="267"/>
      <c r="GH160" s="267"/>
      <c r="GI160" s="264"/>
      <c r="GJ160" s="264"/>
      <c r="GK160" s="264"/>
      <c r="GL160" s="264"/>
      <c r="HD160" s="267"/>
      <c r="HE160" s="267"/>
      <c r="HF160" s="267"/>
      <c r="HG160" s="267"/>
      <c r="HH160" s="267"/>
      <c r="HI160" s="267"/>
      <c r="HJ160" s="267"/>
      <c r="HK160" s="267"/>
      <c r="HL160" s="267"/>
      <c r="HM160" s="267"/>
      <c r="HN160" s="267"/>
      <c r="HO160" s="267"/>
      <c r="HP160" s="267"/>
      <c r="HQ160" s="267"/>
      <c r="HR160" s="267"/>
      <c r="HS160" s="267"/>
      <c r="HT160" s="267"/>
      <c r="HU160" s="267"/>
      <c r="IH160" s="267"/>
      <c r="IK160" s="267"/>
      <c r="IN160" s="267"/>
      <c r="IQ160" s="267"/>
      <c r="IR160" s="267"/>
      <c r="IS160" s="267"/>
      <c r="IT160" s="274"/>
      <c r="IU160" s="274"/>
      <c r="IV160" s="272"/>
      <c r="IW160" s="274"/>
      <c r="IX160" s="274"/>
      <c r="IY160" s="272"/>
    </row>
    <row r="161" spans="10:259">
      <c r="J161" s="267"/>
      <c r="K161" s="267"/>
      <c r="L161" s="267"/>
      <c r="M161" s="267"/>
      <c r="N161" s="267"/>
      <c r="O161" s="267"/>
      <c r="P161" s="267"/>
      <c r="Q161" s="267"/>
      <c r="S161" s="267"/>
      <c r="T161" s="267"/>
      <c r="U161" s="267"/>
      <c r="V161" s="267"/>
      <c r="W161" s="264"/>
      <c r="Y161" s="267"/>
      <c r="Z161" s="267"/>
      <c r="AA161" s="267"/>
      <c r="AB161" s="267"/>
      <c r="AE161" s="267"/>
      <c r="AF161" s="267"/>
      <c r="AG161" s="267"/>
      <c r="AH161" s="267"/>
      <c r="AK161" s="267"/>
      <c r="AL161" s="267"/>
      <c r="AM161" s="267"/>
      <c r="AN161" s="267"/>
      <c r="AQ161" s="267"/>
      <c r="AR161" s="267"/>
      <c r="AS161" s="267"/>
      <c r="AT161" s="267"/>
      <c r="AW161" s="267"/>
      <c r="AX161" s="267"/>
      <c r="AY161" s="267"/>
      <c r="AZ161" s="267"/>
      <c r="BG161" s="269"/>
      <c r="BM161" s="269"/>
      <c r="BS161" s="269"/>
      <c r="BU161" s="267"/>
      <c r="BY161" s="267"/>
      <c r="CC161" s="267"/>
      <c r="CG161" s="267"/>
      <c r="CS161" s="267"/>
      <c r="CW161" s="270"/>
      <c r="CX161" s="267"/>
      <c r="DC161" s="267"/>
      <c r="DH161" s="267"/>
      <c r="DM161" s="267"/>
      <c r="DR161" s="267"/>
      <c r="DW161" s="267"/>
      <c r="EB161" s="267"/>
      <c r="EG161" s="267"/>
      <c r="EL161" s="267"/>
      <c r="EQ161" s="267"/>
      <c r="EU161" s="270"/>
      <c r="EV161" s="267"/>
      <c r="FC161" s="267"/>
      <c r="FD161" s="267"/>
      <c r="FE161" s="267"/>
      <c r="FF161" s="267"/>
      <c r="FG161" s="267"/>
      <c r="FL161" s="267"/>
      <c r="FM161" s="267"/>
      <c r="FN161" s="267"/>
      <c r="FO161" s="267"/>
      <c r="FP161" s="267"/>
      <c r="FQ161" s="264"/>
      <c r="FR161" s="264"/>
      <c r="FS161" s="264"/>
      <c r="FT161" s="264"/>
      <c r="FU161" s="267"/>
      <c r="FV161" s="267"/>
      <c r="FW161" s="267"/>
      <c r="FX161" s="267"/>
      <c r="FY161" s="267"/>
      <c r="GD161" s="267"/>
      <c r="GE161" s="267"/>
      <c r="GF161" s="267"/>
      <c r="GG161" s="267"/>
      <c r="GH161" s="267"/>
      <c r="GI161" s="264"/>
      <c r="GJ161" s="264"/>
      <c r="GK161" s="264"/>
      <c r="GL161" s="264"/>
      <c r="HD161" s="267"/>
      <c r="HE161" s="267"/>
      <c r="HF161" s="267"/>
      <c r="HG161" s="267"/>
      <c r="HH161" s="267"/>
      <c r="HI161" s="267"/>
      <c r="HJ161" s="267"/>
      <c r="HK161" s="267"/>
      <c r="HL161" s="267"/>
      <c r="HM161" s="267"/>
      <c r="HN161" s="267"/>
      <c r="HO161" s="267"/>
      <c r="HP161" s="267"/>
      <c r="HQ161" s="267"/>
      <c r="HR161" s="267"/>
      <c r="HS161" s="267"/>
      <c r="HT161" s="267"/>
      <c r="HU161" s="267"/>
      <c r="IH161" s="267"/>
      <c r="IK161" s="267"/>
      <c r="IN161" s="267"/>
      <c r="IQ161" s="267"/>
      <c r="IR161" s="267"/>
      <c r="IS161" s="267"/>
      <c r="IT161" s="274"/>
      <c r="IU161" s="274"/>
      <c r="IV161" s="272"/>
      <c r="IW161" s="274"/>
      <c r="IX161" s="274"/>
      <c r="IY161" s="272"/>
    </row>
    <row r="162" spans="10:259">
      <c r="J162" s="267"/>
      <c r="K162" s="267"/>
      <c r="L162" s="267"/>
      <c r="M162" s="267"/>
      <c r="N162" s="267"/>
      <c r="O162" s="267"/>
      <c r="P162" s="267"/>
      <c r="Q162" s="267"/>
      <c r="S162" s="267"/>
      <c r="T162" s="267"/>
      <c r="U162" s="267"/>
      <c r="V162" s="267"/>
      <c r="W162" s="264"/>
      <c r="Y162" s="267"/>
      <c r="Z162" s="267"/>
      <c r="AA162" s="267"/>
      <c r="AB162" s="267"/>
      <c r="AE162" s="267"/>
      <c r="AF162" s="267"/>
      <c r="AG162" s="267"/>
      <c r="AH162" s="267"/>
      <c r="AK162" s="267"/>
      <c r="AL162" s="267"/>
      <c r="AM162" s="267"/>
      <c r="AN162" s="267"/>
      <c r="AQ162" s="267"/>
      <c r="AR162" s="267"/>
      <c r="AS162" s="267"/>
      <c r="AT162" s="267"/>
      <c r="AW162" s="267"/>
      <c r="AX162" s="267"/>
      <c r="AY162" s="267"/>
      <c r="AZ162" s="267"/>
      <c r="BG162" s="269"/>
      <c r="BM162" s="269"/>
      <c r="BS162" s="269"/>
      <c r="BU162" s="267"/>
      <c r="BY162" s="267"/>
      <c r="CC162" s="267"/>
      <c r="CG162" s="267"/>
      <c r="CS162" s="267"/>
      <c r="CW162" s="270"/>
      <c r="CX162" s="267"/>
      <c r="DC162" s="267"/>
      <c r="DH162" s="267"/>
      <c r="DM162" s="267"/>
      <c r="DR162" s="267"/>
      <c r="DW162" s="267"/>
      <c r="EB162" s="267"/>
      <c r="EG162" s="267"/>
      <c r="EL162" s="267"/>
      <c r="EQ162" s="267"/>
      <c r="EU162" s="270"/>
      <c r="EV162" s="267"/>
      <c r="FC162" s="267"/>
      <c r="FD162" s="267"/>
      <c r="FE162" s="267"/>
      <c r="FF162" s="267"/>
      <c r="FG162" s="267"/>
      <c r="FL162" s="267"/>
      <c r="FM162" s="267"/>
      <c r="FN162" s="267"/>
      <c r="FO162" s="267"/>
      <c r="FP162" s="267"/>
      <c r="FQ162" s="264"/>
      <c r="FR162" s="264"/>
      <c r="FS162" s="264"/>
      <c r="FT162" s="264"/>
      <c r="FU162" s="267"/>
      <c r="FV162" s="267"/>
      <c r="FW162" s="267"/>
      <c r="FX162" s="267"/>
      <c r="FY162" s="267"/>
      <c r="GD162" s="267"/>
      <c r="GE162" s="267"/>
      <c r="GF162" s="267"/>
      <c r="GG162" s="267"/>
      <c r="GH162" s="267"/>
      <c r="GI162" s="264"/>
      <c r="GJ162" s="264"/>
      <c r="GK162" s="264"/>
      <c r="GL162" s="264"/>
      <c r="HD162" s="267"/>
      <c r="HE162" s="267"/>
      <c r="HF162" s="267"/>
      <c r="HG162" s="267"/>
      <c r="HH162" s="267"/>
      <c r="HI162" s="267"/>
      <c r="HJ162" s="267"/>
      <c r="HK162" s="267"/>
      <c r="HL162" s="267"/>
      <c r="HM162" s="267"/>
      <c r="HN162" s="267"/>
      <c r="HO162" s="267"/>
      <c r="HP162" s="267"/>
      <c r="HQ162" s="267"/>
      <c r="HR162" s="267"/>
      <c r="HS162" s="267"/>
      <c r="HT162" s="267"/>
      <c r="HU162" s="267"/>
      <c r="IH162" s="267"/>
      <c r="IK162" s="267"/>
      <c r="IN162" s="267"/>
      <c r="IQ162" s="267"/>
      <c r="IR162" s="267"/>
      <c r="IS162" s="267"/>
      <c r="IT162" s="274"/>
      <c r="IU162" s="274"/>
      <c r="IV162" s="272"/>
      <c r="IW162" s="274"/>
      <c r="IX162" s="274"/>
      <c r="IY162" s="272"/>
    </row>
    <row r="163" spans="10:259">
      <c r="J163" s="267"/>
      <c r="K163" s="267"/>
      <c r="L163" s="267"/>
      <c r="M163" s="267"/>
      <c r="N163" s="267"/>
      <c r="O163" s="267"/>
      <c r="P163" s="267"/>
      <c r="Q163" s="267"/>
      <c r="S163" s="267"/>
      <c r="T163" s="267"/>
      <c r="U163" s="267"/>
      <c r="V163" s="267"/>
      <c r="W163" s="264"/>
      <c r="Y163" s="267"/>
      <c r="Z163" s="267"/>
      <c r="AA163" s="267"/>
      <c r="AB163" s="267"/>
      <c r="AE163" s="267"/>
      <c r="AF163" s="267"/>
      <c r="AG163" s="267"/>
      <c r="AH163" s="267"/>
      <c r="AK163" s="267"/>
      <c r="AL163" s="267"/>
      <c r="AM163" s="267"/>
      <c r="AN163" s="267"/>
      <c r="AQ163" s="267"/>
      <c r="AR163" s="267"/>
      <c r="AS163" s="267"/>
      <c r="AT163" s="267"/>
      <c r="AW163" s="267"/>
      <c r="AX163" s="267"/>
      <c r="AY163" s="267"/>
      <c r="AZ163" s="267"/>
      <c r="BG163" s="269"/>
      <c r="BM163" s="269"/>
      <c r="BS163" s="269"/>
      <c r="BU163" s="267"/>
      <c r="BY163" s="267"/>
      <c r="CC163" s="267"/>
      <c r="CG163" s="267"/>
      <c r="CS163" s="267"/>
      <c r="CW163" s="270"/>
      <c r="CX163" s="267"/>
      <c r="DC163" s="267"/>
      <c r="DH163" s="267"/>
      <c r="DM163" s="267"/>
      <c r="DR163" s="267"/>
      <c r="DW163" s="267"/>
      <c r="EB163" s="267"/>
      <c r="EG163" s="267"/>
      <c r="EL163" s="267"/>
      <c r="EQ163" s="267"/>
      <c r="EU163" s="270"/>
      <c r="EV163" s="267"/>
      <c r="FC163" s="267"/>
      <c r="FD163" s="267"/>
      <c r="FE163" s="267"/>
      <c r="FF163" s="267"/>
      <c r="FG163" s="267"/>
      <c r="FL163" s="267"/>
      <c r="FM163" s="267"/>
      <c r="FN163" s="267"/>
      <c r="FO163" s="267"/>
      <c r="FP163" s="267"/>
      <c r="FQ163" s="264"/>
      <c r="FR163" s="264"/>
      <c r="FS163" s="264"/>
      <c r="FT163" s="264"/>
      <c r="FU163" s="267"/>
      <c r="FV163" s="267"/>
      <c r="FW163" s="267"/>
      <c r="FX163" s="267"/>
      <c r="FY163" s="267"/>
      <c r="GD163" s="267"/>
      <c r="GE163" s="267"/>
      <c r="GF163" s="267"/>
      <c r="GG163" s="267"/>
      <c r="GH163" s="267"/>
      <c r="GI163" s="264"/>
      <c r="GJ163" s="264"/>
      <c r="GK163" s="264"/>
      <c r="GL163" s="264"/>
      <c r="HD163" s="267"/>
      <c r="HE163" s="267"/>
      <c r="HF163" s="267"/>
      <c r="HG163" s="267"/>
      <c r="HH163" s="267"/>
      <c r="HI163" s="267"/>
      <c r="HJ163" s="267"/>
      <c r="HK163" s="267"/>
      <c r="HL163" s="267"/>
      <c r="HM163" s="267"/>
      <c r="HN163" s="267"/>
      <c r="HO163" s="267"/>
      <c r="HP163" s="267"/>
      <c r="HQ163" s="267"/>
      <c r="HR163" s="267"/>
      <c r="HS163" s="267"/>
      <c r="HT163" s="267"/>
      <c r="HU163" s="267"/>
      <c r="IH163" s="267"/>
      <c r="IK163" s="267"/>
      <c r="IN163" s="267"/>
      <c r="IQ163" s="267"/>
      <c r="IR163" s="267"/>
      <c r="IS163" s="267"/>
      <c r="IT163" s="274"/>
      <c r="IU163" s="274"/>
      <c r="IV163" s="272"/>
      <c r="IW163" s="274"/>
      <c r="IX163" s="274"/>
      <c r="IY163" s="272"/>
    </row>
    <row r="164" spans="10:259">
      <c r="J164" s="267"/>
      <c r="K164" s="267"/>
      <c r="L164" s="267"/>
      <c r="M164" s="267"/>
      <c r="N164" s="267"/>
      <c r="O164" s="267"/>
      <c r="P164" s="267"/>
      <c r="Q164" s="267"/>
      <c r="S164" s="267"/>
      <c r="T164" s="267"/>
      <c r="U164" s="267"/>
      <c r="V164" s="267"/>
      <c r="W164" s="264"/>
      <c r="Y164" s="267"/>
      <c r="Z164" s="267"/>
      <c r="AA164" s="267"/>
      <c r="AB164" s="267"/>
      <c r="AE164" s="267"/>
      <c r="AF164" s="267"/>
      <c r="AG164" s="267"/>
      <c r="AH164" s="267"/>
      <c r="AK164" s="267"/>
      <c r="AL164" s="267"/>
      <c r="AM164" s="267"/>
      <c r="AN164" s="267"/>
      <c r="AQ164" s="267"/>
      <c r="AR164" s="267"/>
      <c r="AS164" s="267"/>
      <c r="AT164" s="267"/>
      <c r="AW164" s="267"/>
      <c r="AX164" s="267"/>
      <c r="AY164" s="267"/>
      <c r="AZ164" s="267"/>
      <c r="BG164" s="269"/>
      <c r="BM164" s="269"/>
      <c r="BS164" s="269"/>
      <c r="BU164" s="267"/>
      <c r="BY164" s="267"/>
      <c r="CC164" s="267"/>
      <c r="CG164" s="267"/>
      <c r="CS164" s="267"/>
      <c r="CW164" s="270"/>
      <c r="CX164" s="267"/>
      <c r="DC164" s="267"/>
      <c r="DH164" s="267"/>
      <c r="DM164" s="267"/>
      <c r="DR164" s="267"/>
      <c r="DW164" s="267"/>
      <c r="EB164" s="267"/>
      <c r="EG164" s="267"/>
      <c r="EL164" s="267"/>
      <c r="EQ164" s="267"/>
      <c r="EU164" s="270"/>
      <c r="EV164" s="267"/>
      <c r="FC164" s="267"/>
      <c r="FD164" s="267"/>
      <c r="FE164" s="267"/>
      <c r="FF164" s="267"/>
      <c r="FG164" s="267"/>
      <c r="FL164" s="267"/>
      <c r="FM164" s="267"/>
      <c r="FN164" s="267"/>
      <c r="FO164" s="267"/>
      <c r="FP164" s="267"/>
      <c r="FQ164" s="264"/>
      <c r="FR164" s="264"/>
      <c r="FS164" s="264"/>
      <c r="FT164" s="264"/>
      <c r="FU164" s="267"/>
      <c r="FV164" s="267"/>
      <c r="FW164" s="267"/>
      <c r="FX164" s="267"/>
      <c r="FY164" s="267"/>
      <c r="GD164" s="267"/>
      <c r="GE164" s="267"/>
      <c r="GF164" s="267"/>
      <c r="GG164" s="267"/>
      <c r="GH164" s="267"/>
      <c r="GI164" s="264"/>
      <c r="GJ164" s="264"/>
      <c r="GK164" s="264"/>
      <c r="GL164" s="264"/>
      <c r="HD164" s="267"/>
      <c r="HE164" s="267"/>
      <c r="HF164" s="267"/>
      <c r="HG164" s="267"/>
      <c r="HH164" s="267"/>
      <c r="HI164" s="267"/>
      <c r="HJ164" s="267"/>
      <c r="HK164" s="267"/>
      <c r="HL164" s="267"/>
      <c r="HM164" s="267"/>
      <c r="HN164" s="267"/>
      <c r="HO164" s="267"/>
      <c r="HP164" s="267"/>
      <c r="HQ164" s="267"/>
      <c r="HR164" s="267"/>
      <c r="HS164" s="267"/>
      <c r="HT164" s="267"/>
      <c r="HU164" s="267"/>
      <c r="IH164" s="267"/>
      <c r="IK164" s="267"/>
      <c r="IN164" s="267"/>
      <c r="IQ164" s="267"/>
      <c r="IR164" s="267"/>
      <c r="IS164" s="267"/>
      <c r="IT164" s="274"/>
      <c r="IU164" s="274"/>
      <c r="IV164" s="272"/>
      <c r="IW164" s="274"/>
      <c r="IX164" s="274"/>
      <c r="IY164" s="272"/>
    </row>
    <row r="165" spans="10:259">
      <c r="J165" s="267"/>
      <c r="K165" s="267"/>
      <c r="L165" s="267"/>
      <c r="M165" s="267"/>
      <c r="N165" s="267"/>
      <c r="O165" s="267"/>
      <c r="P165" s="267"/>
      <c r="Q165" s="267"/>
      <c r="S165" s="267"/>
      <c r="T165" s="267"/>
      <c r="U165" s="267"/>
      <c r="V165" s="267"/>
      <c r="W165" s="264"/>
      <c r="Y165" s="267"/>
      <c r="Z165" s="267"/>
      <c r="AA165" s="267"/>
      <c r="AB165" s="267"/>
      <c r="AE165" s="267"/>
      <c r="AF165" s="267"/>
      <c r="AG165" s="267"/>
      <c r="AH165" s="267"/>
      <c r="AK165" s="267"/>
      <c r="AL165" s="267"/>
      <c r="AM165" s="267"/>
      <c r="AN165" s="267"/>
      <c r="AQ165" s="267"/>
      <c r="AR165" s="267"/>
      <c r="AS165" s="267"/>
      <c r="AT165" s="267"/>
      <c r="AW165" s="267"/>
      <c r="AX165" s="267"/>
      <c r="AY165" s="267"/>
      <c r="AZ165" s="267"/>
      <c r="BG165" s="269"/>
      <c r="BM165" s="269"/>
      <c r="BS165" s="269"/>
      <c r="BU165" s="267"/>
      <c r="BY165" s="267"/>
      <c r="CC165" s="267"/>
      <c r="CG165" s="267"/>
      <c r="CS165" s="267"/>
      <c r="CW165" s="270"/>
      <c r="CX165" s="267"/>
      <c r="DC165" s="267"/>
      <c r="DH165" s="267"/>
      <c r="DM165" s="267"/>
      <c r="DR165" s="267"/>
      <c r="DW165" s="267"/>
      <c r="EB165" s="267"/>
      <c r="EG165" s="267"/>
      <c r="EL165" s="267"/>
      <c r="EQ165" s="267"/>
      <c r="EU165" s="270"/>
      <c r="EV165" s="267"/>
      <c r="FC165" s="267"/>
      <c r="FD165" s="267"/>
      <c r="FE165" s="267"/>
      <c r="FF165" s="267"/>
      <c r="FG165" s="267"/>
      <c r="FL165" s="267"/>
      <c r="FM165" s="267"/>
      <c r="FN165" s="267"/>
      <c r="FO165" s="267"/>
      <c r="FP165" s="267"/>
      <c r="FQ165" s="264"/>
      <c r="FR165" s="264"/>
      <c r="FS165" s="264"/>
      <c r="FT165" s="264"/>
      <c r="FU165" s="267"/>
      <c r="FV165" s="267"/>
      <c r="FW165" s="267"/>
      <c r="FX165" s="267"/>
      <c r="FY165" s="267"/>
      <c r="GD165" s="267"/>
      <c r="GE165" s="267"/>
      <c r="GF165" s="267"/>
      <c r="GG165" s="267"/>
      <c r="GH165" s="267"/>
      <c r="GI165" s="264"/>
      <c r="GJ165" s="264"/>
      <c r="GK165" s="264"/>
      <c r="GL165" s="264"/>
      <c r="HD165" s="267"/>
      <c r="HE165" s="267"/>
      <c r="HF165" s="267"/>
      <c r="HG165" s="267"/>
      <c r="HH165" s="267"/>
      <c r="HI165" s="267"/>
      <c r="HJ165" s="267"/>
      <c r="HK165" s="267"/>
      <c r="HL165" s="267"/>
      <c r="HM165" s="267"/>
      <c r="HN165" s="267"/>
      <c r="HO165" s="267"/>
      <c r="HP165" s="267"/>
      <c r="HQ165" s="267"/>
      <c r="HR165" s="267"/>
      <c r="HS165" s="267"/>
      <c r="HT165" s="267"/>
      <c r="HU165" s="267"/>
      <c r="IH165" s="267"/>
      <c r="IK165" s="267"/>
      <c r="IN165" s="267"/>
      <c r="IQ165" s="267"/>
      <c r="IR165" s="267"/>
      <c r="IS165" s="267"/>
      <c r="IT165" s="274"/>
      <c r="IU165" s="274"/>
      <c r="IV165" s="272"/>
      <c r="IW165" s="274"/>
      <c r="IX165" s="274"/>
      <c r="IY165" s="272"/>
    </row>
    <row r="166" spans="10:259">
      <c r="J166" s="267"/>
      <c r="K166" s="267"/>
      <c r="L166" s="267"/>
      <c r="M166" s="267"/>
      <c r="N166" s="267"/>
      <c r="O166" s="267"/>
      <c r="P166" s="267"/>
      <c r="Q166" s="267"/>
      <c r="S166" s="267"/>
      <c r="T166" s="267"/>
      <c r="U166" s="267"/>
      <c r="V166" s="267"/>
      <c r="W166" s="264"/>
      <c r="Y166" s="267"/>
      <c r="Z166" s="267"/>
      <c r="AA166" s="267"/>
      <c r="AB166" s="267"/>
      <c r="AE166" s="267"/>
      <c r="AF166" s="267"/>
      <c r="AG166" s="267"/>
      <c r="AH166" s="267"/>
      <c r="AK166" s="267"/>
      <c r="AL166" s="267"/>
      <c r="AM166" s="267"/>
      <c r="AN166" s="267"/>
      <c r="AQ166" s="267"/>
      <c r="AR166" s="267"/>
      <c r="AS166" s="267"/>
      <c r="AT166" s="267"/>
      <c r="AW166" s="267"/>
      <c r="AX166" s="267"/>
      <c r="AY166" s="267"/>
      <c r="AZ166" s="267"/>
      <c r="BG166" s="269"/>
      <c r="BM166" s="269"/>
      <c r="BS166" s="269"/>
      <c r="BU166" s="267"/>
      <c r="BY166" s="267"/>
      <c r="CC166" s="267"/>
      <c r="CG166" s="267"/>
      <c r="CS166" s="267"/>
      <c r="CW166" s="270"/>
      <c r="CX166" s="267"/>
      <c r="DC166" s="267"/>
      <c r="DH166" s="267"/>
      <c r="DM166" s="267"/>
      <c r="DR166" s="267"/>
      <c r="DW166" s="267"/>
      <c r="EB166" s="267"/>
      <c r="EG166" s="267"/>
      <c r="EL166" s="267"/>
      <c r="EQ166" s="267"/>
      <c r="EU166" s="270"/>
      <c r="EV166" s="267"/>
      <c r="FC166" s="267"/>
      <c r="FD166" s="267"/>
      <c r="FE166" s="267"/>
      <c r="FF166" s="267"/>
      <c r="FG166" s="267"/>
      <c r="FL166" s="267"/>
      <c r="FM166" s="267"/>
      <c r="FN166" s="267"/>
      <c r="FO166" s="267"/>
      <c r="FP166" s="267"/>
      <c r="FQ166" s="264"/>
      <c r="FR166" s="264"/>
      <c r="FS166" s="264"/>
      <c r="FT166" s="264"/>
      <c r="FU166" s="267"/>
      <c r="FV166" s="267"/>
      <c r="FW166" s="267"/>
      <c r="FX166" s="267"/>
      <c r="FY166" s="267"/>
      <c r="GD166" s="267"/>
      <c r="GE166" s="267"/>
      <c r="GF166" s="267"/>
      <c r="GG166" s="267"/>
      <c r="GH166" s="267"/>
      <c r="GI166" s="264"/>
      <c r="GJ166" s="264"/>
      <c r="GK166" s="264"/>
      <c r="GL166" s="264"/>
      <c r="HD166" s="267"/>
      <c r="HE166" s="267"/>
      <c r="HF166" s="267"/>
      <c r="HG166" s="267"/>
      <c r="HH166" s="267"/>
      <c r="HI166" s="267"/>
      <c r="HJ166" s="267"/>
      <c r="HK166" s="267"/>
      <c r="HL166" s="267"/>
      <c r="HM166" s="267"/>
      <c r="HN166" s="267"/>
      <c r="HO166" s="267"/>
      <c r="HP166" s="267"/>
      <c r="HQ166" s="267"/>
      <c r="HR166" s="267"/>
      <c r="HS166" s="267"/>
      <c r="HT166" s="267"/>
      <c r="HU166" s="267"/>
      <c r="IH166" s="267"/>
      <c r="IK166" s="267"/>
      <c r="IN166" s="267"/>
      <c r="IQ166" s="267"/>
      <c r="IR166" s="267"/>
      <c r="IS166" s="267"/>
      <c r="IT166" s="274"/>
      <c r="IU166" s="274"/>
      <c r="IV166" s="272"/>
      <c r="IW166" s="274"/>
      <c r="IX166" s="274"/>
      <c r="IY166" s="272"/>
    </row>
    <row r="167" spans="10:259">
      <c r="J167" s="267"/>
      <c r="K167" s="267"/>
      <c r="L167" s="267"/>
      <c r="M167" s="267"/>
      <c r="N167" s="267"/>
      <c r="O167" s="267"/>
      <c r="P167" s="267"/>
      <c r="Q167" s="267"/>
      <c r="S167" s="267"/>
      <c r="T167" s="267"/>
      <c r="U167" s="267"/>
      <c r="V167" s="267"/>
      <c r="W167" s="264"/>
      <c r="Y167" s="267"/>
      <c r="Z167" s="267"/>
      <c r="AA167" s="267"/>
      <c r="AB167" s="267"/>
      <c r="AE167" s="267"/>
      <c r="AF167" s="267"/>
      <c r="AG167" s="267"/>
      <c r="AH167" s="267"/>
      <c r="AK167" s="267"/>
      <c r="AL167" s="267"/>
      <c r="AM167" s="267"/>
      <c r="AN167" s="267"/>
      <c r="AQ167" s="267"/>
      <c r="AR167" s="267"/>
      <c r="AS167" s="267"/>
      <c r="AT167" s="267"/>
      <c r="AW167" s="267"/>
      <c r="AX167" s="267"/>
      <c r="AY167" s="267"/>
      <c r="AZ167" s="267"/>
      <c r="BG167" s="269"/>
      <c r="BM167" s="269"/>
      <c r="BS167" s="269"/>
      <c r="BU167" s="267"/>
      <c r="BY167" s="267"/>
      <c r="CC167" s="267"/>
      <c r="CG167" s="267"/>
      <c r="CS167" s="267"/>
      <c r="CW167" s="270"/>
      <c r="CX167" s="267"/>
      <c r="DC167" s="267"/>
      <c r="DH167" s="267"/>
      <c r="DM167" s="267"/>
      <c r="DR167" s="267"/>
      <c r="DW167" s="267"/>
      <c r="EB167" s="267"/>
      <c r="EG167" s="267"/>
      <c r="EL167" s="267"/>
      <c r="EQ167" s="267"/>
      <c r="EU167" s="270"/>
      <c r="EV167" s="267"/>
      <c r="FC167" s="267"/>
      <c r="FD167" s="267"/>
      <c r="FE167" s="267"/>
      <c r="FF167" s="267"/>
      <c r="FG167" s="267"/>
      <c r="FL167" s="267"/>
      <c r="FM167" s="267"/>
      <c r="FN167" s="267"/>
      <c r="FO167" s="267"/>
      <c r="FP167" s="267"/>
      <c r="FQ167" s="264"/>
      <c r="FR167" s="264"/>
      <c r="FS167" s="264"/>
      <c r="FT167" s="264"/>
      <c r="FU167" s="267"/>
      <c r="FV167" s="267"/>
      <c r="FW167" s="267"/>
      <c r="FX167" s="267"/>
      <c r="FY167" s="267"/>
      <c r="GD167" s="267"/>
      <c r="GE167" s="267"/>
      <c r="GF167" s="267"/>
      <c r="GG167" s="267"/>
      <c r="GH167" s="267"/>
      <c r="GI167" s="264"/>
      <c r="GJ167" s="264"/>
      <c r="GK167" s="264"/>
      <c r="GL167" s="264"/>
      <c r="HD167" s="267"/>
      <c r="HE167" s="267"/>
      <c r="HF167" s="267"/>
      <c r="HG167" s="267"/>
      <c r="HH167" s="267"/>
      <c r="HI167" s="267"/>
      <c r="HJ167" s="267"/>
      <c r="HK167" s="267"/>
      <c r="HL167" s="267"/>
      <c r="HM167" s="267"/>
      <c r="HN167" s="267"/>
      <c r="HO167" s="267"/>
      <c r="HP167" s="267"/>
      <c r="HQ167" s="267"/>
      <c r="HR167" s="267"/>
      <c r="HS167" s="267"/>
      <c r="HT167" s="267"/>
      <c r="HU167" s="267"/>
      <c r="IH167" s="267"/>
      <c r="IK167" s="267"/>
      <c r="IN167" s="267"/>
      <c r="IQ167" s="267"/>
      <c r="IR167" s="267"/>
      <c r="IS167" s="267"/>
      <c r="IT167" s="274"/>
      <c r="IU167" s="274"/>
      <c r="IV167" s="272"/>
      <c r="IW167" s="274"/>
      <c r="IX167" s="274"/>
      <c r="IY167" s="272"/>
    </row>
    <row r="168" spans="10:259">
      <c r="J168" s="267"/>
      <c r="K168" s="267"/>
      <c r="L168" s="267"/>
      <c r="M168" s="267"/>
      <c r="N168" s="267"/>
      <c r="O168" s="267"/>
      <c r="P168" s="267"/>
      <c r="Q168" s="267"/>
      <c r="S168" s="267"/>
      <c r="T168" s="267"/>
      <c r="U168" s="267"/>
      <c r="V168" s="267"/>
      <c r="W168" s="264"/>
      <c r="Y168" s="267"/>
      <c r="Z168" s="267"/>
      <c r="AA168" s="267"/>
      <c r="AB168" s="267"/>
      <c r="AE168" s="267"/>
      <c r="AF168" s="267"/>
      <c r="AG168" s="267"/>
      <c r="AH168" s="267"/>
      <c r="AK168" s="267"/>
      <c r="AL168" s="267"/>
      <c r="AM168" s="267"/>
      <c r="AN168" s="267"/>
      <c r="AQ168" s="267"/>
      <c r="AR168" s="267"/>
      <c r="AS168" s="267"/>
      <c r="AT168" s="267"/>
      <c r="AW168" s="267"/>
      <c r="AX168" s="267"/>
      <c r="AY168" s="267"/>
      <c r="AZ168" s="267"/>
      <c r="BG168" s="269"/>
      <c r="BM168" s="269"/>
      <c r="BS168" s="269"/>
      <c r="BU168" s="267"/>
      <c r="BY168" s="267"/>
      <c r="CC168" s="267"/>
      <c r="CG168" s="267"/>
      <c r="CS168" s="267"/>
      <c r="CW168" s="270"/>
      <c r="CX168" s="267"/>
      <c r="DC168" s="267"/>
      <c r="DH168" s="267"/>
      <c r="DM168" s="267"/>
      <c r="DR168" s="267"/>
      <c r="DW168" s="267"/>
      <c r="EB168" s="267"/>
      <c r="EG168" s="267"/>
      <c r="EL168" s="267"/>
      <c r="EQ168" s="267"/>
      <c r="EU168" s="270"/>
      <c r="EV168" s="267"/>
      <c r="FC168" s="267"/>
      <c r="FD168" s="267"/>
      <c r="FE168" s="267"/>
      <c r="FF168" s="267"/>
      <c r="FG168" s="267"/>
      <c r="FL168" s="267"/>
      <c r="FM168" s="267"/>
      <c r="FN168" s="267"/>
      <c r="FO168" s="267"/>
      <c r="FP168" s="267"/>
      <c r="FQ168" s="264"/>
      <c r="FR168" s="264"/>
      <c r="FS168" s="264"/>
      <c r="FT168" s="264"/>
      <c r="FU168" s="267"/>
      <c r="FV168" s="267"/>
      <c r="FW168" s="267"/>
      <c r="FX168" s="267"/>
      <c r="FY168" s="267"/>
      <c r="GD168" s="267"/>
      <c r="GE168" s="267"/>
      <c r="GF168" s="267"/>
      <c r="GG168" s="267"/>
      <c r="GH168" s="267"/>
      <c r="GI168" s="264"/>
      <c r="GJ168" s="264"/>
      <c r="GK168" s="264"/>
      <c r="GL168" s="264"/>
      <c r="HD168" s="267"/>
      <c r="HE168" s="267"/>
      <c r="HF168" s="267"/>
      <c r="HG168" s="267"/>
      <c r="HH168" s="267"/>
      <c r="HI168" s="267"/>
      <c r="HJ168" s="267"/>
      <c r="HK168" s="267"/>
      <c r="HL168" s="267"/>
      <c r="HM168" s="267"/>
      <c r="HN168" s="267"/>
      <c r="HO168" s="267"/>
      <c r="HP168" s="267"/>
      <c r="HQ168" s="267"/>
      <c r="HR168" s="267"/>
      <c r="HS168" s="267"/>
      <c r="HT168" s="267"/>
      <c r="HU168" s="267"/>
      <c r="IH168" s="267"/>
      <c r="IK168" s="267"/>
      <c r="IN168" s="267"/>
      <c r="IQ168" s="267"/>
      <c r="IR168" s="267"/>
      <c r="IS168" s="267"/>
      <c r="IT168" s="274"/>
      <c r="IU168" s="274"/>
      <c r="IV168" s="272"/>
      <c r="IW168" s="274"/>
      <c r="IX168" s="274"/>
      <c r="IY168" s="272"/>
    </row>
    <row r="169" spans="10:259">
      <c r="J169" s="267"/>
      <c r="K169" s="267"/>
      <c r="L169" s="267"/>
      <c r="M169" s="267"/>
      <c r="N169" s="267"/>
      <c r="O169" s="267"/>
      <c r="P169" s="267"/>
      <c r="Q169" s="267"/>
      <c r="S169" s="267"/>
      <c r="T169" s="267"/>
      <c r="U169" s="267"/>
      <c r="V169" s="267"/>
      <c r="W169" s="264"/>
      <c r="Y169" s="267"/>
      <c r="Z169" s="267"/>
      <c r="AA169" s="267"/>
      <c r="AB169" s="267"/>
      <c r="AE169" s="267"/>
      <c r="AF169" s="267"/>
      <c r="AG169" s="267"/>
      <c r="AH169" s="267"/>
      <c r="AK169" s="267"/>
      <c r="AL169" s="267"/>
      <c r="AM169" s="267"/>
      <c r="AN169" s="267"/>
      <c r="AQ169" s="267"/>
      <c r="AR169" s="267"/>
      <c r="AS169" s="267"/>
      <c r="AT169" s="267"/>
      <c r="AW169" s="267"/>
      <c r="AX169" s="267"/>
      <c r="AY169" s="267"/>
      <c r="AZ169" s="267"/>
      <c r="BG169" s="269"/>
      <c r="BM169" s="269"/>
      <c r="BS169" s="269"/>
      <c r="BU169" s="267"/>
      <c r="BY169" s="267"/>
      <c r="CC169" s="267"/>
      <c r="CG169" s="267"/>
      <c r="CS169" s="267"/>
      <c r="CW169" s="270"/>
      <c r="CX169" s="267"/>
      <c r="DC169" s="267"/>
      <c r="DH169" s="267"/>
      <c r="DM169" s="267"/>
      <c r="DR169" s="267"/>
      <c r="DW169" s="267"/>
      <c r="EB169" s="267"/>
      <c r="EG169" s="267"/>
      <c r="EL169" s="267"/>
      <c r="EQ169" s="267"/>
      <c r="EU169" s="270"/>
      <c r="EV169" s="267"/>
      <c r="FC169" s="267"/>
      <c r="FD169" s="267"/>
      <c r="FE169" s="267"/>
      <c r="FF169" s="267"/>
      <c r="FG169" s="267"/>
      <c r="FL169" s="267"/>
      <c r="FM169" s="267"/>
      <c r="FN169" s="267"/>
      <c r="FO169" s="267"/>
      <c r="FP169" s="267"/>
      <c r="FQ169" s="264"/>
      <c r="FR169" s="264"/>
      <c r="FS169" s="264"/>
      <c r="FT169" s="264"/>
      <c r="FU169" s="267"/>
      <c r="FV169" s="267"/>
      <c r="FW169" s="267"/>
      <c r="FX169" s="267"/>
      <c r="FY169" s="267"/>
      <c r="GD169" s="267"/>
      <c r="GE169" s="267"/>
      <c r="GF169" s="267"/>
      <c r="GG169" s="267"/>
      <c r="GH169" s="267"/>
      <c r="GI169" s="264"/>
      <c r="GJ169" s="264"/>
      <c r="GK169" s="264"/>
      <c r="GL169" s="264"/>
      <c r="HD169" s="267"/>
      <c r="HE169" s="267"/>
      <c r="HF169" s="267"/>
      <c r="HG169" s="267"/>
      <c r="HH169" s="267"/>
      <c r="HI169" s="267"/>
      <c r="HJ169" s="267"/>
      <c r="HK169" s="267"/>
      <c r="HL169" s="267"/>
      <c r="HM169" s="267"/>
      <c r="HN169" s="267"/>
      <c r="HO169" s="267"/>
      <c r="HP169" s="267"/>
      <c r="HQ169" s="267"/>
      <c r="HR169" s="267"/>
      <c r="HS169" s="267"/>
      <c r="HT169" s="267"/>
      <c r="HU169" s="267"/>
      <c r="IH169" s="267"/>
      <c r="IK169" s="267"/>
      <c r="IN169" s="267"/>
      <c r="IQ169" s="267"/>
      <c r="IR169" s="267"/>
      <c r="IS169" s="267"/>
      <c r="IT169" s="274"/>
      <c r="IU169" s="274"/>
      <c r="IV169" s="272"/>
      <c r="IW169" s="274"/>
      <c r="IX169" s="274"/>
      <c r="IY169" s="272"/>
    </row>
    <row r="170" spans="10:259">
      <c r="J170" s="267"/>
      <c r="K170" s="267"/>
      <c r="L170" s="267"/>
      <c r="M170" s="267"/>
      <c r="N170" s="267"/>
      <c r="O170" s="267"/>
      <c r="P170" s="267"/>
      <c r="Q170" s="267"/>
      <c r="S170" s="267"/>
      <c r="T170" s="267"/>
      <c r="U170" s="267"/>
      <c r="V170" s="267"/>
      <c r="W170" s="264"/>
      <c r="Y170" s="267"/>
      <c r="Z170" s="267"/>
      <c r="AA170" s="267"/>
      <c r="AB170" s="267"/>
      <c r="AE170" s="267"/>
      <c r="AF170" s="267"/>
      <c r="AG170" s="267"/>
      <c r="AH170" s="267"/>
      <c r="AK170" s="267"/>
      <c r="AL170" s="267"/>
      <c r="AM170" s="267"/>
      <c r="AN170" s="267"/>
      <c r="AQ170" s="267"/>
      <c r="AR170" s="267"/>
      <c r="AS170" s="267"/>
      <c r="AT170" s="267"/>
      <c r="AW170" s="267"/>
      <c r="AX170" s="267"/>
      <c r="AY170" s="267"/>
      <c r="AZ170" s="267"/>
      <c r="BG170" s="269"/>
      <c r="BM170" s="269"/>
      <c r="BS170" s="269"/>
      <c r="BU170" s="267"/>
      <c r="BY170" s="267"/>
      <c r="CC170" s="267"/>
      <c r="CG170" s="267"/>
      <c r="CS170" s="267"/>
      <c r="CW170" s="270"/>
      <c r="CX170" s="267"/>
      <c r="DC170" s="267"/>
      <c r="DH170" s="267"/>
      <c r="DM170" s="267"/>
      <c r="DR170" s="267"/>
      <c r="DW170" s="267"/>
      <c r="EB170" s="267"/>
      <c r="EG170" s="267"/>
      <c r="EL170" s="267"/>
      <c r="EQ170" s="267"/>
      <c r="EU170" s="270"/>
      <c r="EV170" s="267"/>
      <c r="FC170" s="267"/>
      <c r="FD170" s="267"/>
      <c r="FE170" s="267"/>
      <c r="FF170" s="267"/>
      <c r="FG170" s="267"/>
      <c r="FL170" s="267"/>
      <c r="FM170" s="267"/>
      <c r="FN170" s="267"/>
      <c r="FO170" s="267"/>
      <c r="FP170" s="267"/>
      <c r="FQ170" s="264"/>
      <c r="FR170" s="264"/>
      <c r="FS170" s="264"/>
      <c r="FT170" s="264"/>
      <c r="FU170" s="267"/>
      <c r="FV170" s="267"/>
      <c r="FW170" s="267"/>
      <c r="FX170" s="267"/>
      <c r="FY170" s="267"/>
      <c r="GD170" s="267"/>
      <c r="GE170" s="267"/>
      <c r="GF170" s="267"/>
      <c r="GG170" s="267"/>
      <c r="GH170" s="267"/>
      <c r="GI170" s="264"/>
      <c r="GJ170" s="264"/>
      <c r="GK170" s="264"/>
      <c r="GL170" s="264"/>
      <c r="HD170" s="267"/>
      <c r="HE170" s="267"/>
      <c r="HF170" s="267"/>
      <c r="HG170" s="267"/>
      <c r="HH170" s="267"/>
      <c r="HI170" s="267"/>
      <c r="HJ170" s="267"/>
      <c r="HK170" s="267"/>
      <c r="HL170" s="267"/>
      <c r="HM170" s="267"/>
      <c r="HN170" s="267"/>
      <c r="HO170" s="267"/>
      <c r="HP170" s="267"/>
      <c r="HQ170" s="267"/>
      <c r="HR170" s="267"/>
      <c r="HS170" s="267"/>
      <c r="HT170" s="267"/>
      <c r="HU170" s="267"/>
      <c r="IH170" s="267"/>
      <c r="IK170" s="267"/>
      <c r="IN170" s="267"/>
      <c r="IQ170" s="267"/>
      <c r="IR170" s="267"/>
      <c r="IS170" s="267"/>
      <c r="IT170" s="274"/>
      <c r="IU170" s="274"/>
      <c r="IV170" s="272"/>
      <c r="IW170" s="274"/>
      <c r="IX170" s="274"/>
      <c r="IY170" s="272"/>
    </row>
    <row r="171" spans="10:259">
      <c r="J171" s="267"/>
      <c r="K171" s="267"/>
      <c r="L171" s="267"/>
      <c r="M171" s="267"/>
      <c r="N171" s="267"/>
      <c r="O171" s="267"/>
      <c r="P171" s="267"/>
      <c r="Q171" s="267"/>
      <c r="S171" s="267"/>
      <c r="T171" s="267"/>
      <c r="U171" s="267"/>
      <c r="V171" s="267"/>
      <c r="W171" s="264"/>
      <c r="Y171" s="267"/>
      <c r="Z171" s="267"/>
      <c r="AA171" s="267"/>
      <c r="AB171" s="267"/>
      <c r="AE171" s="267"/>
      <c r="AF171" s="267"/>
      <c r="AG171" s="267"/>
      <c r="AH171" s="267"/>
      <c r="AK171" s="267"/>
      <c r="AL171" s="267"/>
      <c r="AM171" s="267"/>
      <c r="AN171" s="267"/>
      <c r="AQ171" s="267"/>
      <c r="AR171" s="267"/>
      <c r="AS171" s="267"/>
      <c r="AT171" s="267"/>
      <c r="AW171" s="267"/>
      <c r="AX171" s="267"/>
      <c r="AY171" s="267"/>
      <c r="AZ171" s="267"/>
      <c r="BG171" s="269"/>
      <c r="BM171" s="269"/>
      <c r="BS171" s="269"/>
      <c r="BU171" s="267"/>
      <c r="BY171" s="267"/>
      <c r="CC171" s="267"/>
      <c r="CG171" s="267"/>
      <c r="CS171" s="267"/>
      <c r="CW171" s="270"/>
      <c r="CX171" s="267"/>
      <c r="DC171" s="267"/>
      <c r="DH171" s="267"/>
      <c r="DM171" s="267"/>
      <c r="DR171" s="267"/>
      <c r="DW171" s="267"/>
      <c r="EB171" s="267"/>
      <c r="EG171" s="267"/>
      <c r="EL171" s="267"/>
      <c r="EQ171" s="267"/>
      <c r="EU171" s="270"/>
      <c r="EV171" s="267"/>
      <c r="FC171" s="267"/>
      <c r="FD171" s="267"/>
      <c r="FE171" s="267"/>
      <c r="FF171" s="267"/>
      <c r="FG171" s="267"/>
      <c r="FL171" s="267"/>
      <c r="FM171" s="267"/>
      <c r="FN171" s="267"/>
      <c r="FO171" s="267"/>
      <c r="FP171" s="267"/>
      <c r="FQ171" s="264"/>
      <c r="FR171" s="264"/>
      <c r="FS171" s="264"/>
      <c r="FT171" s="264"/>
      <c r="FU171" s="267"/>
      <c r="FV171" s="267"/>
      <c r="FW171" s="267"/>
      <c r="FX171" s="267"/>
      <c r="FY171" s="267"/>
      <c r="GD171" s="267"/>
      <c r="GE171" s="267"/>
      <c r="GF171" s="267"/>
      <c r="GG171" s="267"/>
      <c r="GH171" s="267"/>
      <c r="GI171" s="264"/>
      <c r="GJ171" s="264"/>
      <c r="GK171" s="264"/>
      <c r="GL171" s="264"/>
      <c r="HD171" s="267"/>
      <c r="HE171" s="267"/>
      <c r="HF171" s="267"/>
      <c r="HG171" s="267"/>
      <c r="HH171" s="267"/>
      <c r="HI171" s="267"/>
      <c r="HJ171" s="267"/>
      <c r="HK171" s="267"/>
      <c r="HL171" s="267"/>
      <c r="HM171" s="267"/>
      <c r="HN171" s="267"/>
      <c r="HO171" s="267"/>
      <c r="HP171" s="267"/>
      <c r="HQ171" s="267"/>
      <c r="HR171" s="267"/>
      <c r="HS171" s="267"/>
      <c r="HT171" s="267"/>
      <c r="HU171" s="267"/>
      <c r="IH171" s="267"/>
      <c r="IK171" s="267"/>
      <c r="IN171" s="267"/>
      <c r="IQ171" s="267"/>
      <c r="IR171" s="267"/>
      <c r="IS171" s="267"/>
      <c r="IT171" s="274"/>
      <c r="IU171" s="274"/>
      <c r="IV171" s="272"/>
      <c r="IW171" s="274"/>
      <c r="IX171" s="274"/>
      <c r="IY171" s="272"/>
    </row>
    <row r="172" spans="10:259">
      <c r="J172" s="267"/>
      <c r="K172" s="267"/>
      <c r="L172" s="267"/>
      <c r="M172" s="267"/>
      <c r="N172" s="267"/>
      <c r="O172" s="267"/>
      <c r="P172" s="267"/>
      <c r="Q172" s="267"/>
      <c r="S172" s="267"/>
      <c r="T172" s="267"/>
      <c r="U172" s="267"/>
      <c r="V172" s="267"/>
      <c r="W172" s="264"/>
      <c r="Y172" s="267"/>
      <c r="Z172" s="267"/>
      <c r="AA172" s="267"/>
      <c r="AB172" s="267"/>
      <c r="AE172" s="267"/>
      <c r="AF172" s="267"/>
      <c r="AG172" s="267"/>
      <c r="AH172" s="267"/>
      <c r="AK172" s="267"/>
      <c r="AL172" s="267"/>
      <c r="AM172" s="267"/>
      <c r="AN172" s="267"/>
      <c r="AQ172" s="267"/>
      <c r="AR172" s="267"/>
      <c r="AS172" s="267"/>
      <c r="AT172" s="267"/>
      <c r="AW172" s="267"/>
      <c r="AX172" s="267"/>
      <c r="AY172" s="267"/>
      <c r="AZ172" s="267"/>
      <c r="BG172" s="269"/>
      <c r="BM172" s="269"/>
      <c r="BS172" s="269"/>
      <c r="BU172" s="267"/>
      <c r="BY172" s="267"/>
      <c r="CC172" s="267"/>
      <c r="CG172" s="267"/>
      <c r="CS172" s="267"/>
      <c r="CW172" s="270"/>
      <c r="CX172" s="267"/>
      <c r="DC172" s="267"/>
      <c r="DH172" s="267"/>
      <c r="DM172" s="267"/>
      <c r="DR172" s="267"/>
      <c r="DW172" s="267"/>
      <c r="EB172" s="267"/>
      <c r="EG172" s="267"/>
      <c r="EL172" s="267"/>
      <c r="EQ172" s="267"/>
      <c r="EU172" s="270"/>
      <c r="EV172" s="267"/>
      <c r="FC172" s="267"/>
      <c r="FD172" s="267"/>
      <c r="FE172" s="267"/>
      <c r="FF172" s="267"/>
      <c r="FG172" s="267"/>
      <c r="FL172" s="267"/>
      <c r="FM172" s="267"/>
      <c r="FN172" s="267"/>
      <c r="FO172" s="267"/>
      <c r="FP172" s="267"/>
      <c r="FQ172" s="264"/>
      <c r="FR172" s="264"/>
      <c r="FS172" s="264"/>
      <c r="FT172" s="264"/>
      <c r="FU172" s="267"/>
      <c r="FV172" s="267"/>
      <c r="FW172" s="267"/>
      <c r="FX172" s="267"/>
      <c r="FY172" s="267"/>
      <c r="GD172" s="267"/>
      <c r="GE172" s="267"/>
      <c r="GF172" s="267"/>
      <c r="GG172" s="267"/>
      <c r="GH172" s="267"/>
      <c r="GI172" s="264"/>
      <c r="GJ172" s="264"/>
      <c r="GK172" s="264"/>
      <c r="GL172" s="264"/>
      <c r="HD172" s="267"/>
      <c r="HE172" s="267"/>
      <c r="HF172" s="267"/>
      <c r="HG172" s="267"/>
      <c r="HH172" s="267"/>
      <c r="HI172" s="267"/>
      <c r="HJ172" s="267"/>
      <c r="HK172" s="267"/>
      <c r="HL172" s="267"/>
      <c r="HM172" s="267"/>
      <c r="HN172" s="267"/>
      <c r="HO172" s="267"/>
      <c r="HP172" s="267"/>
      <c r="HQ172" s="267"/>
      <c r="HR172" s="267"/>
      <c r="HS172" s="267"/>
      <c r="HT172" s="267"/>
      <c r="HU172" s="267"/>
      <c r="IH172" s="267"/>
      <c r="IK172" s="267"/>
      <c r="IN172" s="267"/>
      <c r="IQ172" s="267"/>
      <c r="IR172" s="267"/>
      <c r="IS172" s="267"/>
      <c r="IT172" s="274"/>
      <c r="IU172" s="274"/>
      <c r="IV172" s="272"/>
      <c r="IW172" s="274"/>
      <c r="IX172" s="274"/>
      <c r="IY172" s="272"/>
    </row>
    <row r="173" spans="10:259">
      <c r="J173" s="267"/>
      <c r="K173" s="267"/>
      <c r="L173" s="267"/>
      <c r="M173" s="267"/>
      <c r="N173" s="267"/>
      <c r="O173" s="267"/>
      <c r="P173" s="267"/>
      <c r="Q173" s="267"/>
      <c r="S173" s="267"/>
      <c r="T173" s="267"/>
      <c r="U173" s="267"/>
      <c r="V173" s="267"/>
      <c r="W173" s="264"/>
      <c r="Y173" s="267"/>
      <c r="Z173" s="267"/>
      <c r="AA173" s="267"/>
      <c r="AB173" s="267"/>
      <c r="AE173" s="267"/>
      <c r="AF173" s="267"/>
      <c r="AG173" s="267"/>
      <c r="AH173" s="267"/>
      <c r="AK173" s="267"/>
      <c r="AL173" s="267"/>
      <c r="AM173" s="267"/>
      <c r="AN173" s="267"/>
      <c r="AQ173" s="267"/>
      <c r="AR173" s="267"/>
      <c r="AS173" s="267"/>
      <c r="AT173" s="267"/>
      <c r="AW173" s="267"/>
      <c r="AX173" s="267"/>
      <c r="AY173" s="267"/>
      <c r="AZ173" s="267"/>
      <c r="BG173" s="269"/>
      <c r="BM173" s="269"/>
      <c r="BS173" s="269"/>
      <c r="BU173" s="267"/>
      <c r="BY173" s="267"/>
      <c r="CC173" s="267"/>
      <c r="CG173" s="267"/>
      <c r="CS173" s="267"/>
      <c r="CW173" s="270"/>
      <c r="CX173" s="267"/>
      <c r="DC173" s="267"/>
      <c r="DH173" s="267"/>
      <c r="DM173" s="267"/>
      <c r="DR173" s="267"/>
      <c r="DW173" s="267"/>
      <c r="EB173" s="267"/>
      <c r="EG173" s="267"/>
      <c r="EL173" s="267"/>
      <c r="EQ173" s="267"/>
      <c r="EU173" s="270"/>
      <c r="EV173" s="267"/>
      <c r="FC173" s="267"/>
      <c r="FD173" s="267"/>
      <c r="FE173" s="267"/>
      <c r="FF173" s="267"/>
      <c r="FG173" s="267"/>
      <c r="FL173" s="267"/>
      <c r="FM173" s="267"/>
      <c r="FN173" s="267"/>
      <c r="FO173" s="267"/>
      <c r="FP173" s="267"/>
      <c r="FQ173" s="264"/>
      <c r="FR173" s="264"/>
      <c r="FS173" s="264"/>
      <c r="FT173" s="264"/>
      <c r="FU173" s="267"/>
      <c r="FV173" s="267"/>
      <c r="FW173" s="267"/>
      <c r="FX173" s="267"/>
      <c r="FY173" s="267"/>
      <c r="GD173" s="267"/>
      <c r="GE173" s="267"/>
      <c r="GF173" s="267"/>
      <c r="GG173" s="267"/>
      <c r="GH173" s="267"/>
      <c r="GI173" s="264"/>
      <c r="GJ173" s="264"/>
      <c r="GK173" s="264"/>
      <c r="GL173" s="264"/>
      <c r="HD173" s="267"/>
      <c r="HE173" s="267"/>
      <c r="HF173" s="267"/>
      <c r="HG173" s="267"/>
      <c r="HH173" s="267"/>
      <c r="HI173" s="267"/>
      <c r="HJ173" s="267"/>
      <c r="HK173" s="267"/>
      <c r="HL173" s="267"/>
      <c r="HM173" s="267"/>
      <c r="HN173" s="267"/>
      <c r="HO173" s="267"/>
      <c r="HP173" s="267"/>
      <c r="HQ173" s="267"/>
      <c r="HR173" s="267"/>
      <c r="HS173" s="267"/>
      <c r="HT173" s="267"/>
      <c r="HU173" s="267"/>
      <c r="IH173" s="267"/>
      <c r="IK173" s="267"/>
      <c r="IN173" s="267"/>
      <c r="IQ173" s="267"/>
      <c r="IR173" s="267"/>
      <c r="IS173" s="267"/>
      <c r="IT173" s="274"/>
      <c r="IU173" s="274"/>
      <c r="IV173" s="272"/>
      <c r="IW173" s="274"/>
      <c r="IX173" s="274"/>
      <c r="IY173" s="272"/>
    </row>
    <row r="174" spans="10:259">
      <c r="J174" s="267"/>
      <c r="K174" s="267"/>
      <c r="L174" s="267"/>
      <c r="M174" s="267"/>
      <c r="N174" s="267"/>
      <c r="O174" s="267"/>
      <c r="P174" s="267"/>
      <c r="Q174" s="267"/>
      <c r="S174" s="267"/>
      <c r="T174" s="267"/>
      <c r="U174" s="267"/>
      <c r="V174" s="267"/>
      <c r="W174" s="264"/>
      <c r="Y174" s="267"/>
      <c r="Z174" s="267"/>
      <c r="AA174" s="267"/>
      <c r="AB174" s="267"/>
      <c r="AE174" s="267"/>
      <c r="AF174" s="267"/>
      <c r="AG174" s="267"/>
      <c r="AH174" s="267"/>
      <c r="AK174" s="267"/>
      <c r="AL174" s="267"/>
      <c r="AM174" s="267"/>
      <c r="AN174" s="267"/>
      <c r="AQ174" s="267"/>
      <c r="AR174" s="267"/>
      <c r="AS174" s="267"/>
      <c r="AT174" s="267"/>
      <c r="AW174" s="267"/>
      <c r="AX174" s="267"/>
      <c r="AY174" s="267"/>
      <c r="AZ174" s="267"/>
      <c r="BG174" s="269"/>
      <c r="BM174" s="269"/>
      <c r="BS174" s="269"/>
      <c r="BU174" s="267"/>
      <c r="BY174" s="267"/>
      <c r="CC174" s="267"/>
      <c r="CG174" s="267"/>
      <c r="CS174" s="267"/>
      <c r="CW174" s="270"/>
      <c r="CX174" s="267"/>
      <c r="DC174" s="267"/>
      <c r="DH174" s="267"/>
      <c r="DM174" s="267"/>
      <c r="DR174" s="267"/>
      <c r="DW174" s="267"/>
      <c r="EB174" s="267"/>
      <c r="EG174" s="267"/>
      <c r="EL174" s="267"/>
      <c r="EQ174" s="267"/>
      <c r="EU174" s="270"/>
      <c r="EV174" s="267"/>
      <c r="FC174" s="267"/>
      <c r="FD174" s="267"/>
      <c r="FE174" s="267"/>
      <c r="FF174" s="267"/>
      <c r="FG174" s="267"/>
      <c r="FL174" s="267"/>
      <c r="FM174" s="267"/>
      <c r="FN174" s="267"/>
      <c r="FO174" s="267"/>
      <c r="FP174" s="267"/>
      <c r="FQ174" s="264"/>
      <c r="FR174" s="264"/>
      <c r="FS174" s="264"/>
      <c r="FT174" s="264"/>
      <c r="FU174" s="267"/>
      <c r="FV174" s="267"/>
      <c r="FW174" s="267"/>
      <c r="FX174" s="267"/>
      <c r="FY174" s="267"/>
      <c r="GD174" s="267"/>
      <c r="GE174" s="267"/>
      <c r="GF174" s="267"/>
      <c r="GG174" s="267"/>
      <c r="GH174" s="267"/>
      <c r="GI174" s="264"/>
      <c r="GJ174" s="264"/>
      <c r="GK174" s="264"/>
      <c r="GL174" s="264"/>
      <c r="HD174" s="267"/>
      <c r="HE174" s="267"/>
      <c r="HF174" s="267"/>
      <c r="HG174" s="267"/>
      <c r="HH174" s="267"/>
      <c r="HI174" s="267"/>
      <c r="HJ174" s="267"/>
      <c r="HK174" s="267"/>
      <c r="HL174" s="267"/>
      <c r="HM174" s="267"/>
      <c r="HN174" s="267"/>
      <c r="HO174" s="267"/>
      <c r="HP174" s="267"/>
      <c r="HQ174" s="267"/>
      <c r="HR174" s="267"/>
      <c r="HS174" s="267"/>
      <c r="HT174" s="267"/>
      <c r="HU174" s="267"/>
      <c r="IH174" s="267"/>
      <c r="IK174" s="267"/>
      <c r="IN174" s="267"/>
      <c r="IQ174" s="267"/>
      <c r="IR174" s="267"/>
      <c r="IS174" s="267"/>
      <c r="IT174" s="274"/>
      <c r="IU174" s="274"/>
      <c r="IV174" s="272"/>
      <c r="IW174" s="274"/>
      <c r="IX174" s="274"/>
      <c r="IY174" s="272"/>
    </row>
    <row r="175" spans="10:259">
      <c r="J175" s="267"/>
      <c r="K175" s="267"/>
      <c r="L175" s="267"/>
      <c r="M175" s="267"/>
      <c r="N175" s="267"/>
      <c r="O175" s="267"/>
      <c r="P175" s="267"/>
      <c r="Q175" s="267"/>
      <c r="S175" s="267"/>
      <c r="T175" s="267"/>
      <c r="U175" s="267"/>
      <c r="V175" s="267"/>
      <c r="W175" s="264"/>
      <c r="Y175" s="267"/>
      <c r="Z175" s="267"/>
      <c r="AA175" s="267"/>
      <c r="AB175" s="267"/>
      <c r="AE175" s="267"/>
      <c r="AF175" s="267"/>
      <c r="AG175" s="267"/>
      <c r="AH175" s="267"/>
      <c r="AK175" s="267"/>
      <c r="AL175" s="267"/>
      <c r="AM175" s="267"/>
      <c r="AN175" s="267"/>
      <c r="AQ175" s="267"/>
      <c r="AR175" s="267"/>
      <c r="AS175" s="267"/>
      <c r="AT175" s="267"/>
      <c r="AW175" s="267"/>
      <c r="AX175" s="267"/>
      <c r="AY175" s="267"/>
      <c r="AZ175" s="267"/>
      <c r="BG175" s="269"/>
      <c r="BM175" s="269"/>
      <c r="BS175" s="269"/>
      <c r="BU175" s="267"/>
      <c r="BY175" s="267"/>
      <c r="CC175" s="267"/>
      <c r="CG175" s="267"/>
      <c r="CS175" s="267"/>
      <c r="CW175" s="270"/>
      <c r="CX175" s="267"/>
      <c r="DC175" s="267"/>
      <c r="DH175" s="267"/>
      <c r="DM175" s="267"/>
      <c r="DR175" s="267"/>
      <c r="DW175" s="267"/>
      <c r="EB175" s="267"/>
      <c r="EG175" s="267"/>
      <c r="EL175" s="267"/>
      <c r="EQ175" s="267"/>
      <c r="EU175" s="270"/>
      <c r="EV175" s="267"/>
      <c r="FC175" s="267"/>
      <c r="FD175" s="267"/>
      <c r="FE175" s="267"/>
      <c r="FF175" s="267"/>
      <c r="FG175" s="267"/>
      <c r="FL175" s="267"/>
      <c r="FM175" s="267"/>
      <c r="FN175" s="267"/>
      <c r="FO175" s="267"/>
      <c r="FP175" s="267"/>
      <c r="FQ175" s="264"/>
      <c r="FR175" s="264"/>
      <c r="FS175" s="264"/>
      <c r="FT175" s="264"/>
      <c r="FU175" s="267"/>
      <c r="FV175" s="267"/>
      <c r="FW175" s="267"/>
      <c r="FX175" s="267"/>
      <c r="FY175" s="267"/>
      <c r="GD175" s="267"/>
      <c r="GE175" s="267"/>
      <c r="GF175" s="267"/>
      <c r="GG175" s="267"/>
      <c r="GH175" s="267"/>
      <c r="GI175" s="264"/>
      <c r="GJ175" s="264"/>
      <c r="GK175" s="264"/>
      <c r="GL175" s="264"/>
      <c r="HD175" s="267"/>
      <c r="HE175" s="267"/>
      <c r="HF175" s="267"/>
      <c r="HG175" s="267"/>
      <c r="HH175" s="267"/>
      <c r="HI175" s="267"/>
      <c r="HJ175" s="267"/>
      <c r="HK175" s="267"/>
      <c r="HL175" s="267"/>
      <c r="HM175" s="267"/>
      <c r="HN175" s="267"/>
      <c r="HO175" s="267"/>
      <c r="HP175" s="267"/>
      <c r="HQ175" s="267"/>
      <c r="HR175" s="267"/>
      <c r="HS175" s="267"/>
      <c r="HT175" s="267"/>
      <c r="HU175" s="267"/>
      <c r="IH175" s="267"/>
      <c r="IK175" s="267"/>
      <c r="IN175" s="267"/>
      <c r="IQ175" s="267"/>
      <c r="IR175" s="267"/>
      <c r="IS175" s="267"/>
      <c r="IT175" s="274"/>
      <c r="IU175" s="274"/>
      <c r="IV175" s="272"/>
      <c r="IW175" s="274"/>
      <c r="IX175" s="274"/>
      <c r="IY175" s="272"/>
    </row>
    <row r="176" spans="10:259">
      <c r="J176" s="267"/>
      <c r="K176" s="267"/>
      <c r="L176" s="267"/>
      <c r="M176" s="267"/>
      <c r="N176" s="267"/>
      <c r="O176" s="267"/>
      <c r="P176" s="267"/>
      <c r="Q176" s="267"/>
      <c r="S176" s="267"/>
      <c r="T176" s="267"/>
      <c r="U176" s="267"/>
      <c r="V176" s="267"/>
      <c r="W176" s="264"/>
      <c r="Y176" s="267"/>
      <c r="Z176" s="267"/>
      <c r="AA176" s="267"/>
      <c r="AB176" s="267"/>
      <c r="AE176" s="267"/>
      <c r="AF176" s="267"/>
      <c r="AG176" s="267"/>
      <c r="AH176" s="267"/>
      <c r="AK176" s="267"/>
      <c r="AL176" s="267"/>
      <c r="AM176" s="267"/>
      <c r="AN176" s="267"/>
      <c r="AQ176" s="267"/>
      <c r="AR176" s="267"/>
      <c r="AS176" s="267"/>
      <c r="AT176" s="267"/>
      <c r="AW176" s="267"/>
      <c r="AX176" s="267"/>
      <c r="AY176" s="267"/>
      <c r="AZ176" s="267"/>
      <c r="BG176" s="269"/>
      <c r="BM176" s="269"/>
      <c r="BS176" s="269"/>
      <c r="BU176" s="267"/>
      <c r="BY176" s="267"/>
      <c r="CC176" s="267"/>
      <c r="CG176" s="267"/>
      <c r="CS176" s="267"/>
      <c r="CW176" s="270"/>
      <c r="CX176" s="267"/>
      <c r="DC176" s="267"/>
      <c r="DH176" s="267"/>
      <c r="DM176" s="267"/>
      <c r="DR176" s="267"/>
      <c r="DW176" s="267"/>
      <c r="EB176" s="267"/>
      <c r="EG176" s="267"/>
      <c r="EL176" s="267"/>
      <c r="EQ176" s="267"/>
      <c r="EU176" s="270"/>
      <c r="EV176" s="267"/>
      <c r="FC176" s="267"/>
      <c r="FD176" s="267"/>
      <c r="FE176" s="267"/>
      <c r="FF176" s="267"/>
      <c r="FG176" s="267"/>
      <c r="FL176" s="267"/>
      <c r="FM176" s="267"/>
      <c r="FN176" s="267"/>
      <c r="FO176" s="267"/>
      <c r="FP176" s="267"/>
      <c r="FQ176" s="264"/>
      <c r="FR176" s="264"/>
      <c r="FS176" s="264"/>
      <c r="FT176" s="264"/>
      <c r="FU176" s="267"/>
      <c r="FV176" s="267"/>
      <c r="FW176" s="267"/>
      <c r="FX176" s="267"/>
      <c r="FY176" s="267"/>
      <c r="GD176" s="267"/>
      <c r="GE176" s="267"/>
      <c r="GF176" s="267"/>
      <c r="GG176" s="267"/>
      <c r="GH176" s="267"/>
      <c r="GI176" s="264"/>
      <c r="GJ176" s="264"/>
      <c r="GK176" s="264"/>
      <c r="GL176" s="264"/>
      <c r="HD176" s="267"/>
      <c r="HE176" s="267"/>
      <c r="HF176" s="267"/>
      <c r="HG176" s="267"/>
      <c r="HH176" s="267"/>
      <c r="HI176" s="267"/>
      <c r="HJ176" s="267"/>
      <c r="HK176" s="267"/>
      <c r="HL176" s="267"/>
      <c r="HM176" s="267"/>
      <c r="HN176" s="267"/>
      <c r="HO176" s="267"/>
      <c r="HP176" s="267"/>
      <c r="HQ176" s="267"/>
      <c r="HR176" s="267"/>
      <c r="HS176" s="267"/>
      <c r="HT176" s="267"/>
      <c r="HU176" s="267"/>
      <c r="IH176" s="267"/>
      <c r="IK176" s="267"/>
      <c r="IN176" s="267"/>
      <c r="IQ176" s="267"/>
      <c r="IR176" s="267"/>
      <c r="IS176" s="267"/>
      <c r="IT176" s="274"/>
      <c r="IU176" s="274"/>
      <c r="IV176" s="272"/>
      <c r="IW176" s="274"/>
      <c r="IX176" s="274"/>
      <c r="IY176" s="272"/>
    </row>
    <row r="177" spans="10:259">
      <c r="J177" s="267"/>
      <c r="K177" s="267"/>
      <c r="L177" s="267"/>
      <c r="M177" s="267"/>
      <c r="N177" s="267"/>
      <c r="O177" s="267"/>
      <c r="P177" s="267"/>
      <c r="Q177" s="267"/>
      <c r="S177" s="267"/>
      <c r="T177" s="267"/>
      <c r="U177" s="267"/>
      <c r="V177" s="267"/>
      <c r="W177" s="264"/>
      <c r="Y177" s="267"/>
      <c r="Z177" s="267"/>
      <c r="AA177" s="267"/>
      <c r="AB177" s="267"/>
      <c r="AE177" s="267"/>
      <c r="AF177" s="267"/>
      <c r="AG177" s="267"/>
      <c r="AH177" s="267"/>
      <c r="AK177" s="267"/>
      <c r="AL177" s="267"/>
      <c r="AM177" s="267"/>
      <c r="AN177" s="267"/>
      <c r="AQ177" s="267"/>
      <c r="AR177" s="267"/>
      <c r="AS177" s="267"/>
      <c r="AT177" s="267"/>
      <c r="AW177" s="267"/>
      <c r="AX177" s="267"/>
      <c r="AY177" s="267"/>
      <c r="AZ177" s="267"/>
      <c r="BG177" s="269"/>
      <c r="BM177" s="269"/>
      <c r="BS177" s="269"/>
      <c r="BU177" s="267"/>
      <c r="BY177" s="267"/>
      <c r="CC177" s="267"/>
      <c r="CG177" s="267"/>
      <c r="CS177" s="267"/>
      <c r="CW177" s="270"/>
      <c r="CX177" s="267"/>
      <c r="DC177" s="267"/>
      <c r="DH177" s="267"/>
      <c r="DM177" s="267"/>
      <c r="DR177" s="267"/>
      <c r="DW177" s="267"/>
      <c r="EB177" s="267"/>
      <c r="EG177" s="267"/>
      <c r="EL177" s="267"/>
      <c r="EQ177" s="267"/>
      <c r="EU177" s="270"/>
      <c r="EV177" s="267"/>
      <c r="FC177" s="267"/>
      <c r="FD177" s="267"/>
      <c r="FE177" s="267"/>
      <c r="FF177" s="267"/>
      <c r="FG177" s="267"/>
      <c r="FL177" s="267"/>
      <c r="FM177" s="267"/>
      <c r="FN177" s="267"/>
      <c r="FO177" s="267"/>
      <c r="FP177" s="267"/>
      <c r="FQ177" s="264"/>
      <c r="FR177" s="264"/>
      <c r="FS177" s="264"/>
      <c r="FT177" s="264"/>
      <c r="FU177" s="267"/>
      <c r="FV177" s="267"/>
      <c r="FW177" s="267"/>
      <c r="FX177" s="267"/>
      <c r="FY177" s="267"/>
      <c r="GD177" s="267"/>
      <c r="GE177" s="267"/>
      <c r="GF177" s="267"/>
      <c r="GG177" s="267"/>
      <c r="GH177" s="267"/>
      <c r="GI177" s="264"/>
      <c r="GJ177" s="264"/>
      <c r="GK177" s="264"/>
      <c r="GL177" s="264"/>
      <c r="HD177" s="267"/>
      <c r="HE177" s="267"/>
      <c r="HF177" s="267"/>
      <c r="HG177" s="267"/>
      <c r="HH177" s="267"/>
      <c r="HI177" s="267"/>
      <c r="HJ177" s="267"/>
      <c r="HK177" s="267"/>
      <c r="HL177" s="267"/>
      <c r="HM177" s="267"/>
      <c r="HN177" s="267"/>
      <c r="HO177" s="267"/>
      <c r="HP177" s="267"/>
      <c r="HQ177" s="267"/>
      <c r="HR177" s="267"/>
      <c r="HS177" s="267"/>
      <c r="HT177" s="267"/>
      <c r="HU177" s="267"/>
      <c r="IH177" s="267"/>
      <c r="IK177" s="267"/>
      <c r="IN177" s="267"/>
      <c r="IQ177" s="267"/>
      <c r="IR177" s="267"/>
      <c r="IS177" s="267"/>
      <c r="IT177" s="274"/>
      <c r="IU177" s="274"/>
      <c r="IV177" s="272"/>
      <c r="IW177" s="274"/>
      <c r="IX177" s="274"/>
      <c r="IY177" s="272"/>
    </row>
    <row r="178" spans="10:259">
      <c r="J178" s="267"/>
      <c r="K178" s="267"/>
      <c r="L178" s="267"/>
      <c r="M178" s="267"/>
      <c r="N178" s="267"/>
      <c r="O178" s="267"/>
      <c r="P178" s="267"/>
      <c r="Q178" s="267"/>
      <c r="S178" s="267"/>
      <c r="T178" s="267"/>
      <c r="U178" s="267"/>
      <c r="V178" s="267"/>
      <c r="W178" s="264"/>
      <c r="Y178" s="267"/>
      <c r="Z178" s="267"/>
      <c r="AA178" s="267"/>
      <c r="AB178" s="267"/>
      <c r="AE178" s="267"/>
      <c r="AF178" s="267"/>
      <c r="AG178" s="267"/>
      <c r="AH178" s="267"/>
      <c r="AK178" s="267"/>
      <c r="AL178" s="267"/>
      <c r="AM178" s="267"/>
      <c r="AN178" s="267"/>
      <c r="AQ178" s="267"/>
      <c r="AR178" s="267"/>
      <c r="AS178" s="267"/>
      <c r="AT178" s="267"/>
      <c r="AW178" s="267"/>
      <c r="AX178" s="267"/>
      <c r="AY178" s="267"/>
      <c r="AZ178" s="267"/>
      <c r="BG178" s="269"/>
      <c r="BM178" s="269"/>
      <c r="BS178" s="269"/>
      <c r="BU178" s="267"/>
      <c r="BY178" s="267"/>
      <c r="CC178" s="267"/>
      <c r="CG178" s="267"/>
      <c r="CS178" s="267"/>
      <c r="CW178" s="270"/>
      <c r="CX178" s="267"/>
      <c r="DC178" s="267"/>
      <c r="DH178" s="267"/>
      <c r="DM178" s="267"/>
      <c r="DR178" s="267"/>
      <c r="DW178" s="267"/>
      <c r="EB178" s="267"/>
      <c r="EG178" s="267"/>
      <c r="EL178" s="267"/>
      <c r="EQ178" s="267"/>
      <c r="EU178" s="270"/>
      <c r="EV178" s="267"/>
      <c r="FC178" s="267"/>
      <c r="FD178" s="267"/>
      <c r="FE178" s="267"/>
      <c r="FF178" s="267"/>
      <c r="FG178" s="267"/>
      <c r="FL178" s="267"/>
      <c r="FM178" s="267"/>
      <c r="FN178" s="267"/>
      <c r="FO178" s="267"/>
      <c r="FP178" s="267"/>
      <c r="FQ178" s="264"/>
      <c r="FR178" s="264"/>
      <c r="FS178" s="264"/>
      <c r="FT178" s="264"/>
      <c r="FU178" s="267"/>
      <c r="FV178" s="267"/>
      <c r="FW178" s="267"/>
      <c r="FX178" s="267"/>
      <c r="FY178" s="267"/>
      <c r="GD178" s="267"/>
      <c r="GE178" s="267"/>
      <c r="GF178" s="267"/>
      <c r="GG178" s="267"/>
      <c r="GH178" s="267"/>
      <c r="GI178" s="264"/>
      <c r="GJ178" s="264"/>
      <c r="GK178" s="264"/>
      <c r="GL178" s="264"/>
      <c r="HD178" s="267"/>
      <c r="HE178" s="267"/>
      <c r="HF178" s="267"/>
      <c r="HG178" s="267"/>
      <c r="HH178" s="267"/>
      <c r="HI178" s="267"/>
      <c r="HJ178" s="267"/>
      <c r="HK178" s="267"/>
      <c r="HL178" s="267"/>
      <c r="HM178" s="267"/>
      <c r="HN178" s="267"/>
      <c r="HO178" s="267"/>
      <c r="HP178" s="267"/>
      <c r="HQ178" s="267"/>
      <c r="HR178" s="267"/>
      <c r="HS178" s="267"/>
      <c r="HT178" s="267"/>
      <c r="HU178" s="267"/>
      <c r="IH178" s="267"/>
      <c r="IK178" s="267"/>
      <c r="IN178" s="267"/>
      <c r="IQ178" s="267"/>
      <c r="IR178" s="267"/>
      <c r="IS178" s="267"/>
      <c r="IT178" s="274"/>
      <c r="IU178" s="274"/>
      <c r="IV178" s="272"/>
      <c r="IW178" s="274"/>
      <c r="IX178" s="274"/>
      <c r="IY178" s="272"/>
    </row>
    <row r="179" spans="10:259">
      <c r="J179" s="267"/>
      <c r="K179" s="267"/>
      <c r="L179" s="267"/>
      <c r="M179" s="267"/>
      <c r="N179" s="267"/>
      <c r="O179" s="267"/>
      <c r="P179" s="267"/>
      <c r="Q179" s="267"/>
      <c r="S179" s="267"/>
      <c r="T179" s="267"/>
      <c r="U179" s="267"/>
      <c r="V179" s="267"/>
      <c r="W179" s="264"/>
      <c r="Y179" s="267"/>
      <c r="Z179" s="267"/>
      <c r="AA179" s="267"/>
      <c r="AB179" s="267"/>
      <c r="AE179" s="267"/>
      <c r="AF179" s="267"/>
      <c r="AG179" s="267"/>
      <c r="AH179" s="267"/>
      <c r="AK179" s="267"/>
      <c r="AL179" s="267"/>
      <c r="AM179" s="267"/>
      <c r="AN179" s="267"/>
      <c r="AQ179" s="267"/>
      <c r="AR179" s="267"/>
      <c r="AS179" s="267"/>
      <c r="AT179" s="267"/>
      <c r="AW179" s="267"/>
      <c r="AX179" s="267"/>
      <c r="AY179" s="267"/>
      <c r="AZ179" s="267"/>
      <c r="BG179" s="269"/>
      <c r="BM179" s="269"/>
      <c r="BS179" s="269"/>
      <c r="BU179" s="267"/>
      <c r="BY179" s="267"/>
      <c r="CC179" s="267"/>
      <c r="CG179" s="267"/>
      <c r="CS179" s="267"/>
      <c r="CW179" s="270"/>
      <c r="CX179" s="267"/>
      <c r="DC179" s="267"/>
      <c r="DH179" s="267"/>
      <c r="DM179" s="267"/>
      <c r="DR179" s="267"/>
      <c r="DW179" s="267"/>
      <c r="EB179" s="267"/>
      <c r="EG179" s="267"/>
      <c r="EL179" s="267"/>
      <c r="EQ179" s="267"/>
      <c r="EU179" s="270"/>
      <c r="EV179" s="267"/>
      <c r="FC179" s="267"/>
      <c r="FD179" s="267"/>
      <c r="FE179" s="267"/>
      <c r="FF179" s="267"/>
      <c r="FG179" s="267"/>
      <c r="FL179" s="267"/>
      <c r="FM179" s="267"/>
      <c r="FN179" s="267"/>
      <c r="FO179" s="267"/>
      <c r="FP179" s="267"/>
      <c r="FQ179" s="264"/>
      <c r="FR179" s="264"/>
      <c r="FS179" s="264"/>
      <c r="FT179" s="264"/>
      <c r="FU179" s="267"/>
      <c r="FV179" s="267"/>
      <c r="FW179" s="267"/>
      <c r="FX179" s="267"/>
      <c r="FY179" s="267"/>
      <c r="GD179" s="267"/>
      <c r="GE179" s="267"/>
      <c r="GF179" s="267"/>
      <c r="GG179" s="267"/>
      <c r="GH179" s="267"/>
      <c r="GI179" s="264"/>
      <c r="GJ179" s="264"/>
      <c r="GK179" s="264"/>
      <c r="GL179" s="264"/>
      <c r="HD179" s="267"/>
      <c r="HE179" s="267"/>
      <c r="HF179" s="267"/>
      <c r="HG179" s="267"/>
      <c r="HH179" s="267"/>
      <c r="HI179" s="267"/>
      <c r="HJ179" s="267"/>
      <c r="HK179" s="267"/>
      <c r="HL179" s="267"/>
      <c r="HM179" s="267"/>
      <c r="HN179" s="267"/>
      <c r="HO179" s="267"/>
      <c r="HP179" s="267"/>
      <c r="HQ179" s="267"/>
      <c r="HR179" s="267"/>
      <c r="HS179" s="267"/>
      <c r="HT179" s="267"/>
      <c r="HU179" s="267"/>
      <c r="IH179" s="267"/>
      <c r="IK179" s="267"/>
      <c r="IN179" s="267"/>
      <c r="IQ179" s="267"/>
      <c r="IR179" s="267"/>
      <c r="IS179" s="267"/>
      <c r="IT179" s="274"/>
      <c r="IU179" s="274"/>
      <c r="IV179" s="272"/>
      <c r="IW179" s="274"/>
      <c r="IX179" s="274"/>
      <c r="IY179" s="272"/>
    </row>
    <row r="180" spans="10:259">
      <c r="J180" s="267"/>
      <c r="K180" s="267"/>
      <c r="L180" s="267"/>
      <c r="M180" s="267"/>
      <c r="N180" s="267"/>
      <c r="O180" s="267"/>
      <c r="P180" s="267"/>
      <c r="Q180" s="267"/>
      <c r="S180" s="267"/>
      <c r="T180" s="267"/>
      <c r="U180" s="267"/>
      <c r="V180" s="267"/>
      <c r="W180" s="264"/>
      <c r="Y180" s="267"/>
      <c r="Z180" s="267"/>
      <c r="AA180" s="267"/>
      <c r="AB180" s="267"/>
      <c r="AE180" s="267"/>
      <c r="AF180" s="267"/>
      <c r="AG180" s="267"/>
      <c r="AH180" s="267"/>
      <c r="AK180" s="267"/>
      <c r="AL180" s="267"/>
      <c r="AM180" s="267"/>
      <c r="AN180" s="267"/>
      <c r="AQ180" s="267"/>
      <c r="AR180" s="267"/>
      <c r="AS180" s="267"/>
      <c r="AT180" s="267"/>
      <c r="AW180" s="267"/>
      <c r="AX180" s="267"/>
      <c r="AY180" s="267"/>
      <c r="AZ180" s="267"/>
      <c r="BG180" s="269"/>
      <c r="BM180" s="269"/>
      <c r="BS180" s="269"/>
      <c r="BU180" s="267"/>
      <c r="BY180" s="267"/>
      <c r="CC180" s="267"/>
      <c r="CG180" s="267"/>
      <c r="CS180" s="267"/>
      <c r="CW180" s="270"/>
      <c r="CX180" s="267"/>
      <c r="DC180" s="267"/>
      <c r="DH180" s="267"/>
      <c r="DM180" s="267"/>
      <c r="DR180" s="267"/>
      <c r="DW180" s="267"/>
      <c r="EB180" s="267"/>
      <c r="EG180" s="267"/>
      <c r="EL180" s="267"/>
      <c r="EQ180" s="267"/>
      <c r="EU180" s="270"/>
      <c r="EV180" s="267"/>
      <c r="FC180" s="267"/>
      <c r="FD180" s="267"/>
      <c r="FE180" s="267"/>
      <c r="FF180" s="267"/>
      <c r="FG180" s="267"/>
      <c r="FL180" s="267"/>
      <c r="FM180" s="267"/>
      <c r="FN180" s="267"/>
      <c r="FO180" s="267"/>
      <c r="FP180" s="267"/>
      <c r="FQ180" s="264"/>
      <c r="FR180" s="264"/>
      <c r="FS180" s="264"/>
      <c r="FT180" s="264"/>
      <c r="FU180" s="267"/>
      <c r="FV180" s="267"/>
      <c r="FW180" s="267"/>
      <c r="FX180" s="267"/>
      <c r="FY180" s="267"/>
      <c r="GD180" s="267"/>
      <c r="GE180" s="267"/>
      <c r="GF180" s="267"/>
      <c r="GG180" s="267"/>
      <c r="GH180" s="267"/>
      <c r="GI180" s="264"/>
      <c r="GJ180" s="264"/>
      <c r="GK180" s="264"/>
      <c r="GL180" s="264"/>
      <c r="HD180" s="267"/>
      <c r="HE180" s="267"/>
      <c r="HF180" s="267"/>
      <c r="HG180" s="267"/>
      <c r="HH180" s="267"/>
      <c r="HI180" s="267"/>
      <c r="HJ180" s="267"/>
      <c r="HK180" s="267"/>
      <c r="HL180" s="267"/>
      <c r="HM180" s="267"/>
      <c r="HN180" s="267"/>
      <c r="HO180" s="267"/>
      <c r="HP180" s="267"/>
      <c r="HQ180" s="267"/>
      <c r="HR180" s="267"/>
      <c r="HS180" s="267"/>
      <c r="HT180" s="267"/>
      <c r="HU180" s="267"/>
      <c r="IH180" s="267"/>
      <c r="IK180" s="267"/>
      <c r="IN180" s="267"/>
      <c r="IQ180" s="267"/>
      <c r="IR180" s="267"/>
      <c r="IS180" s="267"/>
      <c r="IT180" s="274"/>
      <c r="IU180" s="274"/>
      <c r="IV180" s="272"/>
      <c r="IW180" s="274"/>
      <c r="IX180" s="274"/>
      <c r="IY180" s="272"/>
    </row>
    <row r="181" spans="10:259">
      <c r="J181" s="267"/>
      <c r="K181" s="267"/>
      <c r="L181" s="267"/>
      <c r="M181" s="267"/>
      <c r="N181" s="267"/>
      <c r="O181" s="267"/>
      <c r="P181" s="267"/>
      <c r="Q181" s="267"/>
      <c r="S181" s="267"/>
      <c r="T181" s="267"/>
      <c r="U181" s="267"/>
      <c r="V181" s="267"/>
      <c r="W181" s="264"/>
      <c r="Y181" s="267"/>
      <c r="Z181" s="267"/>
      <c r="AA181" s="267"/>
      <c r="AB181" s="267"/>
      <c r="AE181" s="267"/>
      <c r="AF181" s="267"/>
      <c r="AG181" s="267"/>
      <c r="AH181" s="267"/>
      <c r="AK181" s="267"/>
      <c r="AL181" s="267"/>
      <c r="AM181" s="267"/>
      <c r="AN181" s="267"/>
      <c r="AQ181" s="267"/>
      <c r="AR181" s="267"/>
      <c r="AS181" s="267"/>
      <c r="AT181" s="267"/>
      <c r="AW181" s="267"/>
      <c r="AX181" s="267"/>
      <c r="AY181" s="267"/>
      <c r="AZ181" s="267"/>
      <c r="BG181" s="269"/>
      <c r="BM181" s="269"/>
      <c r="BS181" s="269"/>
      <c r="BU181" s="267"/>
      <c r="BY181" s="267"/>
      <c r="CC181" s="267"/>
      <c r="CG181" s="267"/>
      <c r="CS181" s="267"/>
      <c r="CW181" s="270"/>
      <c r="CX181" s="267"/>
      <c r="DC181" s="267"/>
      <c r="DH181" s="267"/>
      <c r="DM181" s="267"/>
      <c r="DR181" s="267"/>
      <c r="DW181" s="267"/>
      <c r="EB181" s="267"/>
      <c r="EG181" s="267"/>
      <c r="EL181" s="267"/>
      <c r="EQ181" s="267"/>
      <c r="EU181" s="270"/>
      <c r="EV181" s="267"/>
      <c r="FC181" s="267"/>
      <c r="FD181" s="267"/>
      <c r="FE181" s="267"/>
      <c r="FF181" s="267"/>
      <c r="FG181" s="267"/>
      <c r="FL181" s="267"/>
      <c r="FM181" s="267"/>
      <c r="FN181" s="267"/>
      <c r="FO181" s="267"/>
      <c r="FP181" s="267"/>
      <c r="FQ181" s="264"/>
      <c r="FR181" s="264"/>
      <c r="FS181" s="264"/>
      <c r="FT181" s="264"/>
      <c r="FU181" s="267"/>
      <c r="FV181" s="267"/>
      <c r="FW181" s="267"/>
      <c r="FX181" s="267"/>
      <c r="FY181" s="267"/>
      <c r="GD181" s="267"/>
      <c r="GE181" s="267"/>
      <c r="GF181" s="267"/>
      <c r="GG181" s="267"/>
      <c r="GH181" s="267"/>
      <c r="GI181" s="264"/>
      <c r="GJ181" s="264"/>
      <c r="GK181" s="264"/>
      <c r="GL181" s="264"/>
      <c r="HD181" s="267"/>
      <c r="HE181" s="267"/>
      <c r="HF181" s="267"/>
      <c r="HG181" s="267"/>
      <c r="HH181" s="267"/>
      <c r="HI181" s="267"/>
      <c r="HJ181" s="267"/>
      <c r="HK181" s="267"/>
      <c r="HL181" s="267"/>
      <c r="HM181" s="267"/>
      <c r="HN181" s="267"/>
      <c r="HO181" s="267"/>
      <c r="HP181" s="267"/>
      <c r="HQ181" s="267"/>
      <c r="HR181" s="267"/>
      <c r="HS181" s="267"/>
      <c r="HT181" s="267"/>
      <c r="HU181" s="267"/>
      <c r="IH181" s="267"/>
      <c r="IK181" s="267"/>
      <c r="IN181" s="267"/>
      <c r="IQ181" s="267"/>
      <c r="IR181" s="267"/>
      <c r="IS181" s="267"/>
      <c r="IT181" s="274"/>
      <c r="IU181" s="274"/>
      <c r="IV181" s="272"/>
      <c r="IW181" s="274"/>
      <c r="IX181" s="274"/>
      <c r="IY181" s="272"/>
    </row>
    <row r="182" spans="10:259">
      <c r="J182" s="267"/>
      <c r="K182" s="267"/>
      <c r="L182" s="267"/>
      <c r="M182" s="267"/>
      <c r="N182" s="267"/>
      <c r="O182" s="267"/>
      <c r="P182" s="267"/>
      <c r="Q182" s="267"/>
      <c r="S182" s="267"/>
      <c r="T182" s="267"/>
      <c r="U182" s="267"/>
      <c r="V182" s="267"/>
      <c r="W182" s="264"/>
      <c r="Y182" s="267"/>
      <c r="Z182" s="267"/>
      <c r="AA182" s="267"/>
      <c r="AB182" s="267"/>
      <c r="AE182" s="267"/>
      <c r="AF182" s="267"/>
      <c r="AG182" s="267"/>
      <c r="AH182" s="267"/>
      <c r="AK182" s="267"/>
      <c r="AL182" s="267"/>
      <c r="AM182" s="267"/>
      <c r="AN182" s="267"/>
      <c r="AQ182" s="267"/>
      <c r="AR182" s="267"/>
      <c r="AS182" s="267"/>
      <c r="AT182" s="267"/>
      <c r="AW182" s="267"/>
      <c r="AX182" s="267"/>
      <c r="AY182" s="267"/>
      <c r="AZ182" s="267"/>
      <c r="BG182" s="269"/>
      <c r="BM182" s="269"/>
      <c r="BS182" s="269"/>
      <c r="BU182" s="267"/>
      <c r="BY182" s="267"/>
      <c r="CC182" s="267"/>
      <c r="CG182" s="267"/>
      <c r="CS182" s="267"/>
      <c r="CW182" s="270"/>
      <c r="CX182" s="267"/>
      <c r="DC182" s="267"/>
      <c r="DH182" s="267"/>
      <c r="DM182" s="267"/>
      <c r="DR182" s="267"/>
      <c r="DW182" s="267"/>
      <c r="EB182" s="267"/>
      <c r="EG182" s="267"/>
      <c r="EL182" s="267"/>
      <c r="EQ182" s="267"/>
      <c r="EU182" s="270"/>
      <c r="EV182" s="267"/>
      <c r="FC182" s="267"/>
      <c r="FD182" s="267"/>
      <c r="FE182" s="267"/>
      <c r="FF182" s="267"/>
      <c r="FG182" s="267"/>
      <c r="FL182" s="267"/>
      <c r="FM182" s="267"/>
      <c r="FN182" s="267"/>
      <c r="FO182" s="267"/>
      <c r="FP182" s="267"/>
      <c r="FQ182" s="264"/>
      <c r="FR182" s="264"/>
      <c r="FS182" s="264"/>
      <c r="FT182" s="264"/>
      <c r="FU182" s="267"/>
      <c r="FV182" s="267"/>
      <c r="FW182" s="267"/>
      <c r="FX182" s="267"/>
      <c r="FY182" s="267"/>
      <c r="GD182" s="267"/>
      <c r="GE182" s="267"/>
      <c r="GF182" s="267"/>
      <c r="GG182" s="267"/>
      <c r="GH182" s="267"/>
      <c r="GI182" s="264"/>
      <c r="GJ182" s="264"/>
      <c r="GK182" s="264"/>
      <c r="GL182" s="264"/>
      <c r="HD182" s="267"/>
      <c r="HE182" s="267"/>
      <c r="HF182" s="267"/>
      <c r="HG182" s="267"/>
      <c r="HH182" s="267"/>
      <c r="HI182" s="267"/>
      <c r="HJ182" s="267"/>
      <c r="HK182" s="267"/>
      <c r="HL182" s="267"/>
      <c r="HM182" s="267"/>
      <c r="HN182" s="267"/>
      <c r="HO182" s="267"/>
      <c r="HP182" s="267"/>
      <c r="HQ182" s="267"/>
      <c r="HR182" s="267"/>
      <c r="HS182" s="267"/>
      <c r="HT182" s="267"/>
      <c r="HU182" s="267"/>
      <c r="IH182" s="267"/>
      <c r="IK182" s="267"/>
      <c r="IN182" s="267"/>
      <c r="IQ182" s="267"/>
      <c r="IR182" s="267"/>
      <c r="IS182" s="267"/>
      <c r="IT182" s="274"/>
      <c r="IU182" s="274"/>
      <c r="IV182" s="272"/>
      <c r="IW182" s="274"/>
      <c r="IX182" s="274"/>
      <c r="IY182" s="272"/>
    </row>
    <row r="183" spans="10:259">
      <c r="J183" s="267"/>
      <c r="K183" s="267"/>
      <c r="L183" s="267"/>
      <c r="M183" s="267"/>
      <c r="N183" s="267"/>
      <c r="O183" s="267"/>
      <c r="P183" s="267"/>
      <c r="Q183" s="267"/>
      <c r="S183" s="267"/>
      <c r="T183" s="267"/>
      <c r="U183" s="267"/>
      <c r="V183" s="267"/>
      <c r="W183" s="264"/>
      <c r="Y183" s="267"/>
      <c r="Z183" s="267"/>
      <c r="AA183" s="267"/>
      <c r="AB183" s="267"/>
      <c r="AE183" s="267"/>
      <c r="AF183" s="267"/>
      <c r="AG183" s="267"/>
      <c r="AH183" s="267"/>
      <c r="AK183" s="267"/>
      <c r="AL183" s="267"/>
      <c r="AM183" s="267"/>
      <c r="AN183" s="267"/>
      <c r="AQ183" s="267"/>
      <c r="AR183" s="267"/>
      <c r="AS183" s="267"/>
      <c r="AT183" s="267"/>
      <c r="AW183" s="267"/>
      <c r="AX183" s="267"/>
      <c r="AY183" s="267"/>
      <c r="AZ183" s="267"/>
      <c r="BG183" s="269"/>
      <c r="BM183" s="269"/>
      <c r="BS183" s="269"/>
      <c r="BU183" s="267"/>
      <c r="BY183" s="267"/>
      <c r="CC183" s="267"/>
      <c r="CG183" s="267"/>
      <c r="CS183" s="267"/>
      <c r="CW183" s="270"/>
      <c r="CX183" s="267"/>
      <c r="DC183" s="267"/>
      <c r="DH183" s="267"/>
      <c r="DM183" s="267"/>
      <c r="DR183" s="267"/>
      <c r="DW183" s="267"/>
      <c r="EB183" s="267"/>
      <c r="EG183" s="267"/>
      <c r="EL183" s="267"/>
      <c r="EQ183" s="267"/>
      <c r="EU183" s="270"/>
      <c r="EV183" s="267"/>
      <c r="FC183" s="267"/>
      <c r="FD183" s="267"/>
      <c r="FE183" s="267"/>
      <c r="FF183" s="267"/>
      <c r="FG183" s="267"/>
      <c r="FL183" s="267"/>
      <c r="FM183" s="267"/>
      <c r="FN183" s="267"/>
      <c r="FO183" s="267"/>
      <c r="FP183" s="267"/>
      <c r="FQ183" s="264"/>
      <c r="FR183" s="264"/>
      <c r="FS183" s="264"/>
      <c r="FT183" s="264"/>
      <c r="FU183" s="267"/>
      <c r="FV183" s="267"/>
      <c r="FW183" s="267"/>
      <c r="FX183" s="267"/>
      <c r="FY183" s="267"/>
      <c r="GD183" s="267"/>
      <c r="GE183" s="267"/>
      <c r="GF183" s="267"/>
      <c r="GG183" s="267"/>
      <c r="GH183" s="267"/>
      <c r="GI183" s="264"/>
      <c r="GJ183" s="264"/>
      <c r="GK183" s="264"/>
      <c r="GL183" s="264"/>
      <c r="HD183" s="267"/>
      <c r="HE183" s="267"/>
      <c r="HF183" s="267"/>
      <c r="HG183" s="267"/>
      <c r="HH183" s="267"/>
      <c r="HI183" s="267"/>
      <c r="HJ183" s="267"/>
      <c r="HK183" s="267"/>
      <c r="HL183" s="267"/>
      <c r="HM183" s="267"/>
      <c r="HN183" s="267"/>
      <c r="HO183" s="267"/>
      <c r="HP183" s="267"/>
      <c r="HQ183" s="267"/>
      <c r="HR183" s="267"/>
      <c r="HS183" s="267"/>
      <c r="HT183" s="267"/>
      <c r="HU183" s="267"/>
      <c r="IH183" s="267"/>
      <c r="IK183" s="267"/>
      <c r="IN183" s="267"/>
      <c r="IQ183" s="267"/>
      <c r="IR183" s="267"/>
      <c r="IS183" s="267"/>
      <c r="IT183" s="274"/>
      <c r="IU183" s="274"/>
      <c r="IV183" s="272"/>
      <c r="IW183" s="274"/>
      <c r="IX183" s="274"/>
      <c r="IY183" s="272"/>
    </row>
    <row r="184" spans="10:259">
      <c r="J184" s="267"/>
      <c r="K184" s="267"/>
      <c r="L184" s="267"/>
      <c r="M184" s="267"/>
      <c r="N184" s="267"/>
      <c r="O184" s="267"/>
      <c r="P184" s="267"/>
      <c r="Q184" s="267"/>
      <c r="S184" s="267"/>
      <c r="T184" s="267"/>
      <c r="U184" s="267"/>
      <c r="V184" s="267"/>
      <c r="W184" s="264"/>
      <c r="Y184" s="267"/>
      <c r="Z184" s="267"/>
      <c r="AA184" s="267"/>
      <c r="AB184" s="267"/>
      <c r="AE184" s="267"/>
      <c r="AF184" s="267"/>
      <c r="AG184" s="267"/>
      <c r="AH184" s="267"/>
      <c r="AK184" s="267"/>
      <c r="AL184" s="267"/>
      <c r="AM184" s="267"/>
      <c r="AN184" s="267"/>
      <c r="AQ184" s="267"/>
      <c r="AR184" s="267"/>
      <c r="AS184" s="267"/>
      <c r="AT184" s="267"/>
      <c r="AW184" s="267"/>
      <c r="AX184" s="267"/>
      <c r="AY184" s="267"/>
      <c r="AZ184" s="267"/>
      <c r="BG184" s="269"/>
      <c r="BM184" s="269"/>
      <c r="BS184" s="269"/>
      <c r="BU184" s="267"/>
      <c r="BY184" s="267"/>
      <c r="CC184" s="267"/>
      <c r="CG184" s="267"/>
      <c r="CS184" s="267"/>
      <c r="CW184" s="270"/>
      <c r="CX184" s="267"/>
      <c r="DC184" s="267"/>
      <c r="DH184" s="267"/>
      <c r="DM184" s="267"/>
      <c r="DR184" s="267"/>
      <c r="DW184" s="267"/>
      <c r="EB184" s="267"/>
      <c r="EG184" s="267"/>
      <c r="EL184" s="267"/>
      <c r="EQ184" s="267"/>
      <c r="EU184" s="270"/>
      <c r="EV184" s="267"/>
      <c r="FC184" s="267"/>
      <c r="FD184" s="267"/>
      <c r="FE184" s="267"/>
      <c r="FF184" s="267"/>
      <c r="FG184" s="267"/>
      <c r="FL184" s="267"/>
      <c r="FM184" s="267"/>
      <c r="FN184" s="267"/>
      <c r="FO184" s="267"/>
      <c r="FP184" s="267"/>
      <c r="FQ184" s="264"/>
      <c r="FR184" s="264"/>
      <c r="FS184" s="264"/>
      <c r="FT184" s="264"/>
      <c r="FU184" s="267"/>
      <c r="FV184" s="267"/>
      <c r="FW184" s="267"/>
      <c r="FX184" s="267"/>
      <c r="FY184" s="267"/>
      <c r="GD184" s="267"/>
      <c r="GE184" s="267"/>
      <c r="GF184" s="267"/>
      <c r="GG184" s="267"/>
      <c r="GH184" s="267"/>
      <c r="GI184" s="264"/>
      <c r="GJ184" s="264"/>
      <c r="GK184" s="264"/>
      <c r="GL184" s="264"/>
      <c r="HD184" s="267"/>
      <c r="HE184" s="267"/>
      <c r="HF184" s="267"/>
      <c r="HG184" s="267"/>
      <c r="HH184" s="267"/>
      <c r="HI184" s="267"/>
      <c r="HJ184" s="267"/>
      <c r="HK184" s="267"/>
      <c r="HL184" s="267"/>
      <c r="HM184" s="267"/>
      <c r="HN184" s="267"/>
      <c r="HO184" s="267"/>
      <c r="HP184" s="267"/>
      <c r="HQ184" s="267"/>
      <c r="HR184" s="267"/>
      <c r="HS184" s="267"/>
      <c r="HT184" s="267"/>
      <c r="HU184" s="267"/>
      <c r="IH184" s="267"/>
      <c r="IK184" s="267"/>
      <c r="IN184" s="267"/>
      <c r="IQ184" s="267"/>
      <c r="IR184" s="267"/>
      <c r="IS184" s="267"/>
      <c r="IT184" s="274"/>
      <c r="IU184" s="274"/>
      <c r="IV184" s="272"/>
      <c r="IW184" s="274"/>
      <c r="IX184" s="274"/>
      <c r="IY184" s="272"/>
    </row>
    <row r="185" spans="10:259">
      <c r="J185" s="267"/>
      <c r="K185" s="267"/>
      <c r="L185" s="267"/>
      <c r="M185" s="267"/>
      <c r="N185" s="267"/>
      <c r="O185" s="267"/>
      <c r="P185" s="267"/>
      <c r="Q185" s="267"/>
      <c r="S185" s="267"/>
      <c r="T185" s="267"/>
      <c r="U185" s="267"/>
      <c r="V185" s="267"/>
      <c r="W185" s="264"/>
      <c r="Y185" s="267"/>
      <c r="Z185" s="267"/>
      <c r="AA185" s="267"/>
      <c r="AB185" s="267"/>
      <c r="AE185" s="267"/>
      <c r="AF185" s="267"/>
      <c r="AG185" s="267"/>
      <c r="AH185" s="267"/>
      <c r="AK185" s="267"/>
      <c r="AL185" s="267"/>
      <c r="AM185" s="267"/>
      <c r="AN185" s="267"/>
      <c r="AQ185" s="267"/>
      <c r="AR185" s="267"/>
      <c r="AS185" s="267"/>
      <c r="AT185" s="267"/>
      <c r="AW185" s="267"/>
      <c r="AX185" s="267"/>
      <c r="AY185" s="267"/>
      <c r="AZ185" s="267"/>
      <c r="BG185" s="269"/>
      <c r="BM185" s="269"/>
      <c r="BS185" s="269"/>
      <c r="BU185" s="267"/>
      <c r="BY185" s="267"/>
      <c r="CC185" s="267"/>
      <c r="CG185" s="267"/>
      <c r="CS185" s="267"/>
      <c r="CW185" s="270"/>
      <c r="CX185" s="267"/>
      <c r="DC185" s="267"/>
      <c r="DH185" s="267"/>
      <c r="DM185" s="267"/>
      <c r="DR185" s="267"/>
      <c r="DW185" s="267"/>
      <c r="EB185" s="267"/>
      <c r="EG185" s="267"/>
      <c r="EL185" s="267"/>
      <c r="EQ185" s="267"/>
      <c r="EU185" s="270"/>
      <c r="EV185" s="267"/>
      <c r="FC185" s="267"/>
      <c r="FD185" s="267"/>
      <c r="FE185" s="267"/>
      <c r="FF185" s="267"/>
      <c r="FG185" s="267"/>
      <c r="FL185" s="267"/>
      <c r="FM185" s="267"/>
      <c r="FN185" s="267"/>
      <c r="FO185" s="267"/>
      <c r="FP185" s="267"/>
      <c r="FQ185" s="264"/>
      <c r="FR185" s="264"/>
      <c r="FS185" s="264"/>
      <c r="FT185" s="264"/>
      <c r="FU185" s="267"/>
      <c r="FV185" s="267"/>
      <c r="FW185" s="267"/>
      <c r="FX185" s="267"/>
      <c r="FY185" s="267"/>
      <c r="GD185" s="267"/>
      <c r="GE185" s="267"/>
      <c r="GF185" s="267"/>
      <c r="GG185" s="267"/>
      <c r="GH185" s="267"/>
      <c r="GI185" s="264"/>
      <c r="GJ185" s="264"/>
      <c r="GK185" s="264"/>
      <c r="GL185" s="264"/>
      <c r="HD185" s="267"/>
      <c r="HE185" s="267"/>
      <c r="HF185" s="267"/>
      <c r="HG185" s="267"/>
      <c r="HH185" s="267"/>
      <c r="HI185" s="267"/>
      <c r="HJ185" s="267"/>
      <c r="HK185" s="267"/>
      <c r="HL185" s="267"/>
      <c r="HM185" s="267"/>
      <c r="HN185" s="267"/>
      <c r="HO185" s="267"/>
      <c r="HP185" s="267"/>
      <c r="HQ185" s="267"/>
      <c r="HR185" s="267"/>
      <c r="HS185" s="267"/>
      <c r="HT185" s="267"/>
      <c r="HU185" s="267"/>
      <c r="IH185" s="267"/>
      <c r="IK185" s="267"/>
      <c r="IN185" s="267"/>
      <c r="IQ185" s="267"/>
      <c r="IR185" s="267"/>
      <c r="IS185" s="267"/>
      <c r="IV185" s="267"/>
      <c r="IY185" s="267"/>
    </row>
    <row r="186" spans="10:259">
      <c r="J186" s="267"/>
      <c r="K186" s="267"/>
      <c r="L186" s="267"/>
      <c r="M186" s="267"/>
      <c r="N186" s="267"/>
      <c r="O186" s="267"/>
      <c r="P186" s="267"/>
      <c r="Q186" s="267"/>
      <c r="S186" s="267"/>
      <c r="T186" s="267"/>
      <c r="U186" s="267"/>
      <c r="V186" s="267"/>
      <c r="W186" s="264"/>
      <c r="Y186" s="267"/>
      <c r="Z186" s="267"/>
      <c r="AA186" s="267"/>
      <c r="AB186" s="267"/>
      <c r="AE186" s="267"/>
      <c r="AF186" s="267"/>
      <c r="AG186" s="267"/>
      <c r="AH186" s="267"/>
      <c r="AK186" s="267"/>
      <c r="AL186" s="267"/>
      <c r="AM186" s="267"/>
      <c r="AN186" s="267"/>
      <c r="AQ186" s="267"/>
      <c r="AR186" s="267"/>
      <c r="AS186" s="267"/>
      <c r="AT186" s="267"/>
      <c r="AW186" s="267"/>
      <c r="AX186" s="267"/>
      <c r="AY186" s="267"/>
      <c r="AZ186" s="267"/>
      <c r="BG186" s="269"/>
      <c r="BM186" s="269"/>
      <c r="BS186" s="269"/>
      <c r="BU186" s="267"/>
      <c r="BY186" s="267"/>
      <c r="CC186" s="267"/>
      <c r="CG186" s="267"/>
      <c r="CS186" s="267"/>
      <c r="CW186" s="270"/>
      <c r="CX186" s="267"/>
      <c r="DC186" s="267"/>
      <c r="DH186" s="267"/>
      <c r="DM186" s="267"/>
      <c r="DR186" s="267"/>
      <c r="DW186" s="267"/>
      <c r="EB186" s="267"/>
      <c r="EG186" s="267"/>
      <c r="EL186" s="267"/>
      <c r="EQ186" s="267"/>
      <c r="EU186" s="270"/>
      <c r="EV186" s="267"/>
      <c r="FC186" s="267"/>
      <c r="FD186" s="267"/>
      <c r="FE186" s="267"/>
      <c r="FF186" s="267"/>
      <c r="FG186" s="267"/>
      <c r="FL186" s="267"/>
      <c r="FM186" s="267"/>
      <c r="FN186" s="267"/>
      <c r="FO186" s="267"/>
      <c r="FP186" s="267"/>
      <c r="FQ186" s="264"/>
      <c r="FR186" s="264"/>
      <c r="FS186" s="264"/>
      <c r="FT186" s="264"/>
      <c r="FU186" s="267"/>
      <c r="FV186" s="267"/>
      <c r="FW186" s="267"/>
      <c r="FX186" s="267"/>
      <c r="FY186" s="267"/>
      <c r="GD186" s="267"/>
      <c r="GE186" s="267"/>
      <c r="GF186" s="267"/>
      <c r="GG186" s="267"/>
      <c r="GH186" s="267"/>
      <c r="GI186" s="264"/>
      <c r="GJ186" s="264"/>
      <c r="GK186" s="264"/>
      <c r="GL186" s="264"/>
      <c r="HD186" s="267"/>
      <c r="HE186" s="267"/>
      <c r="HF186" s="267"/>
      <c r="HG186" s="267"/>
      <c r="HH186" s="267"/>
      <c r="HI186" s="267"/>
      <c r="HJ186" s="267"/>
      <c r="HK186" s="267"/>
      <c r="HL186" s="267"/>
      <c r="HM186" s="267"/>
      <c r="HN186" s="267"/>
      <c r="HO186" s="267"/>
      <c r="HP186" s="267"/>
      <c r="HQ186" s="267"/>
      <c r="HR186" s="267"/>
      <c r="HS186" s="267"/>
      <c r="HT186" s="267"/>
      <c r="HU186" s="267"/>
      <c r="IH186" s="267"/>
      <c r="IK186" s="267"/>
      <c r="IN186" s="267"/>
      <c r="IQ186" s="267"/>
      <c r="IR186" s="267"/>
      <c r="IS186" s="267"/>
      <c r="IV186" s="267"/>
      <c r="IY186" s="267"/>
    </row>
    <row r="187" spans="10:259">
      <c r="J187" s="267"/>
      <c r="K187" s="267"/>
      <c r="L187" s="267"/>
      <c r="M187" s="267"/>
      <c r="N187" s="267"/>
      <c r="O187" s="267"/>
      <c r="P187" s="267"/>
      <c r="Q187" s="267"/>
      <c r="S187" s="267"/>
      <c r="T187" s="267"/>
      <c r="U187" s="267"/>
      <c r="V187" s="267"/>
      <c r="W187" s="264"/>
      <c r="Y187" s="267"/>
      <c r="Z187" s="267"/>
      <c r="AA187" s="267"/>
      <c r="AB187" s="267"/>
      <c r="AE187" s="267"/>
      <c r="AF187" s="267"/>
      <c r="AG187" s="267"/>
      <c r="AH187" s="267"/>
      <c r="AK187" s="267"/>
      <c r="AL187" s="267"/>
      <c r="AM187" s="267"/>
      <c r="AN187" s="267"/>
      <c r="AQ187" s="267"/>
      <c r="AR187" s="267"/>
      <c r="AS187" s="267"/>
      <c r="AT187" s="267"/>
      <c r="AW187" s="267"/>
      <c r="AX187" s="267"/>
      <c r="AY187" s="267"/>
      <c r="AZ187" s="267"/>
      <c r="BG187" s="269"/>
      <c r="BM187" s="269"/>
      <c r="BS187" s="269"/>
      <c r="BU187" s="267"/>
      <c r="BY187" s="267"/>
      <c r="CC187" s="267"/>
      <c r="CG187" s="267"/>
      <c r="CS187" s="267"/>
      <c r="CW187" s="270"/>
      <c r="CX187" s="267"/>
      <c r="DC187" s="267"/>
      <c r="DH187" s="267"/>
      <c r="DM187" s="267"/>
      <c r="DR187" s="267"/>
      <c r="DW187" s="267"/>
      <c r="EB187" s="267"/>
      <c r="EG187" s="267"/>
      <c r="EL187" s="267"/>
      <c r="EQ187" s="267"/>
      <c r="EU187" s="270"/>
      <c r="EV187" s="267"/>
      <c r="FC187" s="267"/>
      <c r="FD187" s="267"/>
      <c r="FE187" s="267"/>
      <c r="FF187" s="267"/>
      <c r="FG187" s="267"/>
      <c r="FL187" s="267"/>
      <c r="FM187" s="267"/>
      <c r="FN187" s="267"/>
      <c r="FO187" s="267"/>
      <c r="FP187" s="267"/>
      <c r="FQ187" s="264"/>
      <c r="FR187" s="264"/>
      <c r="FS187" s="264"/>
      <c r="FT187" s="264"/>
      <c r="FU187" s="267"/>
      <c r="FV187" s="267"/>
      <c r="FW187" s="267"/>
      <c r="FX187" s="267"/>
      <c r="FY187" s="267"/>
      <c r="GD187" s="267"/>
      <c r="GE187" s="267"/>
      <c r="GF187" s="267"/>
      <c r="GG187" s="267"/>
      <c r="GH187" s="267"/>
      <c r="GI187" s="264"/>
      <c r="GJ187" s="264"/>
      <c r="GK187" s="264"/>
      <c r="GL187" s="264"/>
      <c r="HD187" s="267"/>
      <c r="HE187" s="267"/>
      <c r="HF187" s="267"/>
      <c r="HG187" s="267"/>
      <c r="HH187" s="267"/>
      <c r="HI187" s="267"/>
      <c r="HJ187" s="267"/>
      <c r="HK187" s="267"/>
      <c r="HL187" s="267"/>
      <c r="HM187" s="267"/>
      <c r="HN187" s="267"/>
      <c r="HO187" s="267"/>
      <c r="HP187" s="267"/>
      <c r="HQ187" s="267"/>
      <c r="HR187" s="267"/>
      <c r="HS187" s="267"/>
      <c r="HT187" s="267"/>
      <c r="HU187" s="267"/>
      <c r="IH187" s="267"/>
      <c r="IK187" s="267"/>
      <c r="IN187" s="267"/>
      <c r="IQ187" s="267"/>
      <c r="IR187" s="267"/>
      <c r="IS187" s="267"/>
      <c r="IV187" s="267"/>
      <c r="IY187" s="267"/>
    </row>
    <row r="188" spans="10:259">
      <c r="J188" s="267"/>
      <c r="K188" s="267"/>
      <c r="L188" s="267"/>
      <c r="M188" s="267"/>
      <c r="N188" s="267"/>
      <c r="O188" s="267"/>
      <c r="P188" s="267"/>
      <c r="Q188" s="267"/>
      <c r="S188" s="267"/>
      <c r="T188" s="267"/>
      <c r="U188" s="267"/>
      <c r="V188" s="267"/>
      <c r="W188" s="264"/>
      <c r="Y188" s="267"/>
      <c r="Z188" s="267"/>
      <c r="AA188" s="267"/>
      <c r="AB188" s="267"/>
      <c r="AE188" s="267"/>
      <c r="AF188" s="267"/>
      <c r="AG188" s="267"/>
      <c r="AH188" s="267"/>
      <c r="AK188" s="267"/>
      <c r="AL188" s="267"/>
      <c r="AM188" s="267"/>
      <c r="AN188" s="267"/>
      <c r="AQ188" s="267"/>
      <c r="AR188" s="267"/>
      <c r="AS188" s="267"/>
      <c r="AT188" s="267"/>
      <c r="AW188" s="267"/>
      <c r="AX188" s="267"/>
      <c r="AY188" s="267"/>
      <c r="AZ188" s="267"/>
      <c r="BG188" s="269"/>
      <c r="BM188" s="269"/>
      <c r="BS188" s="269"/>
      <c r="BU188" s="267"/>
      <c r="BY188" s="267"/>
      <c r="CC188" s="267"/>
      <c r="CG188" s="267"/>
      <c r="CS188" s="267"/>
      <c r="CW188" s="270"/>
      <c r="CX188" s="267"/>
      <c r="DC188" s="267"/>
      <c r="DH188" s="267"/>
      <c r="DM188" s="267"/>
      <c r="DR188" s="267"/>
      <c r="DW188" s="267"/>
      <c r="EB188" s="267"/>
      <c r="EG188" s="267"/>
      <c r="EL188" s="267"/>
      <c r="EQ188" s="267"/>
      <c r="EU188" s="270"/>
      <c r="EV188" s="267"/>
      <c r="FC188" s="267"/>
      <c r="FD188" s="267"/>
      <c r="FE188" s="267"/>
      <c r="FF188" s="267"/>
      <c r="FG188" s="267"/>
      <c r="FL188" s="267"/>
      <c r="FM188" s="267"/>
      <c r="FN188" s="267"/>
      <c r="FO188" s="267"/>
      <c r="FP188" s="267"/>
      <c r="FQ188" s="264"/>
      <c r="FR188" s="264"/>
      <c r="FS188" s="264"/>
      <c r="FT188" s="264"/>
      <c r="FU188" s="267"/>
      <c r="FV188" s="267"/>
      <c r="FW188" s="267"/>
      <c r="FX188" s="267"/>
      <c r="FY188" s="267"/>
      <c r="GD188" s="267"/>
      <c r="GE188" s="267"/>
      <c r="GF188" s="267"/>
      <c r="GG188" s="267"/>
      <c r="GH188" s="267"/>
      <c r="GI188" s="264"/>
      <c r="GJ188" s="264"/>
      <c r="GK188" s="264"/>
      <c r="GL188" s="264"/>
      <c r="HD188" s="267"/>
      <c r="HE188" s="267"/>
      <c r="HF188" s="267"/>
      <c r="HG188" s="267"/>
      <c r="HH188" s="267"/>
      <c r="HI188" s="267"/>
      <c r="HJ188" s="267"/>
      <c r="HK188" s="267"/>
      <c r="HL188" s="267"/>
      <c r="HM188" s="267"/>
      <c r="HN188" s="267"/>
      <c r="HO188" s="267"/>
      <c r="HP188" s="267"/>
      <c r="HQ188" s="267"/>
      <c r="HR188" s="267"/>
      <c r="HS188" s="267"/>
      <c r="HT188" s="267"/>
      <c r="HU188" s="267"/>
      <c r="IH188" s="267"/>
      <c r="IK188" s="267"/>
      <c r="IN188" s="267"/>
      <c r="IQ188" s="267"/>
      <c r="IR188" s="267"/>
      <c r="IS188" s="267"/>
      <c r="IV188" s="267"/>
      <c r="IY188" s="267"/>
    </row>
    <row r="189" spans="10:259">
      <c r="J189" s="267"/>
      <c r="K189" s="267"/>
      <c r="L189" s="267"/>
      <c r="M189" s="267"/>
      <c r="N189" s="267"/>
      <c r="O189" s="267"/>
      <c r="P189" s="267"/>
      <c r="Q189" s="267"/>
      <c r="S189" s="267"/>
      <c r="T189" s="267"/>
      <c r="U189" s="267"/>
      <c r="V189" s="267"/>
      <c r="W189" s="264"/>
      <c r="Y189" s="267"/>
      <c r="Z189" s="267"/>
      <c r="AA189" s="267"/>
      <c r="AB189" s="267"/>
      <c r="AE189" s="267"/>
      <c r="AF189" s="267"/>
      <c r="AG189" s="267"/>
      <c r="AH189" s="267"/>
      <c r="AK189" s="267"/>
      <c r="AL189" s="267"/>
      <c r="AM189" s="267"/>
      <c r="AN189" s="267"/>
      <c r="AQ189" s="267"/>
      <c r="AR189" s="267"/>
      <c r="AS189" s="267"/>
      <c r="AT189" s="267"/>
      <c r="AW189" s="267"/>
      <c r="AX189" s="267"/>
      <c r="AY189" s="267"/>
      <c r="AZ189" s="267"/>
      <c r="BG189" s="269"/>
      <c r="BM189" s="269"/>
      <c r="BS189" s="269"/>
      <c r="BU189" s="267"/>
      <c r="BY189" s="267"/>
      <c r="CC189" s="267"/>
      <c r="CG189" s="267"/>
      <c r="CS189" s="267"/>
      <c r="CW189" s="270"/>
      <c r="CX189" s="267"/>
      <c r="DC189" s="267"/>
      <c r="DH189" s="267"/>
      <c r="DM189" s="267"/>
      <c r="DR189" s="267"/>
      <c r="DW189" s="267"/>
      <c r="EB189" s="267"/>
      <c r="EG189" s="267"/>
      <c r="EL189" s="267"/>
      <c r="EQ189" s="267"/>
      <c r="EU189" s="270"/>
      <c r="EV189" s="267"/>
      <c r="FC189" s="267"/>
      <c r="FD189" s="267"/>
      <c r="FE189" s="267"/>
      <c r="FF189" s="267"/>
      <c r="FG189" s="267"/>
      <c r="FL189" s="267"/>
      <c r="FM189" s="267"/>
      <c r="FN189" s="267"/>
      <c r="FO189" s="267"/>
      <c r="FP189" s="267"/>
      <c r="FQ189" s="264"/>
      <c r="FR189" s="264"/>
      <c r="FS189" s="264"/>
      <c r="FT189" s="264"/>
      <c r="FU189" s="267"/>
      <c r="FV189" s="267"/>
      <c r="FW189" s="267"/>
      <c r="FX189" s="267"/>
      <c r="FY189" s="267"/>
      <c r="GD189" s="267"/>
      <c r="GE189" s="267"/>
      <c r="GF189" s="267"/>
      <c r="GG189" s="267"/>
      <c r="GH189" s="267"/>
      <c r="GI189" s="264"/>
      <c r="GJ189" s="264"/>
      <c r="GK189" s="264"/>
      <c r="GL189" s="264"/>
      <c r="HD189" s="267"/>
      <c r="HE189" s="267"/>
      <c r="HF189" s="267"/>
      <c r="HG189" s="267"/>
      <c r="HH189" s="267"/>
      <c r="HI189" s="267"/>
      <c r="HJ189" s="267"/>
      <c r="HK189" s="267"/>
      <c r="HL189" s="267"/>
      <c r="HM189" s="267"/>
      <c r="HN189" s="267"/>
      <c r="HO189" s="267"/>
      <c r="HP189" s="267"/>
      <c r="HQ189" s="267"/>
      <c r="HR189" s="267"/>
      <c r="HS189" s="267"/>
      <c r="HT189" s="267"/>
      <c r="HU189" s="267"/>
      <c r="IH189" s="267"/>
      <c r="IK189" s="267"/>
      <c r="IN189" s="267"/>
      <c r="IQ189" s="267"/>
      <c r="IR189" s="267"/>
      <c r="IS189" s="267"/>
      <c r="IT189" s="274"/>
      <c r="IU189" s="274"/>
      <c r="IV189" s="272"/>
      <c r="IW189" s="274"/>
      <c r="IX189" s="274"/>
      <c r="IY189" s="272"/>
    </row>
    <row r="190" spans="10:259">
      <c r="J190" s="267"/>
      <c r="K190" s="267"/>
      <c r="L190" s="267"/>
      <c r="M190" s="267"/>
      <c r="N190" s="267"/>
      <c r="O190" s="267"/>
      <c r="P190" s="267"/>
      <c r="Q190" s="267"/>
      <c r="S190" s="267"/>
      <c r="T190" s="267"/>
      <c r="U190" s="267"/>
      <c r="V190" s="267"/>
      <c r="W190" s="264"/>
      <c r="Y190" s="267"/>
      <c r="Z190" s="267"/>
      <c r="AA190" s="267"/>
      <c r="AB190" s="267"/>
      <c r="AE190" s="267"/>
      <c r="AF190" s="267"/>
      <c r="AG190" s="267"/>
      <c r="AH190" s="267"/>
      <c r="AK190" s="267"/>
      <c r="AL190" s="267"/>
      <c r="AM190" s="267"/>
      <c r="AN190" s="267"/>
      <c r="AQ190" s="267"/>
      <c r="AR190" s="267"/>
      <c r="AS190" s="267"/>
      <c r="AT190" s="267"/>
      <c r="AW190" s="267"/>
      <c r="AX190" s="267"/>
      <c r="AY190" s="267"/>
      <c r="AZ190" s="267"/>
      <c r="BG190" s="269"/>
      <c r="BM190" s="269"/>
      <c r="BS190" s="269"/>
      <c r="BU190" s="267"/>
      <c r="BY190" s="267"/>
      <c r="CC190" s="267"/>
      <c r="CG190" s="267"/>
      <c r="CS190" s="267"/>
      <c r="CW190" s="270"/>
      <c r="CX190" s="267"/>
      <c r="DC190" s="267"/>
      <c r="DH190" s="267"/>
      <c r="DM190" s="267"/>
      <c r="DR190" s="267"/>
      <c r="DW190" s="267"/>
      <c r="EB190" s="267"/>
      <c r="EG190" s="267"/>
      <c r="EL190" s="267"/>
      <c r="EQ190" s="267"/>
      <c r="EU190" s="270"/>
      <c r="EV190" s="267"/>
      <c r="FC190" s="267"/>
      <c r="FD190" s="267"/>
      <c r="FE190" s="267"/>
      <c r="FF190" s="267"/>
      <c r="FG190" s="267"/>
      <c r="FL190" s="267"/>
      <c r="FM190" s="267"/>
      <c r="FN190" s="267"/>
      <c r="FO190" s="267"/>
      <c r="FP190" s="267"/>
      <c r="FQ190" s="264"/>
      <c r="FR190" s="264"/>
      <c r="FS190" s="264"/>
      <c r="FT190" s="264"/>
      <c r="FU190" s="267"/>
      <c r="FV190" s="267"/>
      <c r="FW190" s="267"/>
      <c r="FX190" s="267"/>
      <c r="FY190" s="267"/>
      <c r="GD190" s="267"/>
      <c r="GE190" s="267"/>
      <c r="GF190" s="267"/>
      <c r="GG190" s="267"/>
      <c r="GH190" s="267"/>
      <c r="GI190" s="264"/>
      <c r="GJ190" s="264"/>
      <c r="GK190" s="264"/>
      <c r="GL190" s="264"/>
      <c r="HD190" s="267"/>
      <c r="HE190" s="267"/>
      <c r="HF190" s="267"/>
      <c r="HG190" s="267"/>
      <c r="HH190" s="267"/>
      <c r="HI190" s="267"/>
      <c r="HJ190" s="267"/>
      <c r="HK190" s="267"/>
      <c r="HL190" s="267"/>
      <c r="HM190" s="267"/>
      <c r="HN190" s="267"/>
      <c r="HO190" s="267"/>
      <c r="HP190" s="267"/>
      <c r="HQ190" s="267"/>
      <c r="HR190" s="267"/>
      <c r="HS190" s="267"/>
      <c r="HT190" s="267"/>
      <c r="HU190" s="267"/>
      <c r="IH190" s="267"/>
      <c r="IK190" s="267"/>
      <c r="IN190" s="267"/>
      <c r="IQ190" s="267"/>
      <c r="IR190" s="267"/>
      <c r="IS190" s="267"/>
      <c r="IT190" s="274"/>
      <c r="IU190" s="274"/>
      <c r="IV190" s="272"/>
      <c r="IW190" s="274"/>
      <c r="IX190" s="274"/>
      <c r="IY190" s="272"/>
    </row>
    <row r="191" spans="10:259">
      <c r="J191" s="267"/>
      <c r="K191" s="267"/>
      <c r="L191" s="267"/>
      <c r="M191" s="267"/>
      <c r="N191" s="267"/>
      <c r="O191" s="267"/>
      <c r="P191" s="267"/>
      <c r="Q191" s="267"/>
      <c r="S191" s="267"/>
      <c r="T191" s="267"/>
      <c r="U191" s="267"/>
      <c r="V191" s="267"/>
      <c r="W191" s="264"/>
      <c r="Y191" s="267"/>
      <c r="Z191" s="267"/>
      <c r="AA191" s="267"/>
      <c r="AB191" s="267"/>
      <c r="AE191" s="267"/>
      <c r="AF191" s="267"/>
      <c r="AG191" s="267"/>
      <c r="AH191" s="267"/>
      <c r="AK191" s="267"/>
      <c r="AL191" s="267"/>
      <c r="AM191" s="267"/>
      <c r="AN191" s="267"/>
      <c r="AQ191" s="267"/>
      <c r="AR191" s="267"/>
      <c r="AS191" s="267"/>
      <c r="AT191" s="267"/>
      <c r="AW191" s="267"/>
      <c r="AX191" s="267"/>
      <c r="AY191" s="267"/>
      <c r="AZ191" s="267"/>
      <c r="BG191" s="269"/>
      <c r="BM191" s="269"/>
      <c r="BS191" s="269"/>
      <c r="BU191" s="267"/>
      <c r="BY191" s="267"/>
      <c r="CC191" s="267"/>
      <c r="CG191" s="267"/>
      <c r="CS191" s="267"/>
      <c r="CW191" s="270"/>
      <c r="CX191" s="267"/>
      <c r="DC191" s="267"/>
      <c r="DH191" s="267"/>
      <c r="DM191" s="267"/>
      <c r="DR191" s="267"/>
      <c r="DW191" s="267"/>
      <c r="EB191" s="267"/>
      <c r="EG191" s="267"/>
      <c r="EL191" s="267"/>
      <c r="EQ191" s="267"/>
      <c r="EU191" s="270"/>
      <c r="EV191" s="267"/>
      <c r="FC191" s="267"/>
      <c r="FD191" s="267"/>
      <c r="FE191" s="267"/>
      <c r="FF191" s="267"/>
      <c r="FG191" s="267"/>
      <c r="FL191" s="267"/>
      <c r="FM191" s="267"/>
      <c r="FN191" s="267"/>
      <c r="FO191" s="267"/>
      <c r="FP191" s="267"/>
      <c r="FQ191" s="264"/>
      <c r="FR191" s="264"/>
      <c r="FS191" s="264"/>
      <c r="FT191" s="264"/>
      <c r="FU191" s="267"/>
      <c r="FV191" s="267"/>
      <c r="FW191" s="267"/>
      <c r="FX191" s="267"/>
      <c r="FY191" s="267"/>
      <c r="GD191" s="267"/>
      <c r="GE191" s="267"/>
      <c r="GF191" s="267"/>
      <c r="GG191" s="267"/>
      <c r="GH191" s="267"/>
      <c r="GI191" s="264"/>
      <c r="GJ191" s="264"/>
      <c r="GK191" s="264"/>
      <c r="GL191" s="264"/>
      <c r="HD191" s="267"/>
      <c r="HE191" s="267"/>
      <c r="HF191" s="267"/>
      <c r="HG191" s="267"/>
      <c r="HH191" s="267"/>
      <c r="HI191" s="267"/>
      <c r="HJ191" s="267"/>
      <c r="HK191" s="267"/>
      <c r="HL191" s="267"/>
      <c r="HM191" s="267"/>
      <c r="HN191" s="267"/>
      <c r="HO191" s="267"/>
      <c r="HP191" s="267"/>
      <c r="HQ191" s="267"/>
      <c r="HR191" s="267"/>
      <c r="HS191" s="267"/>
      <c r="HT191" s="267"/>
      <c r="HU191" s="267"/>
      <c r="IH191" s="267"/>
      <c r="IK191" s="267"/>
      <c r="IN191" s="267"/>
      <c r="IQ191" s="267"/>
      <c r="IR191" s="267"/>
      <c r="IS191" s="267"/>
      <c r="IT191" s="274"/>
      <c r="IU191" s="274"/>
      <c r="IV191" s="272"/>
      <c r="IW191" s="274"/>
      <c r="IX191" s="274"/>
      <c r="IY191" s="272"/>
    </row>
    <row r="192" spans="10:259">
      <c r="J192" s="267"/>
      <c r="K192" s="267"/>
      <c r="L192" s="267"/>
      <c r="M192" s="267"/>
      <c r="N192" s="267"/>
      <c r="O192" s="267"/>
      <c r="P192" s="267"/>
      <c r="Q192" s="267"/>
      <c r="S192" s="267"/>
      <c r="T192" s="267"/>
      <c r="U192" s="267"/>
      <c r="V192" s="267"/>
      <c r="W192" s="264"/>
      <c r="Y192" s="267"/>
      <c r="Z192" s="267"/>
      <c r="AA192" s="267"/>
      <c r="AB192" s="267"/>
      <c r="AE192" s="267"/>
      <c r="AF192" s="267"/>
      <c r="AG192" s="267"/>
      <c r="AH192" s="267"/>
      <c r="AK192" s="267"/>
      <c r="AL192" s="267"/>
      <c r="AM192" s="267"/>
      <c r="AN192" s="267"/>
      <c r="AQ192" s="267"/>
      <c r="AR192" s="267"/>
      <c r="AS192" s="267"/>
      <c r="AT192" s="267"/>
      <c r="AW192" s="267"/>
      <c r="AX192" s="267"/>
      <c r="AY192" s="267"/>
      <c r="AZ192" s="267"/>
      <c r="BG192" s="269"/>
      <c r="BM192" s="269"/>
      <c r="BS192" s="269"/>
      <c r="BU192" s="267"/>
      <c r="BY192" s="267"/>
      <c r="CC192" s="267"/>
      <c r="CG192" s="267"/>
      <c r="CS192" s="267"/>
      <c r="CW192" s="270"/>
      <c r="CX192" s="267"/>
      <c r="DC192" s="267"/>
      <c r="DH192" s="267"/>
      <c r="DM192" s="267"/>
      <c r="DR192" s="267"/>
      <c r="DW192" s="267"/>
      <c r="EB192" s="267"/>
      <c r="EG192" s="267"/>
      <c r="EL192" s="267"/>
      <c r="EQ192" s="267"/>
      <c r="EU192" s="270"/>
      <c r="EV192" s="267"/>
      <c r="FC192" s="267"/>
      <c r="FD192" s="267"/>
      <c r="FE192" s="267"/>
      <c r="FF192" s="267"/>
      <c r="FG192" s="267"/>
      <c r="FL192" s="267"/>
      <c r="FM192" s="267"/>
      <c r="FN192" s="267"/>
      <c r="FO192" s="267"/>
      <c r="FP192" s="267"/>
      <c r="FQ192" s="264"/>
      <c r="FR192" s="264"/>
      <c r="FS192" s="264"/>
      <c r="FT192" s="264"/>
      <c r="FU192" s="267"/>
      <c r="FV192" s="267"/>
      <c r="FW192" s="267"/>
      <c r="FX192" s="267"/>
      <c r="FY192" s="267"/>
      <c r="GD192" s="267"/>
      <c r="GE192" s="267"/>
      <c r="GF192" s="267"/>
      <c r="GG192" s="267"/>
      <c r="GH192" s="267"/>
      <c r="GI192" s="264"/>
      <c r="GJ192" s="264"/>
      <c r="GK192" s="264"/>
      <c r="GL192" s="264"/>
      <c r="HD192" s="267"/>
      <c r="HE192" s="267"/>
      <c r="HF192" s="267"/>
      <c r="HG192" s="267"/>
      <c r="HH192" s="267"/>
      <c r="HI192" s="267"/>
      <c r="HJ192" s="267"/>
      <c r="HK192" s="267"/>
      <c r="HL192" s="267"/>
      <c r="HM192" s="267"/>
      <c r="HN192" s="267"/>
      <c r="HO192" s="267"/>
      <c r="HP192" s="267"/>
      <c r="HQ192" s="267"/>
      <c r="HR192" s="267"/>
      <c r="HS192" s="267"/>
      <c r="HT192" s="267"/>
      <c r="HU192" s="267"/>
      <c r="IH192" s="267"/>
      <c r="IK192" s="267"/>
      <c r="IN192" s="267"/>
      <c r="IQ192" s="267"/>
      <c r="IR192" s="267"/>
      <c r="IS192" s="267"/>
      <c r="IT192" s="274"/>
      <c r="IU192" s="274"/>
      <c r="IV192" s="272"/>
      <c r="IW192" s="274"/>
      <c r="IX192" s="274"/>
      <c r="IY192" s="272"/>
    </row>
    <row r="193" spans="10:259">
      <c r="J193" s="267"/>
      <c r="K193" s="267"/>
      <c r="L193" s="267"/>
      <c r="M193" s="267"/>
      <c r="N193" s="267"/>
      <c r="O193" s="267"/>
      <c r="P193" s="267"/>
      <c r="Q193" s="267"/>
      <c r="S193" s="267"/>
      <c r="T193" s="267"/>
      <c r="U193" s="267"/>
      <c r="V193" s="267"/>
      <c r="W193" s="264"/>
      <c r="Y193" s="267"/>
      <c r="Z193" s="267"/>
      <c r="AA193" s="267"/>
      <c r="AB193" s="267"/>
      <c r="AE193" s="267"/>
      <c r="AF193" s="267"/>
      <c r="AG193" s="267"/>
      <c r="AH193" s="267"/>
      <c r="AK193" s="267"/>
      <c r="AL193" s="267"/>
      <c r="AM193" s="267"/>
      <c r="AN193" s="267"/>
      <c r="AQ193" s="267"/>
      <c r="AR193" s="267"/>
      <c r="AS193" s="267"/>
      <c r="AT193" s="267"/>
      <c r="AW193" s="267"/>
      <c r="AX193" s="267"/>
      <c r="AY193" s="267"/>
      <c r="AZ193" s="267"/>
      <c r="BG193" s="269"/>
      <c r="BM193" s="269"/>
      <c r="BS193" s="269"/>
      <c r="BU193" s="267"/>
      <c r="BY193" s="267"/>
      <c r="CC193" s="267"/>
      <c r="CG193" s="267"/>
      <c r="CS193" s="267"/>
      <c r="CW193" s="270"/>
      <c r="CX193" s="267"/>
      <c r="DC193" s="267"/>
      <c r="DH193" s="267"/>
      <c r="DM193" s="267"/>
      <c r="DR193" s="267"/>
      <c r="DW193" s="267"/>
      <c r="EB193" s="267"/>
      <c r="EG193" s="267"/>
      <c r="EL193" s="267"/>
      <c r="EQ193" s="267"/>
      <c r="EU193" s="270"/>
      <c r="EV193" s="267"/>
      <c r="FC193" s="267"/>
      <c r="FD193" s="267"/>
      <c r="FE193" s="267"/>
      <c r="FF193" s="267"/>
      <c r="FG193" s="267"/>
      <c r="FL193" s="267"/>
      <c r="FM193" s="267"/>
      <c r="FN193" s="267"/>
      <c r="FO193" s="267"/>
      <c r="FP193" s="267"/>
      <c r="FQ193" s="264"/>
      <c r="FR193" s="264"/>
      <c r="FS193" s="264"/>
      <c r="FT193" s="264"/>
      <c r="FU193" s="267"/>
      <c r="FV193" s="267"/>
      <c r="FW193" s="267"/>
      <c r="FX193" s="267"/>
      <c r="FY193" s="267"/>
      <c r="GD193" s="267"/>
      <c r="GE193" s="267"/>
      <c r="GF193" s="267"/>
      <c r="GG193" s="267"/>
      <c r="GH193" s="267"/>
      <c r="GI193" s="264"/>
      <c r="GJ193" s="264"/>
      <c r="GK193" s="264"/>
      <c r="GL193" s="264"/>
      <c r="HD193" s="267"/>
      <c r="HE193" s="267"/>
      <c r="HF193" s="267"/>
      <c r="HG193" s="267"/>
      <c r="HH193" s="267"/>
      <c r="HI193" s="267"/>
      <c r="HJ193" s="267"/>
      <c r="HK193" s="267"/>
      <c r="HL193" s="267"/>
      <c r="HM193" s="267"/>
      <c r="HN193" s="267"/>
      <c r="HO193" s="267"/>
      <c r="HP193" s="267"/>
      <c r="HQ193" s="267"/>
      <c r="HR193" s="267"/>
      <c r="HS193" s="267"/>
      <c r="HT193" s="267"/>
      <c r="HU193" s="267"/>
      <c r="IH193" s="267"/>
      <c r="IK193" s="267"/>
      <c r="IN193" s="267"/>
      <c r="IQ193" s="267"/>
      <c r="IR193" s="267"/>
      <c r="IS193" s="267"/>
      <c r="IT193" s="274"/>
      <c r="IU193" s="274"/>
      <c r="IV193" s="272"/>
      <c r="IW193" s="274"/>
      <c r="IX193" s="274"/>
      <c r="IY193" s="272"/>
    </row>
    <row r="194" spans="10:259">
      <c r="J194" s="267"/>
      <c r="K194" s="267"/>
      <c r="L194" s="267"/>
      <c r="M194" s="267"/>
      <c r="N194" s="267"/>
      <c r="O194" s="267"/>
      <c r="P194" s="267"/>
      <c r="Q194" s="267"/>
      <c r="S194" s="267"/>
      <c r="T194" s="267"/>
      <c r="U194" s="267"/>
      <c r="V194" s="267"/>
      <c r="W194" s="264"/>
      <c r="Y194" s="267"/>
      <c r="Z194" s="267"/>
      <c r="AA194" s="267"/>
      <c r="AB194" s="267"/>
      <c r="AE194" s="267"/>
      <c r="AF194" s="267"/>
      <c r="AG194" s="267"/>
      <c r="AH194" s="267"/>
      <c r="AK194" s="267"/>
      <c r="AL194" s="267"/>
      <c r="AM194" s="267"/>
      <c r="AN194" s="267"/>
      <c r="AQ194" s="267"/>
      <c r="AR194" s="267"/>
      <c r="AS194" s="267"/>
      <c r="AT194" s="267"/>
      <c r="AW194" s="267"/>
      <c r="AX194" s="267"/>
      <c r="AY194" s="267"/>
      <c r="AZ194" s="267"/>
      <c r="BG194" s="269"/>
      <c r="BM194" s="269"/>
      <c r="BS194" s="269"/>
      <c r="BU194" s="267"/>
      <c r="BY194" s="267"/>
      <c r="CC194" s="267"/>
      <c r="CG194" s="267"/>
      <c r="CS194" s="267"/>
      <c r="CW194" s="270"/>
      <c r="CX194" s="267"/>
      <c r="DC194" s="267"/>
      <c r="DH194" s="267"/>
      <c r="DM194" s="267"/>
      <c r="DR194" s="267"/>
      <c r="DW194" s="267"/>
      <c r="EB194" s="267"/>
      <c r="EG194" s="267"/>
      <c r="EL194" s="267"/>
      <c r="EQ194" s="267"/>
      <c r="EU194" s="270"/>
      <c r="EV194" s="267"/>
      <c r="FC194" s="267"/>
      <c r="FD194" s="267"/>
      <c r="FE194" s="267"/>
      <c r="FF194" s="267"/>
      <c r="FG194" s="267"/>
      <c r="FL194" s="267"/>
      <c r="FM194" s="267"/>
      <c r="FN194" s="267"/>
      <c r="FO194" s="267"/>
      <c r="FP194" s="267"/>
      <c r="FQ194" s="264"/>
      <c r="FR194" s="264"/>
      <c r="FS194" s="264"/>
      <c r="FT194" s="264"/>
      <c r="FU194" s="267"/>
      <c r="FV194" s="267"/>
      <c r="FW194" s="267"/>
      <c r="FX194" s="267"/>
      <c r="FY194" s="267"/>
      <c r="GD194" s="267"/>
      <c r="GE194" s="267"/>
      <c r="GF194" s="267"/>
      <c r="GG194" s="267"/>
      <c r="GH194" s="267"/>
      <c r="GI194" s="264"/>
      <c r="GJ194" s="264"/>
      <c r="GK194" s="264"/>
      <c r="GL194" s="264"/>
      <c r="HD194" s="267"/>
      <c r="HE194" s="267"/>
      <c r="HF194" s="267"/>
      <c r="HG194" s="267"/>
      <c r="HH194" s="267"/>
      <c r="HI194" s="267"/>
      <c r="HJ194" s="267"/>
      <c r="HK194" s="267"/>
      <c r="HL194" s="267"/>
      <c r="HM194" s="267"/>
      <c r="HN194" s="267"/>
      <c r="HO194" s="267"/>
      <c r="HP194" s="267"/>
      <c r="HQ194" s="267"/>
      <c r="HR194" s="267"/>
      <c r="HS194" s="267"/>
      <c r="HT194" s="267"/>
      <c r="HU194" s="267"/>
      <c r="IH194" s="267"/>
      <c r="IK194" s="267"/>
      <c r="IN194" s="267"/>
      <c r="IQ194" s="267"/>
      <c r="IR194" s="267"/>
      <c r="IS194" s="267"/>
      <c r="IT194" s="274"/>
      <c r="IU194" s="274"/>
      <c r="IV194" s="272"/>
      <c r="IW194" s="274"/>
      <c r="IX194" s="274"/>
      <c r="IY194" s="272"/>
    </row>
    <row r="195" spans="10:259">
      <c r="J195" s="267"/>
      <c r="K195" s="267"/>
      <c r="L195" s="267"/>
      <c r="M195" s="267"/>
      <c r="N195" s="267"/>
      <c r="O195" s="267"/>
      <c r="P195" s="267"/>
      <c r="Q195" s="267"/>
      <c r="S195" s="267"/>
      <c r="T195" s="267"/>
      <c r="U195" s="267"/>
      <c r="V195" s="267"/>
      <c r="W195" s="264"/>
      <c r="Y195" s="267"/>
      <c r="Z195" s="267"/>
      <c r="AA195" s="267"/>
      <c r="AB195" s="267"/>
      <c r="AE195" s="267"/>
      <c r="AF195" s="267"/>
      <c r="AG195" s="267"/>
      <c r="AH195" s="267"/>
      <c r="AK195" s="267"/>
      <c r="AL195" s="267"/>
      <c r="AM195" s="267"/>
      <c r="AN195" s="267"/>
      <c r="AQ195" s="267"/>
      <c r="AR195" s="267"/>
      <c r="AS195" s="267"/>
      <c r="AT195" s="267"/>
      <c r="AW195" s="267"/>
      <c r="AX195" s="267"/>
      <c r="AY195" s="267"/>
      <c r="AZ195" s="267"/>
      <c r="BG195" s="269"/>
      <c r="BM195" s="269"/>
      <c r="BS195" s="269"/>
      <c r="BU195" s="267"/>
      <c r="BY195" s="267"/>
      <c r="CC195" s="267"/>
      <c r="CG195" s="267"/>
      <c r="CS195" s="267"/>
      <c r="CW195" s="270"/>
      <c r="CX195" s="267"/>
      <c r="DC195" s="267"/>
      <c r="DH195" s="267"/>
      <c r="DM195" s="267"/>
      <c r="DR195" s="267"/>
      <c r="DW195" s="267"/>
      <c r="EB195" s="267"/>
      <c r="EG195" s="267"/>
      <c r="EL195" s="267"/>
      <c r="EQ195" s="267"/>
      <c r="EU195" s="270"/>
      <c r="EV195" s="267"/>
      <c r="FC195" s="267"/>
      <c r="FD195" s="267"/>
      <c r="FE195" s="267"/>
      <c r="FF195" s="267"/>
      <c r="FG195" s="267"/>
      <c r="FL195" s="267"/>
      <c r="FM195" s="267"/>
      <c r="FN195" s="267"/>
      <c r="FO195" s="267"/>
      <c r="FP195" s="267"/>
      <c r="FQ195" s="264"/>
      <c r="FR195" s="264"/>
      <c r="FS195" s="264"/>
      <c r="FT195" s="264"/>
      <c r="FU195" s="267"/>
      <c r="FV195" s="267"/>
      <c r="FW195" s="267"/>
      <c r="FX195" s="267"/>
      <c r="FY195" s="267"/>
      <c r="GD195" s="267"/>
      <c r="GE195" s="267"/>
      <c r="GF195" s="267"/>
      <c r="GG195" s="267"/>
      <c r="GH195" s="267"/>
      <c r="GI195" s="264"/>
      <c r="GJ195" s="264"/>
      <c r="GK195" s="264"/>
      <c r="GL195" s="264"/>
      <c r="HD195" s="267"/>
      <c r="HE195" s="267"/>
      <c r="HF195" s="267"/>
      <c r="HG195" s="267"/>
      <c r="HH195" s="267"/>
      <c r="HI195" s="267"/>
      <c r="HJ195" s="267"/>
      <c r="HK195" s="267"/>
      <c r="HL195" s="267"/>
      <c r="HM195" s="267"/>
      <c r="HN195" s="267"/>
      <c r="HO195" s="267"/>
      <c r="HP195" s="267"/>
      <c r="HQ195" s="267"/>
      <c r="HR195" s="267"/>
      <c r="HS195" s="267"/>
      <c r="HT195" s="267"/>
      <c r="HU195" s="267"/>
      <c r="IH195" s="267"/>
      <c r="IK195" s="267"/>
      <c r="IN195" s="267"/>
      <c r="IQ195" s="267"/>
      <c r="IR195" s="267"/>
      <c r="IS195" s="267"/>
      <c r="IT195" s="274"/>
      <c r="IU195" s="274"/>
      <c r="IV195" s="272"/>
      <c r="IW195" s="274"/>
      <c r="IX195" s="274"/>
      <c r="IY195" s="272"/>
    </row>
    <row r="196" spans="10:259">
      <c r="J196" s="267"/>
      <c r="K196" s="267"/>
      <c r="L196" s="267"/>
      <c r="M196" s="267"/>
      <c r="N196" s="267"/>
      <c r="O196" s="267"/>
      <c r="P196" s="267"/>
      <c r="Q196" s="267"/>
      <c r="S196" s="267"/>
      <c r="T196" s="267"/>
      <c r="U196" s="267"/>
      <c r="V196" s="267"/>
      <c r="W196" s="264"/>
      <c r="Y196" s="267"/>
      <c r="Z196" s="267"/>
      <c r="AA196" s="267"/>
      <c r="AB196" s="267"/>
      <c r="AE196" s="267"/>
      <c r="AF196" s="267"/>
      <c r="AG196" s="267"/>
      <c r="AH196" s="267"/>
      <c r="AK196" s="267"/>
      <c r="AL196" s="267"/>
      <c r="AM196" s="267"/>
      <c r="AN196" s="267"/>
      <c r="AQ196" s="267"/>
      <c r="AR196" s="267"/>
      <c r="AS196" s="267"/>
      <c r="AT196" s="267"/>
      <c r="AW196" s="267"/>
      <c r="AX196" s="267"/>
      <c r="AY196" s="267"/>
      <c r="AZ196" s="267"/>
      <c r="BG196" s="269"/>
      <c r="BM196" s="269"/>
      <c r="BS196" s="269"/>
      <c r="BU196" s="267"/>
      <c r="BY196" s="267"/>
      <c r="CC196" s="267"/>
      <c r="CG196" s="267"/>
      <c r="CS196" s="267"/>
      <c r="CW196" s="270"/>
      <c r="CX196" s="267"/>
      <c r="DC196" s="267"/>
      <c r="DH196" s="267"/>
      <c r="DM196" s="267"/>
      <c r="DR196" s="267"/>
      <c r="DW196" s="267"/>
      <c r="EB196" s="267"/>
      <c r="EG196" s="267"/>
      <c r="EL196" s="267"/>
      <c r="EQ196" s="267"/>
      <c r="EU196" s="270"/>
      <c r="EV196" s="267"/>
      <c r="FC196" s="267"/>
      <c r="FD196" s="267"/>
      <c r="FE196" s="267"/>
      <c r="FF196" s="267"/>
      <c r="FG196" s="267"/>
      <c r="FL196" s="267"/>
      <c r="FM196" s="267"/>
      <c r="FN196" s="267"/>
      <c r="FO196" s="267"/>
      <c r="FP196" s="267"/>
      <c r="FQ196" s="264"/>
      <c r="FR196" s="264"/>
      <c r="FS196" s="264"/>
      <c r="FT196" s="264"/>
      <c r="FU196" s="267"/>
      <c r="FV196" s="267"/>
      <c r="FW196" s="267"/>
      <c r="FX196" s="267"/>
      <c r="FY196" s="267"/>
      <c r="GD196" s="267"/>
      <c r="GE196" s="267"/>
      <c r="GF196" s="267"/>
      <c r="GG196" s="267"/>
      <c r="GH196" s="267"/>
      <c r="GI196" s="264"/>
      <c r="GJ196" s="264"/>
      <c r="GK196" s="264"/>
      <c r="GL196" s="264"/>
      <c r="HD196" s="267"/>
      <c r="HE196" s="267"/>
      <c r="HF196" s="267"/>
      <c r="HG196" s="267"/>
      <c r="HH196" s="267"/>
      <c r="HI196" s="267"/>
      <c r="HJ196" s="267"/>
      <c r="HK196" s="267"/>
      <c r="HL196" s="267"/>
      <c r="HM196" s="267"/>
      <c r="HN196" s="267"/>
      <c r="HO196" s="267"/>
      <c r="HP196" s="267"/>
      <c r="HQ196" s="267"/>
      <c r="HR196" s="267"/>
      <c r="HS196" s="267"/>
      <c r="HT196" s="267"/>
      <c r="HU196" s="267"/>
      <c r="IH196" s="267"/>
      <c r="IK196" s="267"/>
      <c r="IN196" s="267"/>
      <c r="IQ196" s="267"/>
      <c r="IR196" s="267"/>
      <c r="IS196" s="267"/>
      <c r="IT196" s="274"/>
      <c r="IU196" s="274"/>
      <c r="IV196" s="272"/>
      <c r="IW196" s="274"/>
      <c r="IX196" s="274"/>
      <c r="IY196" s="272"/>
    </row>
    <row r="197" spans="10:259">
      <c r="J197" s="267"/>
      <c r="K197" s="267"/>
      <c r="L197" s="267"/>
      <c r="M197" s="267"/>
      <c r="N197" s="267"/>
      <c r="O197" s="267"/>
      <c r="P197" s="267"/>
      <c r="Q197" s="267"/>
      <c r="S197" s="267"/>
      <c r="T197" s="267"/>
      <c r="U197" s="267"/>
      <c r="V197" s="267"/>
      <c r="W197" s="264"/>
      <c r="Y197" s="267"/>
      <c r="Z197" s="267"/>
      <c r="AA197" s="267"/>
      <c r="AB197" s="267"/>
      <c r="AE197" s="267"/>
      <c r="AF197" s="267"/>
      <c r="AG197" s="267"/>
      <c r="AH197" s="267"/>
      <c r="AK197" s="267"/>
      <c r="AL197" s="267"/>
      <c r="AM197" s="267"/>
      <c r="AN197" s="267"/>
      <c r="AQ197" s="267"/>
      <c r="AR197" s="267"/>
      <c r="AS197" s="267"/>
      <c r="AT197" s="267"/>
      <c r="AW197" s="267"/>
      <c r="AX197" s="267"/>
      <c r="AY197" s="267"/>
      <c r="AZ197" s="267"/>
      <c r="BG197" s="269"/>
      <c r="BM197" s="269"/>
      <c r="BS197" s="269"/>
      <c r="BU197" s="267"/>
      <c r="BY197" s="267"/>
      <c r="CC197" s="267"/>
      <c r="CG197" s="267"/>
      <c r="CS197" s="267"/>
      <c r="CW197" s="270"/>
      <c r="CX197" s="267"/>
      <c r="DC197" s="267"/>
      <c r="DH197" s="267"/>
      <c r="DM197" s="267"/>
      <c r="DR197" s="267"/>
      <c r="DW197" s="267"/>
      <c r="EB197" s="267"/>
      <c r="EG197" s="267"/>
      <c r="EL197" s="267"/>
      <c r="EQ197" s="267"/>
      <c r="EU197" s="270"/>
      <c r="EV197" s="267"/>
      <c r="FC197" s="267"/>
      <c r="FD197" s="267"/>
      <c r="FE197" s="267"/>
      <c r="FF197" s="267"/>
      <c r="FG197" s="267"/>
      <c r="FL197" s="267"/>
      <c r="FM197" s="267"/>
      <c r="FN197" s="267"/>
      <c r="FO197" s="267"/>
      <c r="FP197" s="267"/>
      <c r="FQ197" s="264"/>
      <c r="FR197" s="264"/>
      <c r="FS197" s="264"/>
      <c r="FT197" s="264"/>
      <c r="FU197" s="267"/>
      <c r="FV197" s="267"/>
      <c r="FW197" s="267"/>
      <c r="FX197" s="267"/>
      <c r="FY197" s="267"/>
      <c r="GD197" s="267"/>
      <c r="GE197" s="267"/>
      <c r="GF197" s="267"/>
      <c r="GG197" s="267"/>
      <c r="GH197" s="267"/>
      <c r="GI197" s="264"/>
      <c r="GJ197" s="264"/>
      <c r="GK197" s="264"/>
      <c r="GL197" s="264"/>
      <c r="HD197" s="267"/>
      <c r="HE197" s="267"/>
      <c r="HF197" s="267"/>
      <c r="HG197" s="267"/>
      <c r="HH197" s="267"/>
      <c r="HI197" s="267"/>
      <c r="HJ197" s="267"/>
      <c r="HK197" s="267"/>
      <c r="HL197" s="267"/>
      <c r="HM197" s="267"/>
      <c r="HN197" s="267"/>
      <c r="HO197" s="267"/>
      <c r="HP197" s="267"/>
      <c r="HQ197" s="267"/>
      <c r="HR197" s="267"/>
      <c r="HS197" s="267"/>
      <c r="HT197" s="267"/>
      <c r="HU197" s="267"/>
      <c r="IH197" s="267"/>
      <c r="IK197" s="267"/>
      <c r="IN197" s="267"/>
      <c r="IQ197" s="267"/>
      <c r="IR197" s="267"/>
      <c r="IS197" s="267"/>
      <c r="IT197" s="274"/>
      <c r="IU197" s="274"/>
      <c r="IV197" s="272"/>
      <c r="IW197" s="274"/>
      <c r="IX197" s="274"/>
      <c r="IY197" s="272"/>
    </row>
    <row r="198" spans="10:259">
      <c r="J198" s="267"/>
      <c r="K198" s="267"/>
      <c r="L198" s="267"/>
      <c r="M198" s="267"/>
      <c r="N198" s="267"/>
      <c r="O198" s="267"/>
      <c r="P198" s="267"/>
      <c r="Q198" s="267"/>
      <c r="S198" s="267"/>
      <c r="T198" s="267"/>
      <c r="U198" s="267"/>
      <c r="V198" s="267"/>
      <c r="W198" s="264"/>
      <c r="Y198" s="267"/>
      <c r="Z198" s="267"/>
      <c r="AA198" s="267"/>
      <c r="AB198" s="267"/>
      <c r="AE198" s="267"/>
      <c r="AF198" s="267"/>
      <c r="AG198" s="267"/>
      <c r="AH198" s="267"/>
      <c r="AK198" s="267"/>
      <c r="AL198" s="267"/>
      <c r="AM198" s="267"/>
      <c r="AN198" s="267"/>
      <c r="AQ198" s="267"/>
      <c r="AR198" s="267"/>
      <c r="AS198" s="267"/>
      <c r="AT198" s="267"/>
      <c r="AW198" s="267"/>
      <c r="AX198" s="267"/>
      <c r="AY198" s="267"/>
      <c r="AZ198" s="267"/>
      <c r="BG198" s="269"/>
      <c r="BM198" s="269"/>
      <c r="BS198" s="269"/>
      <c r="BU198" s="267"/>
      <c r="BY198" s="267"/>
      <c r="CC198" s="267"/>
      <c r="CG198" s="267"/>
      <c r="CS198" s="267"/>
      <c r="CW198" s="270"/>
      <c r="CX198" s="267"/>
      <c r="DC198" s="267"/>
      <c r="DH198" s="267"/>
      <c r="DM198" s="267"/>
      <c r="DR198" s="267"/>
      <c r="DW198" s="267"/>
      <c r="EB198" s="267"/>
      <c r="EG198" s="267"/>
      <c r="EL198" s="267"/>
      <c r="EQ198" s="267"/>
      <c r="EU198" s="270"/>
      <c r="EV198" s="267"/>
      <c r="FC198" s="267"/>
      <c r="FD198" s="267"/>
      <c r="FE198" s="267"/>
      <c r="FF198" s="267"/>
      <c r="FG198" s="267"/>
      <c r="FL198" s="267"/>
      <c r="FM198" s="267"/>
      <c r="FN198" s="267"/>
      <c r="FO198" s="267"/>
      <c r="FP198" s="267"/>
      <c r="FQ198" s="264"/>
      <c r="FR198" s="264"/>
      <c r="FS198" s="264"/>
      <c r="FT198" s="264"/>
      <c r="FU198" s="267"/>
      <c r="FV198" s="267"/>
      <c r="FW198" s="267"/>
      <c r="FX198" s="267"/>
      <c r="FY198" s="267"/>
      <c r="GD198" s="267"/>
      <c r="GE198" s="267"/>
      <c r="GF198" s="267"/>
      <c r="GG198" s="267"/>
      <c r="GH198" s="267"/>
      <c r="GI198" s="264"/>
      <c r="GJ198" s="264"/>
      <c r="GK198" s="264"/>
      <c r="GL198" s="264"/>
      <c r="HD198" s="267"/>
      <c r="HE198" s="267"/>
      <c r="HF198" s="267"/>
      <c r="HG198" s="267"/>
      <c r="HH198" s="267"/>
      <c r="HI198" s="267"/>
      <c r="HJ198" s="267"/>
      <c r="HK198" s="267"/>
      <c r="HL198" s="267"/>
      <c r="HM198" s="267"/>
      <c r="HN198" s="267"/>
      <c r="HO198" s="267"/>
      <c r="HP198" s="267"/>
      <c r="HQ198" s="267"/>
      <c r="HR198" s="267"/>
      <c r="HS198" s="267"/>
      <c r="HT198" s="267"/>
      <c r="HU198" s="267"/>
      <c r="IH198" s="267"/>
      <c r="IK198" s="267"/>
      <c r="IN198" s="267"/>
      <c r="IQ198" s="267"/>
      <c r="IR198" s="267"/>
      <c r="IS198" s="267"/>
      <c r="IT198" s="274"/>
      <c r="IU198" s="274"/>
      <c r="IV198" s="272"/>
      <c r="IW198" s="274"/>
      <c r="IX198" s="274"/>
      <c r="IY198" s="272"/>
    </row>
    <row r="199" spans="10:259">
      <c r="J199" s="267"/>
      <c r="K199" s="267"/>
      <c r="L199" s="267"/>
      <c r="M199" s="267"/>
      <c r="N199" s="267"/>
      <c r="O199" s="267"/>
      <c r="P199" s="267"/>
      <c r="Q199" s="267"/>
      <c r="S199" s="267"/>
      <c r="T199" s="267"/>
      <c r="U199" s="267"/>
      <c r="V199" s="267"/>
      <c r="W199" s="264"/>
      <c r="Y199" s="267"/>
      <c r="Z199" s="267"/>
      <c r="AA199" s="267"/>
      <c r="AB199" s="267"/>
      <c r="AE199" s="267"/>
      <c r="AF199" s="267"/>
      <c r="AG199" s="267"/>
      <c r="AH199" s="267"/>
      <c r="AK199" s="267"/>
      <c r="AL199" s="267"/>
      <c r="AM199" s="267"/>
      <c r="AN199" s="267"/>
      <c r="AQ199" s="267"/>
      <c r="AR199" s="267"/>
      <c r="AS199" s="267"/>
      <c r="AT199" s="267"/>
      <c r="AW199" s="267"/>
      <c r="AX199" s="267"/>
      <c r="AY199" s="267"/>
      <c r="AZ199" s="267"/>
      <c r="BG199" s="269"/>
      <c r="BM199" s="269"/>
      <c r="BS199" s="269"/>
      <c r="BU199" s="267"/>
      <c r="BY199" s="267"/>
      <c r="CC199" s="267"/>
      <c r="CG199" s="267"/>
      <c r="CS199" s="267"/>
      <c r="CW199" s="270"/>
      <c r="CX199" s="267"/>
      <c r="DC199" s="267"/>
      <c r="DH199" s="267"/>
      <c r="DM199" s="267"/>
      <c r="DR199" s="267"/>
      <c r="DW199" s="267"/>
      <c r="EB199" s="267"/>
      <c r="EG199" s="267"/>
      <c r="EL199" s="267"/>
      <c r="EQ199" s="267"/>
      <c r="EU199" s="270"/>
      <c r="EV199" s="267"/>
      <c r="FC199" s="267"/>
      <c r="FD199" s="267"/>
      <c r="FE199" s="267"/>
      <c r="FF199" s="267"/>
      <c r="FG199" s="267"/>
      <c r="FL199" s="267"/>
      <c r="FM199" s="267"/>
      <c r="FN199" s="267"/>
      <c r="FO199" s="267"/>
      <c r="FP199" s="267"/>
      <c r="FQ199" s="264"/>
      <c r="FR199" s="264"/>
      <c r="FS199" s="264"/>
      <c r="FT199" s="264"/>
      <c r="FU199" s="267"/>
      <c r="FV199" s="267"/>
      <c r="FW199" s="267"/>
      <c r="FX199" s="267"/>
      <c r="FY199" s="267"/>
      <c r="GD199" s="267"/>
      <c r="GE199" s="267"/>
      <c r="GF199" s="267"/>
      <c r="GG199" s="267"/>
      <c r="GH199" s="267"/>
      <c r="GI199" s="264"/>
      <c r="GJ199" s="264"/>
      <c r="GK199" s="264"/>
      <c r="GL199" s="264"/>
      <c r="HD199" s="267"/>
      <c r="HE199" s="267"/>
      <c r="HF199" s="267"/>
      <c r="HG199" s="267"/>
      <c r="HH199" s="267"/>
      <c r="HI199" s="267"/>
      <c r="HJ199" s="267"/>
      <c r="HK199" s="267"/>
      <c r="HL199" s="267"/>
      <c r="HM199" s="267"/>
      <c r="HN199" s="267"/>
      <c r="HO199" s="267"/>
      <c r="HP199" s="267"/>
      <c r="HQ199" s="267"/>
      <c r="HR199" s="267"/>
      <c r="HS199" s="267"/>
      <c r="HT199" s="267"/>
      <c r="HU199" s="267"/>
      <c r="IH199" s="267"/>
      <c r="IK199" s="267"/>
      <c r="IN199" s="267"/>
      <c r="IQ199" s="267"/>
      <c r="IR199" s="267"/>
      <c r="IS199" s="267"/>
      <c r="IT199" s="274"/>
      <c r="IU199" s="274"/>
      <c r="IV199" s="272"/>
      <c r="IW199" s="274"/>
      <c r="IX199" s="274"/>
      <c r="IY199" s="272"/>
    </row>
    <row r="200" spans="10:259">
      <c r="J200" s="267"/>
      <c r="K200" s="267"/>
      <c r="L200" s="267"/>
      <c r="M200" s="267"/>
      <c r="N200" s="267"/>
      <c r="O200" s="267"/>
      <c r="P200" s="267"/>
      <c r="Q200" s="267"/>
      <c r="S200" s="267"/>
      <c r="T200" s="267"/>
      <c r="U200" s="267"/>
      <c r="V200" s="267"/>
      <c r="W200" s="264"/>
      <c r="Y200" s="267"/>
      <c r="Z200" s="267"/>
      <c r="AA200" s="267"/>
      <c r="AB200" s="267"/>
      <c r="AE200" s="267"/>
      <c r="AF200" s="267"/>
      <c r="AG200" s="267"/>
      <c r="AH200" s="267"/>
      <c r="AK200" s="267"/>
      <c r="AL200" s="267"/>
      <c r="AM200" s="267"/>
      <c r="AN200" s="267"/>
      <c r="AQ200" s="267"/>
      <c r="AR200" s="267"/>
      <c r="AS200" s="267"/>
      <c r="AT200" s="267"/>
      <c r="AW200" s="267"/>
      <c r="AX200" s="267"/>
      <c r="AY200" s="267"/>
      <c r="AZ200" s="267"/>
      <c r="BG200" s="269"/>
      <c r="BM200" s="269"/>
      <c r="BS200" s="269"/>
      <c r="BU200" s="267"/>
      <c r="BY200" s="267"/>
      <c r="CC200" s="267"/>
      <c r="CG200" s="267"/>
      <c r="CS200" s="267"/>
      <c r="CW200" s="270"/>
      <c r="CX200" s="267"/>
      <c r="DC200" s="267"/>
      <c r="DH200" s="267"/>
      <c r="DM200" s="267"/>
      <c r="DR200" s="267"/>
      <c r="DW200" s="267"/>
      <c r="EB200" s="267"/>
      <c r="EG200" s="267"/>
      <c r="EL200" s="267"/>
      <c r="EQ200" s="267"/>
      <c r="EU200" s="270"/>
      <c r="EV200" s="267"/>
      <c r="FC200" s="267"/>
      <c r="FD200" s="267"/>
      <c r="FE200" s="267"/>
      <c r="FF200" s="267"/>
      <c r="FG200" s="267"/>
      <c r="FL200" s="267"/>
      <c r="FM200" s="267"/>
      <c r="FN200" s="267"/>
      <c r="FO200" s="267"/>
      <c r="FP200" s="267"/>
      <c r="FQ200" s="264"/>
      <c r="FR200" s="264"/>
      <c r="FS200" s="264"/>
      <c r="FT200" s="264"/>
      <c r="FU200" s="267"/>
      <c r="FV200" s="267"/>
      <c r="FW200" s="267"/>
      <c r="FX200" s="267"/>
      <c r="FY200" s="267"/>
      <c r="GD200" s="267"/>
      <c r="GE200" s="267"/>
      <c r="GF200" s="267"/>
      <c r="GG200" s="267"/>
      <c r="GH200" s="267"/>
      <c r="GI200" s="264"/>
      <c r="GJ200" s="264"/>
      <c r="GK200" s="264"/>
      <c r="GL200" s="264"/>
      <c r="HD200" s="267"/>
      <c r="HE200" s="267"/>
      <c r="HF200" s="267"/>
      <c r="HG200" s="267"/>
      <c r="HH200" s="267"/>
      <c r="HI200" s="267"/>
      <c r="HJ200" s="267"/>
      <c r="HK200" s="267"/>
      <c r="HL200" s="267"/>
      <c r="HM200" s="267"/>
      <c r="HN200" s="267"/>
      <c r="HO200" s="267"/>
      <c r="HP200" s="267"/>
      <c r="HQ200" s="267"/>
      <c r="HR200" s="267"/>
      <c r="HS200" s="267"/>
      <c r="HT200" s="267"/>
      <c r="HU200" s="267"/>
      <c r="IH200" s="267"/>
      <c r="IK200" s="267"/>
      <c r="IN200" s="267"/>
      <c r="IQ200" s="267"/>
      <c r="IR200" s="267"/>
      <c r="IS200" s="267"/>
      <c r="IT200" s="274"/>
      <c r="IU200" s="274"/>
      <c r="IV200" s="272"/>
      <c r="IW200" s="274"/>
      <c r="IX200" s="274"/>
      <c r="IY200" s="272"/>
    </row>
    <row r="201" spans="10:259">
      <c r="J201" s="267"/>
      <c r="K201" s="267"/>
      <c r="L201" s="267"/>
      <c r="M201" s="267"/>
      <c r="N201" s="267"/>
      <c r="O201" s="267"/>
      <c r="P201" s="267"/>
      <c r="Q201" s="267"/>
      <c r="S201" s="267"/>
      <c r="T201" s="267"/>
      <c r="U201" s="267"/>
      <c r="V201" s="267"/>
      <c r="W201" s="264"/>
      <c r="Y201" s="267"/>
      <c r="Z201" s="267"/>
      <c r="AA201" s="267"/>
      <c r="AB201" s="267"/>
      <c r="AE201" s="267"/>
      <c r="AF201" s="267"/>
      <c r="AG201" s="267"/>
      <c r="AH201" s="267"/>
      <c r="AK201" s="267"/>
      <c r="AL201" s="267"/>
      <c r="AM201" s="267"/>
      <c r="AN201" s="267"/>
      <c r="AQ201" s="267"/>
      <c r="AR201" s="267"/>
      <c r="AS201" s="267"/>
      <c r="AT201" s="267"/>
      <c r="AW201" s="267"/>
      <c r="AX201" s="267"/>
      <c r="AY201" s="267"/>
      <c r="AZ201" s="267"/>
      <c r="BG201" s="269"/>
      <c r="BM201" s="269"/>
      <c r="BS201" s="269"/>
      <c r="BU201" s="267"/>
      <c r="BY201" s="267"/>
      <c r="CC201" s="267"/>
      <c r="CG201" s="267"/>
      <c r="CS201" s="267"/>
      <c r="CW201" s="270"/>
      <c r="CX201" s="267"/>
      <c r="DC201" s="267"/>
      <c r="DH201" s="267"/>
      <c r="DM201" s="267"/>
      <c r="DR201" s="267"/>
      <c r="DW201" s="267"/>
      <c r="EB201" s="267"/>
      <c r="EG201" s="267"/>
      <c r="EL201" s="267"/>
      <c r="EQ201" s="267"/>
      <c r="EU201" s="270"/>
      <c r="EV201" s="267"/>
      <c r="FC201" s="267"/>
      <c r="FD201" s="267"/>
      <c r="FE201" s="267"/>
      <c r="FF201" s="267"/>
      <c r="FG201" s="267"/>
      <c r="FL201" s="267"/>
      <c r="FM201" s="267"/>
      <c r="FN201" s="267"/>
      <c r="FO201" s="267"/>
      <c r="FP201" s="267"/>
      <c r="FQ201" s="264"/>
      <c r="FR201" s="264"/>
      <c r="FS201" s="264"/>
      <c r="FT201" s="264"/>
      <c r="FU201" s="267"/>
      <c r="FV201" s="267"/>
      <c r="FW201" s="267"/>
      <c r="FX201" s="267"/>
      <c r="FY201" s="267"/>
      <c r="GD201" s="267"/>
      <c r="GE201" s="267"/>
      <c r="GF201" s="267"/>
      <c r="GG201" s="267"/>
      <c r="GH201" s="267"/>
      <c r="GI201" s="264"/>
      <c r="GJ201" s="264"/>
      <c r="GK201" s="264"/>
      <c r="GL201" s="264"/>
      <c r="HD201" s="267"/>
      <c r="HE201" s="267"/>
      <c r="HF201" s="267"/>
      <c r="HG201" s="267"/>
      <c r="HH201" s="267"/>
      <c r="HI201" s="267"/>
      <c r="HJ201" s="267"/>
      <c r="HK201" s="267"/>
      <c r="HL201" s="267"/>
      <c r="HM201" s="267"/>
      <c r="HN201" s="267"/>
      <c r="HO201" s="267"/>
      <c r="HP201" s="267"/>
      <c r="HQ201" s="267"/>
      <c r="HR201" s="267"/>
      <c r="HS201" s="267"/>
      <c r="HT201" s="267"/>
      <c r="HU201" s="267"/>
      <c r="IH201" s="267"/>
      <c r="IK201" s="267"/>
      <c r="IN201" s="267"/>
      <c r="IQ201" s="267"/>
      <c r="IR201" s="267"/>
      <c r="IS201" s="267"/>
      <c r="IT201" s="274"/>
      <c r="IU201" s="274"/>
      <c r="IV201" s="272"/>
      <c r="IW201" s="274"/>
      <c r="IX201" s="274"/>
      <c r="IY201" s="272"/>
    </row>
    <row r="202" spans="10:259">
      <c r="J202" s="267"/>
      <c r="K202" s="267"/>
      <c r="L202" s="267"/>
      <c r="M202" s="267"/>
      <c r="N202" s="267"/>
      <c r="O202" s="267"/>
      <c r="P202" s="267"/>
      <c r="Q202" s="267"/>
      <c r="S202" s="267"/>
      <c r="T202" s="267"/>
      <c r="U202" s="267"/>
      <c r="V202" s="267"/>
      <c r="W202" s="264"/>
      <c r="Y202" s="267"/>
      <c r="Z202" s="267"/>
      <c r="AA202" s="267"/>
      <c r="AB202" s="267"/>
      <c r="AE202" s="267"/>
      <c r="AF202" s="267"/>
      <c r="AG202" s="267"/>
      <c r="AH202" s="267"/>
      <c r="AK202" s="267"/>
      <c r="AL202" s="267"/>
      <c r="AM202" s="267"/>
      <c r="AN202" s="267"/>
      <c r="AQ202" s="267"/>
      <c r="AR202" s="267"/>
      <c r="AS202" s="267"/>
      <c r="AT202" s="267"/>
      <c r="AW202" s="267"/>
      <c r="AX202" s="267"/>
      <c r="AY202" s="267"/>
      <c r="AZ202" s="267"/>
      <c r="BG202" s="269"/>
      <c r="BM202" s="269"/>
      <c r="BS202" s="269"/>
      <c r="BU202" s="267"/>
      <c r="BY202" s="267"/>
      <c r="CC202" s="267"/>
      <c r="CG202" s="267"/>
      <c r="CS202" s="267"/>
      <c r="CW202" s="270"/>
      <c r="CX202" s="267"/>
      <c r="DC202" s="267"/>
      <c r="DH202" s="267"/>
      <c r="DM202" s="267"/>
      <c r="DR202" s="267"/>
      <c r="DW202" s="267"/>
      <c r="EB202" s="267"/>
      <c r="EG202" s="267"/>
      <c r="EL202" s="267"/>
      <c r="EQ202" s="267"/>
      <c r="EU202" s="270"/>
      <c r="EV202" s="267"/>
      <c r="FC202" s="267"/>
      <c r="FD202" s="267"/>
      <c r="FE202" s="267"/>
      <c r="FF202" s="267"/>
      <c r="FG202" s="267"/>
      <c r="FL202" s="267"/>
      <c r="FM202" s="267"/>
      <c r="FN202" s="267"/>
      <c r="FO202" s="267"/>
      <c r="FP202" s="267"/>
      <c r="FQ202" s="264"/>
      <c r="FR202" s="264"/>
      <c r="FS202" s="264"/>
      <c r="FT202" s="264"/>
      <c r="FU202" s="267"/>
      <c r="FV202" s="267"/>
      <c r="FW202" s="267"/>
      <c r="FX202" s="267"/>
      <c r="FY202" s="267"/>
      <c r="GD202" s="267"/>
      <c r="GE202" s="267"/>
      <c r="GF202" s="267"/>
      <c r="GG202" s="267"/>
      <c r="GH202" s="267"/>
      <c r="GI202" s="264"/>
      <c r="GJ202" s="264"/>
      <c r="GK202" s="264"/>
      <c r="GL202" s="264"/>
      <c r="HD202" s="267"/>
      <c r="HE202" s="267"/>
      <c r="HF202" s="267"/>
      <c r="HG202" s="267"/>
      <c r="HH202" s="267"/>
      <c r="HI202" s="267"/>
      <c r="HJ202" s="267"/>
      <c r="HK202" s="267"/>
      <c r="HL202" s="267"/>
      <c r="HM202" s="267"/>
      <c r="HN202" s="267"/>
      <c r="HO202" s="267"/>
      <c r="HP202" s="267"/>
      <c r="HQ202" s="267"/>
      <c r="HR202" s="267"/>
      <c r="HS202" s="267"/>
      <c r="HT202" s="267"/>
      <c r="HU202" s="267"/>
      <c r="IH202" s="267"/>
      <c r="IK202" s="267"/>
      <c r="IN202" s="267"/>
      <c r="IQ202" s="267"/>
      <c r="IR202" s="267"/>
      <c r="IS202" s="267"/>
      <c r="IT202" s="274"/>
      <c r="IU202" s="274"/>
      <c r="IV202" s="272"/>
      <c r="IW202" s="274"/>
      <c r="IX202" s="274"/>
      <c r="IY202" s="272"/>
    </row>
    <row r="203" spans="10:259">
      <c r="J203" s="267"/>
      <c r="K203" s="267"/>
      <c r="L203" s="267"/>
      <c r="M203" s="267"/>
      <c r="N203" s="267"/>
      <c r="O203" s="267"/>
      <c r="P203" s="267"/>
      <c r="Q203" s="267"/>
      <c r="S203" s="267"/>
      <c r="T203" s="267"/>
      <c r="U203" s="267"/>
      <c r="V203" s="267"/>
      <c r="W203" s="264"/>
      <c r="Y203" s="267"/>
      <c r="Z203" s="267"/>
      <c r="AA203" s="267"/>
      <c r="AB203" s="267"/>
      <c r="AE203" s="267"/>
      <c r="AF203" s="267"/>
      <c r="AG203" s="267"/>
      <c r="AH203" s="267"/>
      <c r="AK203" s="267"/>
      <c r="AL203" s="267"/>
      <c r="AM203" s="267"/>
      <c r="AN203" s="267"/>
      <c r="AQ203" s="267"/>
      <c r="AR203" s="267"/>
      <c r="AS203" s="267"/>
      <c r="AT203" s="267"/>
      <c r="AW203" s="267"/>
      <c r="AX203" s="267"/>
      <c r="AY203" s="267"/>
      <c r="AZ203" s="267"/>
      <c r="BG203" s="269"/>
      <c r="BM203" s="269"/>
      <c r="BS203" s="269"/>
      <c r="BU203" s="267"/>
      <c r="BY203" s="267"/>
      <c r="CC203" s="267"/>
      <c r="CG203" s="267"/>
      <c r="CS203" s="267"/>
      <c r="CW203" s="270"/>
      <c r="CX203" s="267"/>
      <c r="DC203" s="267"/>
      <c r="DH203" s="267"/>
      <c r="DM203" s="267"/>
      <c r="DR203" s="267"/>
      <c r="DW203" s="267"/>
      <c r="EB203" s="267"/>
      <c r="EG203" s="267"/>
      <c r="EL203" s="267"/>
      <c r="EQ203" s="267"/>
      <c r="EU203" s="270"/>
      <c r="EV203" s="267"/>
      <c r="FC203" s="267"/>
      <c r="FD203" s="267"/>
      <c r="FE203" s="267"/>
      <c r="FF203" s="267"/>
      <c r="FG203" s="267"/>
      <c r="FL203" s="267"/>
      <c r="FM203" s="267"/>
      <c r="FN203" s="267"/>
      <c r="FO203" s="267"/>
      <c r="FP203" s="267"/>
      <c r="FQ203" s="264"/>
      <c r="FR203" s="264"/>
      <c r="FS203" s="264"/>
      <c r="FT203" s="264"/>
      <c r="FU203" s="267"/>
      <c r="FV203" s="267"/>
      <c r="FW203" s="267"/>
      <c r="FX203" s="267"/>
      <c r="FY203" s="267"/>
      <c r="GD203" s="267"/>
      <c r="GE203" s="267"/>
      <c r="GF203" s="267"/>
      <c r="GG203" s="267"/>
      <c r="GH203" s="267"/>
      <c r="GI203" s="264"/>
      <c r="GJ203" s="264"/>
      <c r="GK203" s="264"/>
      <c r="GL203" s="264"/>
      <c r="HD203" s="267"/>
      <c r="HE203" s="267"/>
      <c r="HF203" s="267"/>
      <c r="HG203" s="267"/>
      <c r="HH203" s="267"/>
      <c r="HI203" s="267"/>
      <c r="HJ203" s="267"/>
      <c r="HK203" s="267"/>
      <c r="HL203" s="267"/>
      <c r="HM203" s="267"/>
      <c r="HN203" s="267"/>
      <c r="HO203" s="267"/>
      <c r="HP203" s="267"/>
      <c r="HQ203" s="267"/>
      <c r="HR203" s="267"/>
      <c r="HS203" s="267"/>
      <c r="HT203" s="267"/>
      <c r="HU203" s="267"/>
      <c r="IH203" s="267"/>
      <c r="IK203" s="267"/>
      <c r="IN203" s="267"/>
      <c r="IQ203" s="267"/>
      <c r="IR203" s="267"/>
      <c r="IS203" s="267"/>
      <c r="IT203" s="274"/>
      <c r="IU203" s="274"/>
      <c r="IV203" s="272"/>
      <c r="IW203" s="274"/>
      <c r="IX203" s="274"/>
      <c r="IY203" s="272"/>
    </row>
    <row r="204" spans="10:259">
      <c r="J204" s="267"/>
      <c r="K204" s="267"/>
      <c r="L204" s="267"/>
      <c r="M204" s="267"/>
      <c r="N204" s="267"/>
      <c r="O204" s="267"/>
      <c r="P204" s="267"/>
      <c r="Q204" s="267"/>
      <c r="S204" s="267"/>
      <c r="T204" s="267"/>
      <c r="U204" s="267"/>
      <c r="V204" s="267"/>
      <c r="W204" s="264"/>
      <c r="Y204" s="267"/>
      <c r="Z204" s="267"/>
      <c r="AA204" s="267"/>
      <c r="AB204" s="267"/>
      <c r="AE204" s="267"/>
      <c r="AF204" s="267"/>
      <c r="AG204" s="267"/>
      <c r="AH204" s="267"/>
      <c r="AK204" s="267"/>
      <c r="AL204" s="267"/>
      <c r="AM204" s="267"/>
      <c r="AN204" s="267"/>
      <c r="AQ204" s="267"/>
      <c r="AR204" s="267"/>
      <c r="AS204" s="267"/>
      <c r="AT204" s="267"/>
      <c r="AW204" s="267"/>
      <c r="AX204" s="267"/>
      <c r="AY204" s="267"/>
      <c r="AZ204" s="267"/>
      <c r="BG204" s="269"/>
      <c r="BM204" s="269"/>
      <c r="BS204" s="269"/>
      <c r="BU204" s="267"/>
      <c r="BY204" s="267"/>
      <c r="CC204" s="267"/>
      <c r="CG204" s="267"/>
      <c r="CS204" s="267"/>
      <c r="CW204" s="270"/>
      <c r="CX204" s="267"/>
      <c r="DC204" s="267"/>
      <c r="DH204" s="267"/>
      <c r="DM204" s="267"/>
      <c r="DR204" s="267"/>
      <c r="DW204" s="267"/>
      <c r="EB204" s="267"/>
      <c r="EG204" s="267"/>
      <c r="EL204" s="267"/>
      <c r="EQ204" s="267"/>
      <c r="EU204" s="270"/>
      <c r="EV204" s="267"/>
      <c r="FC204" s="267"/>
      <c r="FD204" s="267"/>
      <c r="FE204" s="267"/>
      <c r="FF204" s="267"/>
      <c r="FG204" s="267"/>
      <c r="FL204" s="267"/>
      <c r="FM204" s="267"/>
      <c r="FN204" s="267"/>
      <c r="FO204" s="267"/>
      <c r="FP204" s="267"/>
      <c r="FQ204" s="264"/>
      <c r="FR204" s="264"/>
      <c r="FS204" s="264"/>
      <c r="FT204" s="264"/>
      <c r="FU204" s="267"/>
      <c r="FV204" s="267"/>
      <c r="FW204" s="267"/>
      <c r="FX204" s="267"/>
      <c r="FY204" s="267"/>
      <c r="GD204" s="267"/>
      <c r="GE204" s="267"/>
      <c r="GF204" s="267"/>
      <c r="GG204" s="267"/>
      <c r="GH204" s="267"/>
      <c r="GI204" s="264"/>
      <c r="GJ204" s="264"/>
      <c r="GK204" s="264"/>
      <c r="GL204" s="264"/>
      <c r="HD204" s="267"/>
      <c r="HE204" s="267"/>
      <c r="HF204" s="267"/>
      <c r="HG204" s="267"/>
      <c r="HH204" s="267"/>
      <c r="HI204" s="267"/>
      <c r="HJ204" s="267"/>
      <c r="HK204" s="267"/>
      <c r="HL204" s="267"/>
      <c r="HM204" s="267"/>
      <c r="HN204" s="267"/>
      <c r="HO204" s="267"/>
      <c r="HP204" s="267"/>
      <c r="HQ204" s="267"/>
      <c r="HR204" s="267"/>
      <c r="HS204" s="267"/>
      <c r="HT204" s="267"/>
      <c r="HU204" s="267"/>
      <c r="IH204" s="267"/>
      <c r="IK204" s="267"/>
      <c r="IN204" s="267"/>
      <c r="IQ204" s="267"/>
      <c r="IR204" s="267"/>
      <c r="IS204" s="267"/>
      <c r="IT204" s="274"/>
      <c r="IU204" s="274"/>
      <c r="IV204" s="272"/>
      <c r="IW204" s="274"/>
      <c r="IX204" s="274"/>
      <c r="IY204" s="272"/>
    </row>
    <row r="205" spans="10:259">
      <c r="J205" s="267"/>
      <c r="K205" s="267"/>
      <c r="L205" s="267"/>
      <c r="M205" s="267"/>
      <c r="N205" s="267"/>
      <c r="O205" s="267"/>
      <c r="P205" s="267"/>
      <c r="Q205" s="267"/>
      <c r="S205" s="267"/>
      <c r="T205" s="267"/>
      <c r="U205" s="267"/>
      <c r="V205" s="267"/>
      <c r="W205" s="264"/>
      <c r="Y205" s="267"/>
      <c r="Z205" s="267"/>
      <c r="AA205" s="267"/>
      <c r="AB205" s="267"/>
      <c r="AE205" s="267"/>
      <c r="AF205" s="267"/>
      <c r="AG205" s="267"/>
      <c r="AH205" s="267"/>
      <c r="AK205" s="267"/>
      <c r="AL205" s="267"/>
      <c r="AM205" s="267"/>
      <c r="AN205" s="267"/>
      <c r="AQ205" s="267"/>
      <c r="AR205" s="267"/>
      <c r="AS205" s="267"/>
      <c r="AT205" s="267"/>
      <c r="AW205" s="267"/>
      <c r="AX205" s="267"/>
      <c r="AY205" s="267"/>
      <c r="AZ205" s="267"/>
      <c r="BG205" s="269"/>
      <c r="BM205" s="269"/>
      <c r="BS205" s="269"/>
      <c r="BU205" s="267"/>
      <c r="BY205" s="267"/>
      <c r="CC205" s="267"/>
      <c r="CG205" s="267"/>
      <c r="CS205" s="267"/>
      <c r="CW205" s="270"/>
      <c r="CX205" s="267"/>
      <c r="DC205" s="267"/>
      <c r="DH205" s="267"/>
      <c r="DM205" s="267"/>
      <c r="DR205" s="267"/>
      <c r="DW205" s="267"/>
      <c r="EB205" s="267"/>
      <c r="EG205" s="267"/>
      <c r="EL205" s="267"/>
      <c r="EQ205" s="267"/>
      <c r="EU205" s="270"/>
      <c r="EV205" s="267"/>
      <c r="FC205" s="267"/>
      <c r="FD205" s="267"/>
      <c r="FE205" s="267"/>
      <c r="FF205" s="267"/>
      <c r="FG205" s="267"/>
      <c r="FL205" s="267"/>
      <c r="FM205" s="267"/>
      <c r="FN205" s="267"/>
      <c r="FO205" s="267"/>
      <c r="FP205" s="267"/>
      <c r="FQ205" s="264"/>
      <c r="FR205" s="264"/>
      <c r="FS205" s="264"/>
      <c r="FT205" s="264"/>
      <c r="FU205" s="267"/>
      <c r="FV205" s="267"/>
      <c r="FW205" s="267"/>
      <c r="FX205" s="267"/>
      <c r="FY205" s="267"/>
      <c r="GD205" s="267"/>
      <c r="GE205" s="267"/>
      <c r="GF205" s="267"/>
      <c r="GG205" s="267"/>
      <c r="GH205" s="267"/>
      <c r="GI205" s="264"/>
      <c r="GJ205" s="264"/>
      <c r="GK205" s="264"/>
      <c r="GL205" s="264"/>
      <c r="HD205" s="267"/>
      <c r="HE205" s="267"/>
      <c r="HF205" s="267"/>
      <c r="HG205" s="267"/>
      <c r="HH205" s="267"/>
      <c r="HI205" s="267"/>
      <c r="HJ205" s="267"/>
      <c r="HK205" s="267"/>
      <c r="HL205" s="267"/>
      <c r="HM205" s="267"/>
      <c r="HN205" s="267"/>
      <c r="HO205" s="267"/>
      <c r="HP205" s="267"/>
      <c r="HQ205" s="267"/>
      <c r="HR205" s="267"/>
      <c r="HS205" s="267"/>
      <c r="HT205" s="267"/>
      <c r="HU205" s="267"/>
      <c r="IH205" s="267"/>
      <c r="IK205" s="267"/>
      <c r="IN205" s="267"/>
      <c r="IQ205" s="267"/>
      <c r="IR205" s="267"/>
      <c r="IS205" s="267"/>
      <c r="IT205" s="274"/>
      <c r="IU205" s="274"/>
      <c r="IV205" s="272"/>
      <c r="IW205" s="274"/>
      <c r="IX205" s="274"/>
      <c r="IY205" s="272"/>
    </row>
    <row r="206" spans="10:259">
      <c r="J206" s="267"/>
      <c r="K206" s="267"/>
      <c r="L206" s="267"/>
      <c r="M206" s="267"/>
      <c r="N206" s="267"/>
      <c r="O206" s="267"/>
      <c r="P206" s="267"/>
      <c r="Q206" s="267"/>
      <c r="S206" s="267"/>
      <c r="T206" s="267"/>
      <c r="U206" s="267"/>
      <c r="V206" s="267"/>
      <c r="W206" s="264"/>
      <c r="Y206" s="267"/>
      <c r="Z206" s="267"/>
      <c r="AA206" s="267"/>
      <c r="AB206" s="267"/>
      <c r="AE206" s="267"/>
      <c r="AF206" s="267"/>
      <c r="AG206" s="267"/>
      <c r="AH206" s="267"/>
      <c r="AK206" s="267"/>
      <c r="AL206" s="267"/>
      <c r="AM206" s="267"/>
      <c r="AN206" s="267"/>
      <c r="AQ206" s="267"/>
      <c r="AR206" s="267"/>
      <c r="AS206" s="267"/>
      <c r="AT206" s="267"/>
      <c r="AW206" s="267"/>
      <c r="AX206" s="267"/>
      <c r="AY206" s="267"/>
      <c r="AZ206" s="267"/>
      <c r="BG206" s="269"/>
      <c r="BM206" s="269"/>
      <c r="BS206" s="269"/>
      <c r="BU206" s="267"/>
      <c r="BY206" s="267"/>
      <c r="CC206" s="267"/>
      <c r="CG206" s="267"/>
      <c r="CS206" s="267"/>
      <c r="CW206" s="270"/>
      <c r="CX206" s="267"/>
      <c r="DC206" s="267"/>
      <c r="DH206" s="267"/>
      <c r="DM206" s="267"/>
      <c r="DR206" s="267"/>
      <c r="DW206" s="267"/>
      <c r="EB206" s="267"/>
      <c r="EG206" s="267"/>
      <c r="EL206" s="267"/>
      <c r="EQ206" s="267"/>
      <c r="EU206" s="270"/>
      <c r="EV206" s="267"/>
      <c r="FC206" s="267"/>
      <c r="FD206" s="267"/>
      <c r="FE206" s="267"/>
      <c r="FF206" s="267"/>
      <c r="FG206" s="267"/>
      <c r="FL206" s="267"/>
      <c r="FM206" s="267"/>
      <c r="FN206" s="267"/>
      <c r="FO206" s="267"/>
      <c r="FP206" s="267"/>
      <c r="FQ206" s="264"/>
      <c r="FR206" s="264"/>
      <c r="FS206" s="264"/>
      <c r="FT206" s="264"/>
      <c r="FU206" s="267"/>
      <c r="FV206" s="267"/>
      <c r="FW206" s="267"/>
      <c r="FX206" s="267"/>
      <c r="FY206" s="267"/>
      <c r="GD206" s="267"/>
      <c r="GE206" s="267"/>
      <c r="GF206" s="267"/>
      <c r="GG206" s="267"/>
      <c r="GH206" s="267"/>
      <c r="GI206" s="264"/>
      <c r="GJ206" s="264"/>
      <c r="GK206" s="264"/>
      <c r="GL206" s="264"/>
      <c r="HD206" s="267"/>
      <c r="HE206" s="267"/>
      <c r="HF206" s="267"/>
      <c r="HG206" s="267"/>
      <c r="HH206" s="267"/>
      <c r="HI206" s="267"/>
      <c r="HJ206" s="267"/>
      <c r="HK206" s="267"/>
      <c r="HL206" s="267"/>
      <c r="HM206" s="267"/>
      <c r="HN206" s="267"/>
      <c r="HO206" s="267"/>
      <c r="HP206" s="267"/>
      <c r="HQ206" s="267"/>
      <c r="HR206" s="267"/>
      <c r="HS206" s="267"/>
      <c r="HT206" s="267"/>
      <c r="HU206" s="267"/>
      <c r="IH206" s="267"/>
      <c r="IK206" s="267"/>
      <c r="IN206" s="267"/>
      <c r="IQ206" s="267"/>
      <c r="IR206" s="267"/>
      <c r="IS206" s="267"/>
      <c r="IT206" s="274"/>
      <c r="IU206" s="274"/>
      <c r="IV206" s="272"/>
      <c r="IW206" s="274"/>
      <c r="IX206" s="274"/>
      <c r="IY206" s="272"/>
    </row>
    <row r="207" spans="10:259">
      <c r="J207" s="267"/>
      <c r="K207" s="267"/>
      <c r="L207" s="267"/>
      <c r="M207" s="267"/>
      <c r="N207" s="267"/>
      <c r="O207" s="267"/>
      <c r="P207" s="267"/>
      <c r="Q207" s="267"/>
      <c r="S207" s="267"/>
      <c r="T207" s="267"/>
      <c r="U207" s="267"/>
      <c r="V207" s="267"/>
      <c r="W207" s="264"/>
      <c r="Y207" s="267"/>
      <c r="Z207" s="267"/>
      <c r="AA207" s="267"/>
      <c r="AB207" s="267"/>
      <c r="AE207" s="267"/>
      <c r="AF207" s="267"/>
      <c r="AG207" s="267"/>
      <c r="AH207" s="267"/>
      <c r="AK207" s="267"/>
      <c r="AL207" s="267"/>
      <c r="AM207" s="267"/>
      <c r="AN207" s="267"/>
      <c r="AQ207" s="267"/>
      <c r="AR207" s="267"/>
      <c r="AS207" s="267"/>
      <c r="AT207" s="267"/>
      <c r="AW207" s="267"/>
      <c r="AX207" s="267"/>
      <c r="AY207" s="267"/>
      <c r="AZ207" s="267"/>
      <c r="BG207" s="269"/>
      <c r="BM207" s="269"/>
      <c r="BS207" s="269"/>
      <c r="BU207" s="267"/>
      <c r="BY207" s="267"/>
      <c r="CC207" s="267"/>
      <c r="CG207" s="267"/>
      <c r="CS207" s="267"/>
      <c r="CW207" s="270"/>
      <c r="CX207" s="267"/>
      <c r="DC207" s="267"/>
      <c r="DH207" s="267"/>
      <c r="DM207" s="267"/>
      <c r="DR207" s="267"/>
      <c r="DW207" s="267"/>
      <c r="EB207" s="267"/>
      <c r="EG207" s="267"/>
      <c r="EL207" s="267"/>
      <c r="EQ207" s="267"/>
      <c r="EU207" s="270"/>
      <c r="EV207" s="267"/>
      <c r="FC207" s="267"/>
      <c r="FD207" s="267"/>
      <c r="FE207" s="267"/>
      <c r="FF207" s="267"/>
      <c r="FG207" s="267"/>
      <c r="FL207" s="267"/>
      <c r="FM207" s="267"/>
      <c r="FN207" s="267"/>
      <c r="FO207" s="267"/>
      <c r="FP207" s="267"/>
      <c r="FQ207" s="264"/>
      <c r="FR207" s="264"/>
      <c r="FS207" s="264"/>
      <c r="FT207" s="264"/>
      <c r="FU207" s="267"/>
      <c r="FV207" s="267"/>
      <c r="FW207" s="267"/>
      <c r="FX207" s="267"/>
      <c r="FY207" s="267"/>
      <c r="GD207" s="267"/>
      <c r="GE207" s="267"/>
      <c r="GF207" s="267"/>
      <c r="GG207" s="267"/>
      <c r="GH207" s="267"/>
      <c r="GI207" s="264"/>
      <c r="GJ207" s="264"/>
      <c r="GK207" s="264"/>
      <c r="GL207" s="264"/>
      <c r="HD207" s="267"/>
      <c r="HE207" s="267"/>
      <c r="HF207" s="267"/>
      <c r="HG207" s="267"/>
      <c r="HH207" s="267"/>
      <c r="HI207" s="267"/>
      <c r="HJ207" s="267"/>
      <c r="HK207" s="267"/>
      <c r="HL207" s="267"/>
      <c r="HM207" s="267"/>
      <c r="HN207" s="267"/>
      <c r="HO207" s="267"/>
      <c r="HP207" s="267"/>
      <c r="HQ207" s="267"/>
      <c r="HR207" s="267"/>
      <c r="HS207" s="267"/>
      <c r="HT207" s="267"/>
      <c r="HU207" s="267"/>
      <c r="IH207" s="267"/>
      <c r="IK207" s="267"/>
      <c r="IN207" s="267"/>
      <c r="IQ207" s="267"/>
      <c r="IR207" s="267"/>
      <c r="IS207" s="267"/>
      <c r="IT207" s="274"/>
      <c r="IU207" s="274"/>
      <c r="IV207" s="272"/>
      <c r="IW207" s="274"/>
      <c r="IX207" s="274"/>
      <c r="IY207" s="272"/>
    </row>
    <row r="208" spans="10:259">
      <c r="J208" s="267"/>
      <c r="K208" s="267"/>
      <c r="L208" s="267"/>
      <c r="M208" s="267"/>
      <c r="N208" s="267"/>
      <c r="O208" s="267"/>
      <c r="P208" s="267"/>
      <c r="Q208" s="267"/>
      <c r="S208" s="267"/>
      <c r="T208" s="267"/>
      <c r="U208" s="267"/>
      <c r="V208" s="267"/>
      <c r="W208" s="264"/>
      <c r="Y208" s="267"/>
      <c r="Z208" s="267"/>
      <c r="AA208" s="267"/>
      <c r="AB208" s="267"/>
      <c r="AE208" s="267"/>
      <c r="AF208" s="267"/>
      <c r="AG208" s="267"/>
      <c r="AH208" s="267"/>
      <c r="AK208" s="267"/>
      <c r="AL208" s="267"/>
      <c r="AM208" s="267"/>
      <c r="AN208" s="267"/>
      <c r="AQ208" s="267"/>
      <c r="AR208" s="267"/>
      <c r="AS208" s="267"/>
      <c r="AT208" s="267"/>
      <c r="AW208" s="267"/>
      <c r="AX208" s="267"/>
      <c r="AY208" s="267"/>
      <c r="AZ208" s="267"/>
      <c r="BG208" s="269"/>
      <c r="BM208" s="269"/>
      <c r="BS208" s="269"/>
      <c r="BU208" s="267"/>
      <c r="BY208" s="267"/>
      <c r="CC208" s="267"/>
      <c r="CG208" s="267"/>
      <c r="CS208" s="267"/>
      <c r="CW208" s="270"/>
      <c r="CX208" s="267"/>
      <c r="DC208" s="267"/>
      <c r="DH208" s="267"/>
      <c r="DM208" s="267"/>
      <c r="DR208" s="267"/>
      <c r="DW208" s="267"/>
      <c r="EB208" s="267"/>
      <c r="EG208" s="267"/>
      <c r="EL208" s="267"/>
      <c r="EQ208" s="267"/>
      <c r="EU208" s="270"/>
      <c r="EV208" s="267"/>
      <c r="FC208" s="267"/>
      <c r="FD208" s="267"/>
      <c r="FE208" s="267"/>
      <c r="FF208" s="267"/>
      <c r="FG208" s="267"/>
      <c r="FL208" s="267"/>
      <c r="FM208" s="267"/>
      <c r="FN208" s="267"/>
      <c r="FO208" s="267"/>
      <c r="FP208" s="267"/>
      <c r="FQ208" s="264"/>
      <c r="FR208" s="264"/>
      <c r="FS208" s="264"/>
      <c r="FT208" s="264"/>
      <c r="FU208" s="267"/>
      <c r="FV208" s="267"/>
      <c r="FW208" s="267"/>
      <c r="FX208" s="267"/>
      <c r="FY208" s="267"/>
      <c r="GD208" s="267"/>
      <c r="GE208" s="267"/>
      <c r="GF208" s="267"/>
      <c r="GG208" s="267"/>
      <c r="GH208" s="267"/>
      <c r="GI208" s="264"/>
      <c r="GJ208" s="264"/>
      <c r="GK208" s="264"/>
      <c r="GL208" s="264"/>
      <c r="HD208" s="267"/>
      <c r="HE208" s="267"/>
      <c r="HF208" s="267"/>
      <c r="HG208" s="267"/>
      <c r="HH208" s="267"/>
      <c r="HI208" s="267"/>
      <c r="HJ208" s="267"/>
      <c r="HK208" s="267"/>
      <c r="HL208" s="267"/>
      <c r="HM208" s="267"/>
      <c r="HN208" s="267"/>
      <c r="HO208" s="267"/>
      <c r="HP208" s="267"/>
      <c r="HQ208" s="267"/>
      <c r="HR208" s="267"/>
      <c r="HS208" s="267"/>
      <c r="HT208" s="267"/>
      <c r="HU208" s="267"/>
      <c r="IH208" s="267"/>
      <c r="IK208" s="267"/>
      <c r="IN208" s="267"/>
      <c r="IQ208" s="267"/>
      <c r="IR208" s="267"/>
      <c r="IS208" s="267"/>
      <c r="IT208" s="274"/>
      <c r="IU208" s="274"/>
      <c r="IV208" s="272"/>
      <c r="IW208" s="274"/>
      <c r="IX208" s="274"/>
      <c r="IY208" s="272"/>
    </row>
    <row r="209" spans="10:259">
      <c r="J209" s="267"/>
      <c r="K209" s="267"/>
      <c r="L209" s="267"/>
      <c r="M209" s="267"/>
      <c r="N209" s="267"/>
      <c r="O209" s="267"/>
      <c r="P209" s="267"/>
      <c r="Q209" s="267"/>
      <c r="S209" s="267"/>
      <c r="T209" s="267"/>
      <c r="U209" s="267"/>
      <c r="V209" s="267"/>
      <c r="W209" s="264"/>
      <c r="Y209" s="267"/>
      <c r="Z209" s="267"/>
      <c r="AA209" s="267"/>
      <c r="AB209" s="267"/>
      <c r="AE209" s="267"/>
      <c r="AF209" s="267"/>
      <c r="AG209" s="267"/>
      <c r="AH209" s="267"/>
      <c r="AK209" s="267"/>
      <c r="AL209" s="267"/>
      <c r="AM209" s="267"/>
      <c r="AN209" s="267"/>
      <c r="AQ209" s="267"/>
      <c r="AR209" s="267"/>
      <c r="AS209" s="267"/>
      <c r="AT209" s="267"/>
      <c r="AW209" s="267"/>
      <c r="AX209" s="267"/>
      <c r="AY209" s="267"/>
      <c r="AZ209" s="267"/>
      <c r="BG209" s="269"/>
      <c r="BM209" s="269"/>
      <c r="BS209" s="269"/>
      <c r="BU209" s="267"/>
      <c r="BY209" s="267"/>
      <c r="CC209" s="267"/>
      <c r="CG209" s="267"/>
      <c r="CS209" s="267"/>
      <c r="CW209" s="270"/>
      <c r="CX209" s="267"/>
      <c r="DC209" s="267"/>
      <c r="DH209" s="267"/>
      <c r="DM209" s="267"/>
      <c r="DR209" s="267"/>
      <c r="DW209" s="267"/>
      <c r="EB209" s="267"/>
      <c r="EG209" s="267"/>
      <c r="EL209" s="267"/>
      <c r="EQ209" s="267"/>
      <c r="EU209" s="270"/>
      <c r="EV209" s="267"/>
      <c r="FC209" s="267"/>
      <c r="FD209" s="267"/>
      <c r="FE209" s="267"/>
      <c r="FF209" s="267"/>
      <c r="FG209" s="267"/>
      <c r="FL209" s="267"/>
      <c r="FM209" s="267"/>
      <c r="FN209" s="267"/>
      <c r="FO209" s="267"/>
      <c r="FP209" s="267"/>
      <c r="FQ209" s="264"/>
      <c r="FR209" s="264"/>
      <c r="FS209" s="264"/>
      <c r="FT209" s="264"/>
      <c r="FU209" s="267"/>
      <c r="FV209" s="267"/>
      <c r="FW209" s="267"/>
      <c r="FX209" s="267"/>
      <c r="FY209" s="267"/>
      <c r="GD209" s="267"/>
      <c r="GE209" s="267"/>
      <c r="GF209" s="267"/>
      <c r="GG209" s="267"/>
      <c r="GH209" s="267"/>
      <c r="GI209" s="264"/>
      <c r="GJ209" s="264"/>
      <c r="GK209" s="264"/>
      <c r="GL209" s="264"/>
      <c r="HD209" s="267"/>
      <c r="HE209" s="267"/>
      <c r="HF209" s="267"/>
      <c r="HG209" s="267"/>
      <c r="HH209" s="267"/>
      <c r="HI209" s="267"/>
      <c r="HJ209" s="267"/>
      <c r="HK209" s="267"/>
      <c r="HL209" s="267"/>
      <c r="HM209" s="267"/>
      <c r="HN209" s="267"/>
      <c r="HO209" s="267"/>
      <c r="HP209" s="267"/>
      <c r="HQ209" s="267"/>
      <c r="HR209" s="267"/>
      <c r="HS209" s="267"/>
      <c r="HT209" s="267"/>
      <c r="HU209" s="267"/>
      <c r="IH209" s="267"/>
      <c r="IK209" s="267"/>
      <c r="IN209" s="267"/>
      <c r="IQ209" s="267"/>
      <c r="IR209" s="267"/>
      <c r="IS209" s="267"/>
      <c r="IT209" s="274"/>
      <c r="IU209" s="274"/>
      <c r="IV209" s="272"/>
      <c r="IW209" s="274"/>
      <c r="IX209" s="274"/>
      <c r="IY209" s="272"/>
    </row>
    <row r="210" spans="10:259">
      <c r="J210" s="267"/>
      <c r="K210" s="267"/>
      <c r="L210" s="267"/>
      <c r="M210" s="267"/>
      <c r="N210" s="267"/>
      <c r="O210" s="267"/>
      <c r="P210" s="267"/>
      <c r="Q210" s="267"/>
      <c r="S210" s="267"/>
      <c r="T210" s="267"/>
      <c r="U210" s="267"/>
      <c r="V210" s="267"/>
      <c r="W210" s="264"/>
      <c r="Y210" s="267"/>
      <c r="Z210" s="267"/>
      <c r="AA210" s="267"/>
      <c r="AB210" s="267"/>
      <c r="AE210" s="267"/>
      <c r="AF210" s="267"/>
      <c r="AG210" s="267"/>
      <c r="AH210" s="267"/>
      <c r="AK210" s="267"/>
      <c r="AL210" s="267"/>
      <c r="AM210" s="267"/>
      <c r="AN210" s="267"/>
      <c r="AQ210" s="267"/>
      <c r="AR210" s="267"/>
      <c r="AS210" s="267"/>
      <c r="AT210" s="267"/>
      <c r="AW210" s="267"/>
      <c r="AX210" s="267"/>
      <c r="AY210" s="267"/>
      <c r="AZ210" s="267"/>
      <c r="BG210" s="269"/>
      <c r="BM210" s="269"/>
      <c r="BS210" s="269"/>
      <c r="BU210" s="267"/>
      <c r="BY210" s="267"/>
      <c r="CC210" s="267"/>
      <c r="CG210" s="267"/>
      <c r="CS210" s="267"/>
      <c r="CW210" s="270"/>
      <c r="CX210" s="267"/>
      <c r="DC210" s="267"/>
      <c r="DH210" s="267"/>
      <c r="DM210" s="267"/>
      <c r="DR210" s="267"/>
      <c r="DW210" s="267"/>
      <c r="EB210" s="267"/>
      <c r="EG210" s="267"/>
      <c r="EL210" s="267"/>
      <c r="EQ210" s="267"/>
      <c r="EU210" s="270"/>
      <c r="EV210" s="267"/>
      <c r="FC210" s="267"/>
      <c r="FD210" s="267"/>
      <c r="FE210" s="267"/>
      <c r="FF210" s="267"/>
      <c r="FG210" s="267"/>
      <c r="FL210" s="267"/>
      <c r="FM210" s="267"/>
      <c r="FN210" s="267"/>
      <c r="FO210" s="267"/>
      <c r="FP210" s="267"/>
      <c r="FQ210" s="264"/>
      <c r="FR210" s="264"/>
      <c r="FS210" s="264"/>
      <c r="FT210" s="264"/>
      <c r="FU210" s="267"/>
      <c r="FV210" s="267"/>
      <c r="FW210" s="267"/>
      <c r="FX210" s="267"/>
      <c r="FY210" s="267"/>
      <c r="GD210" s="267"/>
      <c r="GE210" s="267"/>
      <c r="GF210" s="267"/>
      <c r="GG210" s="267"/>
      <c r="GH210" s="267"/>
      <c r="GI210" s="264"/>
      <c r="GJ210" s="264"/>
      <c r="GK210" s="264"/>
      <c r="GL210" s="264"/>
      <c r="HD210" s="267"/>
      <c r="HE210" s="267"/>
      <c r="HF210" s="267"/>
      <c r="HG210" s="267"/>
      <c r="HH210" s="267"/>
      <c r="HI210" s="267"/>
      <c r="HJ210" s="267"/>
      <c r="HK210" s="267"/>
      <c r="HL210" s="267"/>
      <c r="HM210" s="267"/>
      <c r="HN210" s="267"/>
      <c r="HO210" s="267"/>
      <c r="HP210" s="267"/>
      <c r="HQ210" s="267"/>
      <c r="HR210" s="267"/>
      <c r="HS210" s="267"/>
      <c r="HT210" s="267"/>
      <c r="HU210" s="267"/>
      <c r="IH210" s="267"/>
      <c r="IK210" s="267"/>
      <c r="IN210" s="267"/>
      <c r="IQ210" s="267"/>
      <c r="IR210" s="267"/>
      <c r="IS210" s="267"/>
      <c r="IT210" s="274"/>
      <c r="IU210" s="274"/>
      <c r="IV210" s="272"/>
      <c r="IW210" s="274"/>
      <c r="IX210" s="274"/>
      <c r="IY210" s="272"/>
    </row>
    <row r="211" spans="10:259">
      <c r="J211" s="267"/>
      <c r="K211" s="267"/>
      <c r="L211" s="267"/>
      <c r="M211" s="267"/>
      <c r="N211" s="267"/>
      <c r="O211" s="267"/>
      <c r="P211" s="267"/>
      <c r="Q211" s="267"/>
      <c r="S211" s="267"/>
      <c r="T211" s="267"/>
      <c r="U211" s="267"/>
      <c r="V211" s="267"/>
      <c r="W211" s="264"/>
      <c r="Y211" s="267"/>
      <c r="Z211" s="267"/>
      <c r="AA211" s="267"/>
      <c r="AB211" s="267"/>
      <c r="AE211" s="267"/>
      <c r="AF211" s="267"/>
      <c r="AG211" s="267"/>
      <c r="AH211" s="267"/>
      <c r="AK211" s="267"/>
      <c r="AL211" s="267"/>
      <c r="AM211" s="267"/>
      <c r="AN211" s="267"/>
      <c r="AQ211" s="267"/>
      <c r="AR211" s="267"/>
      <c r="AS211" s="267"/>
      <c r="AT211" s="267"/>
      <c r="AW211" s="267"/>
      <c r="AX211" s="267"/>
      <c r="AY211" s="267"/>
      <c r="AZ211" s="267"/>
      <c r="BG211" s="269"/>
      <c r="BM211" s="269"/>
      <c r="BS211" s="269"/>
      <c r="BU211" s="267"/>
      <c r="BY211" s="267"/>
      <c r="CC211" s="267"/>
      <c r="CG211" s="267"/>
      <c r="CS211" s="267"/>
      <c r="CW211" s="270"/>
      <c r="CX211" s="267"/>
      <c r="DC211" s="267"/>
      <c r="DH211" s="267"/>
      <c r="DM211" s="267"/>
      <c r="DR211" s="267"/>
      <c r="DW211" s="267"/>
      <c r="EB211" s="267"/>
      <c r="EG211" s="267"/>
      <c r="EL211" s="267"/>
      <c r="EQ211" s="267"/>
      <c r="EU211" s="270"/>
      <c r="EV211" s="267"/>
      <c r="FC211" s="267"/>
      <c r="FD211" s="267"/>
      <c r="FE211" s="267"/>
      <c r="FF211" s="267"/>
      <c r="FG211" s="267"/>
      <c r="FL211" s="267"/>
      <c r="FM211" s="267"/>
      <c r="FN211" s="267"/>
      <c r="FO211" s="267"/>
      <c r="FP211" s="267"/>
      <c r="FQ211" s="264"/>
      <c r="FR211" s="264"/>
      <c r="FS211" s="264"/>
      <c r="FT211" s="264"/>
      <c r="FU211" s="267"/>
      <c r="FV211" s="267"/>
      <c r="FW211" s="267"/>
      <c r="FX211" s="267"/>
      <c r="FY211" s="267"/>
      <c r="GD211" s="267"/>
      <c r="GE211" s="267"/>
      <c r="GF211" s="267"/>
      <c r="GG211" s="267"/>
      <c r="GH211" s="267"/>
      <c r="GI211" s="264"/>
      <c r="GJ211" s="264"/>
      <c r="GK211" s="264"/>
      <c r="GL211" s="264"/>
      <c r="HD211" s="267"/>
      <c r="HE211" s="267"/>
      <c r="HF211" s="267"/>
      <c r="HG211" s="267"/>
      <c r="HH211" s="267"/>
      <c r="HI211" s="267"/>
      <c r="HJ211" s="267"/>
      <c r="HK211" s="267"/>
      <c r="HL211" s="267"/>
      <c r="HM211" s="267"/>
      <c r="HN211" s="267"/>
      <c r="HO211" s="267"/>
      <c r="HP211" s="267"/>
      <c r="HQ211" s="267"/>
      <c r="HR211" s="267"/>
      <c r="HS211" s="267"/>
      <c r="HT211" s="267"/>
      <c r="HU211" s="267"/>
      <c r="IH211" s="267"/>
      <c r="IK211" s="267"/>
      <c r="IN211" s="267"/>
      <c r="IQ211" s="267"/>
      <c r="IR211" s="267"/>
      <c r="IS211" s="267"/>
      <c r="IT211" s="274"/>
      <c r="IU211" s="274"/>
      <c r="IV211" s="272"/>
      <c r="IW211" s="274"/>
      <c r="IX211" s="274"/>
      <c r="IY211" s="272"/>
    </row>
    <row r="212" spans="10:259">
      <c r="J212" s="267"/>
      <c r="K212" s="267"/>
      <c r="L212" s="267"/>
      <c r="M212" s="267"/>
      <c r="N212" s="267"/>
      <c r="O212" s="267"/>
      <c r="P212" s="267"/>
      <c r="Q212" s="267"/>
      <c r="S212" s="267"/>
      <c r="T212" s="267"/>
      <c r="U212" s="267"/>
      <c r="V212" s="267"/>
      <c r="W212" s="264"/>
      <c r="Y212" s="267"/>
      <c r="Z212" s="267"/>
      <c r="AA212" s="267"/>
      <c r="AB212" s="267"/>
      <c r="AE212" s="267"/>
      <c r="AF212" s="267"/>
      <c r="AG212" s="267"/>
      <c r="AH212" s="267"/>
      <c r="AK212" s="267"/>
      <c r="AL212" s="267"/>
      <c r="AM212" s="267"/>
      <c r="AN212" s="267"/>
      <c r="AQ212" s="267"/>
      <c r="AR212" s="267"/>
      <c r="AS212" s="267"/>
      <c r="AT212" s="267"/>
      <c r="AW212" s="267"/>
      <c r="AX212" s="267"/>
      <c r="AY212" s="267"/>
      <c r="AZ212" s="267"/>
      <c r="BG212" s="269"/>
      <c r="BM212" s="269"/>
      <c r="BS212" s="269"/>
      <c r="BU212" s="267"/>
      <c r="BY212" s="267"/>
      <c r="CC212" s="267"/>
      <c r="CG212" s="267"/>
      <c r="CS212" s="267"/>
      <c r="CW212" s="270"/>
      <c r="CX212" s="267"/>
      <c r="DC212" s="267"/>
      <c r="DH212" s="267"/>
      <c r="DM212" s="267"/>
      <c r="DR212" s="267"/>
      <c r="DW212" s="267"/>
      <c r="EB212" s="267"/>
      <c r="EG212" s="267"/>
      <c r="EL212" s="267"/>
      <c r="EQ212" s="267"/>
      <c r="EU212" s="270"/>
      <c r="EV212" s="267"/>
      <c r="FC212" s="267"/>
      <c r="FD212" s="267"/>
      <c r="FE212" s="267"/>
      <c r="FF212" s="267"/>
      <c r="FG212" s="267"/>
      <c r="FL212" s="267"/>
      <c r="FM212" s="267"/>
      <c r="FN212" s="267"/>
      <c r="FO212" s="267"/>
      <c r="FP212" s="267"/>
      <c r="FQ212" s="264"/>
      <c r="FR212" s="264"/>
      <c r="FS212" s="264"/>
      <c r="FT212" s="264"/>
      <c r="FU212" s="267"/>
      <c r="FV212" s="267"/>
      <c r="FW212" s="267"/>
      <c r="FX212" s="267"/>
      <c r="FY212" s="267"/>
      <c r="GD212" s="267"/>
      <c r="GE212" s="267"/>
      <c r="GF212" s="267"/>
      <c r="GG212" s="267"/>
      <c r="GH212" s="267"/>
      <c r="GI212" s="264"/>
      <c r="GJ212" s="264"/>
      <c r="GK212" s="264"/>
      <c r="GL212" s="264"/>
      <c r="HD212" s="267"/>
      <c r="HE212" s="267"/>
      <c r="HF212" s="267"/>
      <c r="HG212" s="267"/>
      <c r="HH212" s="267"/>
      <c r="HI212" s="267"/>
      <c r="HJ212" s="267"/>
      <c r="HK212" s="267"/>
      <c r="HL212" s="267"/>
      <c r="HM212" s="267"/>
      <c r="HN212" s="267"/>
      <c r="HO212" s="267"/>
      <c r="HP212" s="267"/>
      <c r="HQ212" s="267"/>
      <c r="HR212" s="267"/>
      <c r="HS212" s="267"/>
      <c r="HT212" s="267"/>
      <c r="HU212" s="267"/>
      <c r="IH212" s="267"/>
      <c r="IK212" s="267"/>
      <c r="IN212" s="267"/>
      <c r="IQ212" s="267"/>
      <c r="IR212" s="267"/>
      <c r="IS212" s="267"/>
      <c r="IT212" s="274"/>
      <c r="IU212" s="274"/>
      <c r="IV212" s="272"/>
      <c r="IW212" s="274"/>
      <c r="IX212" s="274"/>
      <c r="IY212" s="272"/>
    </row>
    <row r="213" spans="10:259">
      <c r="J213" s="267"/>
      <c r="K213" s="267"/>
      <c r="L213" s="267"/>
      <c r="M213" s="267"/>
      <c r="N213" s="267"/>
      <c r="O213" s="267"/>
      <c r="P213" s="267"/>
      <c r="Q213" s="267"/>
      <c r="S213" s="267"/>
      <c r="T213" s="267"/>
      <c r="U213" s="267"/>
      <c r="V213" s="267"/>
      <c r="W213" s="264"/>
      <c r="Y213" s="267"/>
      <c r="Z213" s="267"/>
      <c r="AA213" s="267"/>
      <c r="AB213" s="267"/>
      <c r="AE213" s="267"/>
      <c r="AF213" s="267"/>
      <c r="AG213" s="267"/>
      <c r="AH213" s="267"/>
      <c r="AK213" s="267"/>
      <c r="AL213" s="267"/>
      <c r="AM213" s="267"/>
      <c r="AN213" s="267"/>
      <c r="AQ213" s="267"/>
      <c r="AR213" s="267"/>
      <c r="AS213" s="267"/>
      <c r="AT213" s="267"/>
      <c r="AW213" s="267"/>
      <c r="AX213" s="267"/>
      <c r="AY213" s="267"/>
      <c r="AZ213" s="267"/>
      <c r="BG213" s="269"/>
      <c r="BM213" s="269"/>
      <c r="BS213" s="269"/>
      <c r="BU213" s="267"/>
      <c r="BY213" s="267"/>
      <c r="CC213" s="267"/>
      <c r="CG213" s="267"/>
      <c r="CS213" s="267"/>
      <c r="CW213" s="270"/>
      <c r="CX213" s="267"/>
      <c r="DC213" s="267"/>
      <c r="DH213" s="267"/>
      <c r="DM213" s="267"/>
      <c r="DR213" s="267"/>
      <c r="DW213" s="267"/>
      <c r="EB213" s="267"/>
      <c r="EG213" s="267"/>
      <c r="EL213" s="267"/>
      <c r="EQ213" s="267"/>
      <c r="EU213" s="270"/>
      <c r="EV213" s="267"/>
      <c r="FC213" s="267"/>
      <c r="FD213" s="267"/>
      <c r="FE213" s="267"/>
      <c r="FF213" s="267"/>
      <c r="FG213" s="267"/>
      <c r="FL213" s="267"/>
      <c r="FM213" s="267"/>
      <c r="FN213" s="267"/>
      <c r="FO213" s="267"/>
      <c r="FP213" s="267"/>
      <c r="FQ213" s="264"/>
      <c r="FR213" s="264"/>
      <c r="FS213" s="264"/>
      <c r="FT213" s="264"/>
      <c r="FU213" s="267"/>
      <c r="FV213" s="267"/>
      <c r="FW213" s="267"/>
      <c r="FX213" s="267"/>
      <c r="FY213" s="267"/>
      <c r="GD213" s="267"/>
      <c r="GE213" s="267"/>
      <c r="GF213" s="267"/>
      <c r="GG213" s="267"/>
      <c r="GH213" s="267"/>
      <c r="GI213" s="264"/>
      <c r="GJ213" s="264"/>
      <c r="GK213" s="264"/>
      <c r="GL213" s="264"/>
      <c r="HD213" s="267"/>
      <c r="HE213" s="267"/>
      <c r="HF213" s="267"/>
      <c r="HG213" s="267"/>
      <c r="HH213" s="267"/>
      <c r="HI213" s="267"/>
      <c r="HJ213" s="267"/>
      <c r="HK213" s="267"/>
      <c r="HL213" s="267"/>
      <c r="HM213" s="267"/>
      <c r="HN213" s="267"/>
      <c r="HO213" s="267"/>
      <c r="HP213" s="267"/>
      <c r="HQ213" s="267"/>
      <c r="HR213" s="267"/>
      <c r="HS213" s="267"/>
      <c r="HT213" s="267"/>
      <c r="HU213" s="267"/>
      <c r="IH213" s="267"/>
      <c r="IK213" s="267"/>
      <c r="IN213" s="267"/>
      <c r="IQ213" s="267"/>
      <c r="IR213" s="267"/>
      <c r="IS213" s="267"/>
      <c r="IT213" s="274"/>
      <c r="IU213" s="274"/>
      <c r="IV213" s="272"/>
      <c r="IW213" s="274"/>
      <c r="IX213" s="274"/>
      <c r="IY213" s="272"/>
    </row>
    <row r="214" spans="10:259">
      <c r="J214" s="267"/>
      <c r="K214" s="267"/>
      <c r="L214" s="267"/>
      <c r="M214" s="267"/>
      <c r="N214" s="267"/>
      <c r="O214" s="267"/>
      <c r="P214" s="267"/>
      <c r="Q214" s="267"/>
      <c r="S214" s="267"/>
      <c r="T214" s="267"/>
      <c r="U214" s="267"/>
      <c r="V214" s="267"/>
      <c r="W214" s="264"/>
      <c r="Y214" s="267"/>
      <c r="Z214" s="267"/>
      <c r="AA214" s="267"/>
      <c r="AB214" s="267"/>
      <c r="AE214" s="267"/>
      <c r="AF214" s="267"/>
      <c r="AG214" s="267"/>
      <c r="AH214" s="267"/>
      <c r="AK214" s="267"/>
      <c r="AL214" s="267"/>
      <c r="AM214" s="267"/>
      <c r="AN214" s="267"/>
      <c r="AQ214" s="267"/>
      <c r="AR214" s="267"/>
      <c r="AS214" s="267"/>
      <c r="AT214" s="267"/>
      <c r="AW214" s="267"/>
      <c r="AX214" s="267"/>
      <c r="AY214" s="267"/>
      <c r="AZ214" s="267"/>
      <c r="BG214" s="269"/>
      <c r="BM214" s="269"/>
      <c r="BS214" s="269"/>
      <c r="BU214" s="267"/>
      <c r="BY214" s="267"/>
      <c r="CC214" s="267"/>
      <c r="CG214" s="267"/>
      <c r="CS214" s="267"/>
      <c r="CW214" s="270"/>
      <c r="CX214" s="267"/>
      <c r="DC214" s="267"/>
      <c r="DH214" s="267"/>
      <c r="DM214" s="267"/>
      <c r="DR214" s="267"/>
      <c r="DW214" s="267"/>
      <c r="EB214" s="267"/>
      <c r="EG214" s="267"/>
      <c r="EL214" s="267"/>
      <c r="EQ214" s="267"/>
      <c r="EU214" s="270"/>
      <c r="EV214" s="267"/>
      <c r="FC214" s="267"/>
      <c r="FD214" s="267"/>
      <c r="FE214" s="267"/>
      <c r="FF214" s="267"/>
      <c r="FG214" s="267"/>
      <c r="FL214" s="267"/>
      <c r="FM214" s="267"/>
      <c r="FN214" s="267"/>
      <c r="FO214" s="267"/>
      <c r="FP214" s="267"/>
      <c r="FQ214" s="264"/>
      <c r="FR214" s="264"/>
      <c r="FS214" s="264"/>
      <c r="FT214" s="264"/>
      <c r="FU214" s="267"/>
      <c r="FV214" s="267"/>
      <c r="FW214" s="267"/>
      <c r="FX214" s="267"/>
      <c r="FY214" s="267"/>
      <c r="GD214" s="267"/>
      <c r="GE214" s="267"/>
      <c r="GF214" s="267"/>
      <c r="GG214" s="267"/>
      <c r="GH214" s="267"/>
      <c r="GI214" s="264"/>
      <c r="GJ214" s="264"/>
      <c r="GK214" s="264"/>
      <c r="GL214" s="264"/>
      <c r="HD214" s="267"/>
      <c r="HE214" s="267"/>
      <c r="HF214" s="267"/>
      <c r="HG214" s="267"/>
      <c r="HH214" s="267"/>
      <c r="HI214" s="267"/>
      <c r="HJ214" s="267"/>
      <c r="HK214" s="267"/>
      <c r="HL214" s="267"/>
      <c r="HM214" s="267"/>
      <c r="HN214" s="267"/>
      <c r="HO214" s="267"/>
      <c r="HP214" s="267"/>
      <c r="HQ214" s="267"/>
      <c r="HR214" s="267"/>
      <c r="HS214" s="267"/>
      <c r="HT214" s="267"/>
      <c r="HU214" s="267"/>
      <c r="IH214" s="267"/>
      <c r="IK214" s="267"/>
      <c r="IN214" s="267"/>
      <c r="IQ214" s="267"/>
      <c r="IR214" s="267"/>
      <c r="IS214" s="267"/>
      <c r="IT214" s="274"/>
      <c r="IU214" s="274"/>
      <c r="IV214" s="272"/>
      <c r="IW214" s="274"/>
      <c r="IX214" s="274"/>
      <c r="IY214" s="272"/>
    </row>
    <row r="215" spans="10:259">
      <c r="J215" s="267"/>
      <c r="K215" s="267"/>
      <c r="L215" s="267"/>
      <c r="M215" s="267"/>
      <c r="N215" s="267"/>
      <c r="O215" s="267"/>
      <c r="P215" s="267"/>
      <c r="Q215" s="267"/>
      <c r="S215" s="267"/>
      <c r="T215" s="267"/>
      <c r="U215" s="267"/>
      <c r="V215" s="267"/>
      <c r="W215" s="264"/>
      <c r="Y215" s="267"/>
      <c r="Z215" s="267"/>
      <c r="AA215" s="267"/>
      <c r="AB215" s="267"/>
      <c r="AE215" s="267"/>
      <c r="AF215" s="267"/>
      <c r="AG215" s="267"/>
      <c r="AH215" s="267"/>
      <c r="AK215" s="267"/>
      <c r="AL215" s="267"/>
      <c r="AM215" s="267"/>
      <c r="AN215" s="267"/>
      <c r="AQ215" s="267"/>
      <c r="AR215" s="267"/>
      <c r="AS215" s="267"/>
      <c r="AT215" s="267"/>
      <c r="AW215" s="267"/>
      <c r="AX215" s="267"/>
      <c r="AY215" s="267"/>
      <c r="AZ215" s="267"/>
      <c r="BG215" s="269"/>
      <c r="BM215" s="269"/>
      <c r="BS215" s="269"/>
      <c r="BU215" s="267"/>
      <c r="BY215" s="267"/>
      <c r="CC215" s="267"/>
      <c r="CG215" s="267"/>
      <c r="CS215" s="267"/>
      <c r="CW215" s="270"/>
      <c r="CX215" s="267"/>
      <c r="DC215" s="267"/>
      <c r="DH215" s="267"/>
      <c r="DM215" s="267"/>
      <c r="DR215" s="267"/>
      <c r="DW215" s="267"/>
      <c r="EB215" s="267"/>
      <c r="EG215" s="267"/>
      <c r="EL215" s="267"/>
      <c r="EQ215" s="267"/>
      <c r="EU215" s="270"/>
      <c r="EV215" s="267"/>
      <c r="FC215" s="267"/>
      <c r="FD215" s="267"/>
      <c r="FE215" s="267"/>
      <c r="FF215" s="267"/>
      <c r="FG215" s="267"/>
      <c r="FL215" s="267"/>
      <c r="FM215" s="267"/>
      <c r="FN215" s="267"/>
      <c r="FO215" s="267"/>
      <c r="FP215" s="267"/>
      <c r="FQ215" s="264"/>
      <c r="FR215" s="264"/>
      <c r="FS215" s="264"/>
      <c r="FT215" s="264"/>
      <c r="FU215" s="267"/>
      <c r="FV215" s="267"/>
      <c r="FW215" s="267"/>
      <c r="FX215" s="267"/>
      <c r="FY215" s="267"/>
      <c r="GD215" s="267"/>
      <c r="GE215" s="267"/>
      <c r="GF215" s="267"/>
      <c r="GG215" s="267"/>
      <c r="GH215" s="267"/>
      <c r="GI215" s="264"/>
      <c r="GJ215" s="264"/>
      <c r="GK215" s="264"/>
      <c r="GL215" s="264"/>
      <c r="HD215" s="267"/>
      <c r="HE215" s="267"/>
      <c r="HF215" s="267"/>
      <c r="HG215" s="267"/>
      <c r="HH215" s="267"/>
      <c r="HI215" s="267"/>
      <c r="HJ215" s="267"/>
      <c r="HK215" s="267"/>
      <c r="HL215" s="267"/>
      <c r="HM215" s="267"/>
      <c r="HN215" s="267"/>
      <c r="HO215" s="267"/>
      <c r="HP215" s="267"/>
      <c r="HQ215" s="267"/>
      <c r="HR215" s="267"/>
      <c r="HS215" s="267"/>
      <c r="HT215" s="267"/>
      <c r="HU215" s="267"/>
      <c r="IH215" s="267"/>
      <c r="IK215" s="267"/>
      <c r="IN215" s="267"/>
      <c r="IQ215" s="267"/>
      <c r="IR215" s="267"/>
      <c r="IS215" s="267"/>
      <c r="IT215" s="274"/>
      <c r="IU215" s="274"/>
      <c r="IV215" s="272"/>
      <c r="IW215" s="274"/>
      <c r="IX215" s="274"/>
      <c r="IY215" s="272"/>
    </row>
    <row r="216" spans="10:259">
      <c r="J216" s="267"/>
      <c r="K216" s="267"/>
      <c r="L216" s="267"/>
      <c r="M216" s="267"/>
      <c r="N216" s="267"/>
      <c r="O216" s="267"/>
      <c r="P216" s="267"/>
      <c r="Q216" s="267"/>
      <c r="S216" s="267"/>
      <c r="T216" s="267"/>
      <c r="U216" s="267"/>
      <c r="V216" s="267"/>
      <c r="W216" s="264"/>
      <c r="Y216" s="267"/>
      <c r="Z216" s="267"/>
      <c r="AA216" s="267"/>
      <c r="AB216" s="267"/>
      <c r="AE216" s="267"/>
      <c r="AF216" s="267"/>
      <c r="AG216" s="267"/>
      <c r="AH216" s="267"/>
      <c r="AK216" s="267"/>
      <c r="AL216" s="267"/>
      <c r="AM216" s="267"/>
      <c r="AN216" s="267"/>
      <c r="AQ216" s="267"/>
      <c r="AR216" s="267"/>
      <c r="AS216" s="267"/>
      <c r="AT216" s="267"/>
      <c r="AW216" s="267"/>
      <c r="AX216" s="267"/>
      <c r="AY216" s="267"/>
      <c r="AZ216" s="267"/>
      <c r="BG216" s="269"/>
      <c r="BM216" s="269"/>
      <c r="BS216" s="269"/>
      <c r="BU216" s="267"/>
      <c r="BY216" s="267"/>
      <c r="CC216" s="267"/>
      <c r="CG216" s="267"/>
      <c r="CS216" s="267"/>
      <c r="CW216" s="270"/>
      <c r="CX216" s="267"/>
      <c r="DC216" s="267"/>
      <c r="DH216" s="267"/>
      <c r="DM216" s="267"/>
      <c r="DR216" s="267"/>
      <c r="DW216" s="267"/>
      <c r="EB216" s="267"/>
      <c r="EG216" s="267"/>
      <c r="EL216" s="267"/>
      <c r="EQ216" s="267"/>
      <c r="EU216" s="270"/>
      <c r="EV216" s="267"/>
      <c r="FC216" s="267"/>
      <c r="FD216" s="267"/>
      <c r="FE216" s="267"/>
      <c r="FF216" s="267"/>
      <c r="FG216" s="267"/>
      <c r="FL216" s="267"/>
      <c r="FM216" s="267"/>
      <c r="FN216" s="267"/>
      <c r="FO216" s="267"/>
      <c r="FP216" s="267"/>
      <c r="FQ216" s="264"/>
      <c r="FR216" s="264"/>
      <c r="FS216" s="264"/>
      <c r="FT216" s="264"/>
      <c r="FU216" s="267"/>
      <c r="FV216" s="267"/>
      <c r="FW216" s="267"/>
      <c r="FX216" s="267"/>
      <c r="FY216" s="267"/>
      <c r="GD216" s="267"/>
      <c r="GE216" s="267"/>
      <c r="GF216" s="267"/>
      <c r="GG216" s="267"/>
      <c r="GH216" s="267"/>
      <c r="GI216" s="264"/>
      <c r="GJ216" s="264"/>
      <c r="GK216" s="264"/>
      <c r="GL216" s="264"/>
      <c r="HD216" s="267"/>
      <c r="HE216" s="267"/>
      <c r="HF216" s="267"/>
      <c r="HG216" s="267"/>
      <c r="HH216" s="267"/>
      <c r="HI216" s="267"/>
      <c r="HJ216" s="267"/>
      <c r="HK216" s="267"/>
      <c r="HL216" s="267"/>
      <c r="HM216" s="267"/>
      <c r="HN216" s="267"/>
      <c r="HO216" s="267"/>
      <c r="HP216" s="267"/>
      <c r="HQ216" s="267"/>
      <c r="HR216" s="267"/>
      <c r="HS216" s="267"/>
      <c r="HT216" s="267"/>
      <c r="HU216" s="267"/>
      <c r="IH216" s="267"/>
      <c r="IK216" s="267"/>
      <c r="IN216" s="267"/>
      <c r="IQ216" s="267"/>
      <c r="IR216" s="267"/>
      <c r="IS216" s="267"/>
      <c r="IT216" s="274"/>
      <c r="IU216" s="274"/>
      <c r="IV216" s="272"/>
      <c r="IW216" s="274"/>
      <c r="IX216" s="274"/>
      <c r="IY216" s="272"/>
    </row>
    <row r="217" spans="10:259">
      <c r="J217" s="267"/>
      <c r="K217" s="267"/>
      <c r="L217" s="267"/>
      <c r="M217" s="267"/>
      <c r="N217" s="267"/>
      <c r="O217" s="267"/>
      <c r="P217" s="267"/>
      <c r="Q217" s="267"/>
      <c r="S217" s="267"/>
      <c r="T217" s="267"/>
      <c r="U217" s="267"/>
      <c r="V217" s="267"/>
      <c r="W217" s="264"/>
      <c r="Y217" s="267"/>
      <c r="Z217" s="267"/>
      <c r="AA217" s="267"/>
      <c r="AB217" s="267"/>
      <c r="AE217" s="267"/>
      <c r="AF217" s="267"/>
      <c r="AG217" s="267"/>
      <c r="AH217" s="267"/>
      <c r="AK217" s="267"/>
      <c r="AL217" s="267"/>
      <c r="AM217" s="267"/>
      <c r="AN217" s="267"/>
      <c r="AQ217" s="267"/>
      <c r="AR217" s="267"/>
      <c r="AS217" s="267"/>
      <c r="AT217" s="267"/>
      <c r="AW217" s="267"/>
      <c r="AX217" s="267"/>
      <c r="AY217" s="267"/>
      <c r="AZ217" s="267"/>
      <c r="BG217" s="269"/>
      <c r="BM217" s="269"/>
      <c r="BS217" s="269"/>
      <c r="BU217" s="267"/>
      <c r="BY217" s="267"/>
      <c r="CC217" s="267"/>
      <c r="CG217" s="267"/>
      <c r="CS217" s="267"/>
      <c r="CW217" s="270"/>
      <c r="CX217" s="267"/>
      <c r="DC217" s="267"/>
      <c r="DH217" s="267"/>
      <c r="DM217" s="267"/>
      <c r="DR217" s="267"/>
      <c r="DW217" s="267"/>
      <c r="EB217" s="267"/>
      <c r="EG217" s="267"/>
      <c r="EL217" s="267"/>
      <c r="EQ217" s="267"/>
      <c r="EU217" s="270"/>
      <c r="EV217" s="267"/>
      <c r="FC217" s="267"/>
      <c r="FD217" s="267"/>
      <c r="FE217" s="267"/>
      <c r="FF217" s="267"/>
      <c r="FG217" s="267"/>
      <c r="FL217" s="267"/>
      <c r="FM217" s="267"/>
      <c r="FN217" s="267"/>
      <c r="FO217" s="267"/>
      <c r="FP217" s="267"/>
      <c r="FQ217" s="264"/>
      <c r="FR217" s="264"/>
      <c r="FS217" s="264"/>
      <c r="FT217" s="264"/>
      <c r="FU217" s="267"/>
      <c r="FV217" s="267"/>
      <c r="FW217" s="267"/>
      <c r="FX217" s="267"/>
      <c r="FY217" s="267"/>
      <c r="GD217" s="267"/>
      <c r="GE217" s="267"/>
      <c r="GF217" s="267"/>
      <c r="GG217" s="267"/>
      <c r="GH217" s="267"/>
      <c r="GI217" s="264"/>
      <c r="GJ217" s="264"/>
      <c r="GK217" s="264"/>
      <c r="GL217" s="264"/>
      <c r="HD217" s="267"/>
      <c r="HE217" s="267"/>
      <c r="HF217" s="267"/>
      <c r="HG217" s="267"/>
      <c r="HH217" s="267"/>
      <c r="HI217" s="267"/>
      <c r="HJ217" s="267"/>
      <c r="HK217" s="267"/>
      <c r="HL217" s="267"/>
      <c r="HM217" s="267"/>
      <c r="HN217" s="267"/>
      <c r="HO217" s="267"/>
      <c r="HP217" s="267"/>
      <c r="HQ217" s="267"/>
      <c r="HR217" s="267"/>
      <c r="HS217" s="267"/>
      <c r="HT217" s="267"/>
      <c r="HU217" s="267"/>
      <c r="IH217" s="267"/>
      <c r="IK217" s="267"/>
      <c r="IN217" s="267"/>
      <c r="IQ217" s="267"/>
      <c r="IR217" s="267"/>
      <c r="IS217" s="267"/>
      <c r="IT217" s="274"/>
      <c r="IU217" s="274"/>
      <c r="IV217" s="272"/>
      <c r="IW217" s="274"/>
      <c r="IX217" s="274"/>
      <c r="IY217" s="272"/>
    </row>
    <row r="218" spans="10:259">
      <c r="J218" s="267"/>
      <c r="K218" s="267"/>
      <c r="L218" s="267"/>
      <c r="M218" s="267"/>
      <c r="N218" s="267"/>
      <c r="O218" s="267"/>
      <c r="P218" s="267"/>
      <c r="Q218" s="267"/>
      <c r="S218" s="267"/>
      <c r="T218" s="267"/>
      <c r="U218" s="267"/>
      <c r="V218" s="267"/>
      <c r="W218" s="264"/>
      <c r="Y218" s="267"/>
      <c r="Z218" s="267"/>
      <c r="AA218" s="267"/>
      <c r="AB218" s="267"/>
      <c r="AE218" s="267"/>
      <c r="AF218" s="267"/>
      <c r="AG218" s="267"/>
      <c r="AH218" s="267"/>
      <c r="AK218" s="267"/>
      <c r="AL218" s="267"/>
      <c r="AM218" s="267"/>
      <c r="AN218" s="267"/>
      <c r="AQ218" s="267"/>
      <c r="AR218" s="267"/>
      <c r="AS218" s="267"/>
      <c r="AT218" s="267"/>
      <c r="AW218" s="267"/>
      <c r="AX218" s="267"/>
      <c r="AY218" s="267"/>
      <c r="AZ218" s="267"/>
      <c r="BG218" s="269"/>
      <c r="BM218" s="269"/>
      <c r="BS218" s="269"/>
      <c r="BU218" s="267"/>
      <c r="BY218" s="267"/>
      <c r="CC218" s="267"/>
      <c r="CG218" s="267"/>
      <c r="CS218" s="267"/>
      <c r="CW218" s="270"/>
      <c r="CX218" s="267"/>
      <c r="DC218" s="267"/>
      <c r="DH218" s="267"/>
      <c r="DM218" s="267"/>
      <c r="DR218" s="267"/>
      <c r="DW218" s="267"/>
      <c r="EB218" s="267"/>
      <c r="EG218" s="267"/>
      <c r="EL218" s="267"/>
      <c r="EQ218" s="267"/>
      <c r="EU218" s="270"/>
      <c r="EV218" s="267"/>
      <c r="FC218" s="267"/>
      <c r="FD218" s="267"/>
      <c r="FE218" s="267"/>
      <c r="FF218" s="267"/>
      <c r="FG218" s="267"/>
      <c r="FL218" s="267"/>
      <c r="FM218" s="267"/>
      <c r="FN218" s="267"/>
      <c r="FO218" s="267"/>
      <c r="FP218" s="267"/>
      <c r="FQ218" s="264"/>
      <c r="FR218" s="264"/>
      <c r="FS218" s="264"/>
      <c r="FT218" s="264"/>
      <c r="FU218" s="267"/>
      <c r="FV218" s="267"/>
      <c r="FW218" s="267"/>
      <c r="FX218" s="267"/>
      <c r="FY218" s="267"/>
      <c r="GD218" s="267"/>
      <c r="GE218" s="267"/>
      <c r="GF218" s="267"/>
      <c r="GG218" s="267"/>
      <c r="GH218" s="267"/>
      <c r="GI218" s="264"/>
      <c r="GJ218" s="264"/>
      <c r="GK218" s="264"/>
      <c r="GL218" s="264"/>
      <c r="HD218" s="267"/>
      <c r="HE218" s="267"/>
      <c r="HF218" s="267"/>
      <c r="HG218" s="267"/>
      <c r="HH218" s="267"/>
      <c r="HI218" s="267"/>
      <c r="HJ218" s="267"/>
      <c r="HK218" s="267"/>
      <c r="HL218" s="267"/>
      <c r="HM218" s="267"/>
      <c r="HN218" s="267"/>
      <c r="HO218" s="267"/>
      <c r="HP218" s="267"/>
      <c r="HQ218" s="267"/>
      <c r="HR218" s="267"/>
      <c r="HS218" s="267"/>
      <c r="HT218" s="267"/>
      <c r="HU218" s="267"/>
      <c r="IH218" s="267"/>
      <c r="IK218" s="267"/>
      <c r="IN218" s="267"/>
      <c r="IQ218" s="267"/>
      <c r="IR218" s="267"/>
      <c r="IS218" s="267"/>
      <c r="IT218" s="274"/>
      <c r="IU218" s="274"/>
      <c r="IV218" s="272"/>
      <c r="IW218" s="274"/>
      <c r="IX218" s="274"/>
      <c r="IY218" s="272"/>
    </row>
    <row r="219" spans="10:259">
      <c r="J219" s="267"/>
      <c r="K219" s="267"/>
      <c r="L219" s="267"/>
      <c r="M219" s="267"/>
      <c r="N219" s="267"/>
      <c r="O219" s="267"/>
      <c r="P219" s="267"/>
      <c r="Q219" s="267"/>
      <c r="S219" s="267"/>
      <c r="T219" s="267"/>
      <c r="U219" s="267"/>
      <c r="V219" s="267"/>
      <c r="W219" s="264"/>
      <c r="Y219" s="267"/>
      <c r="Z219" s="267"/>
      <c r="AA219" s="267"/>
      <c r="AB219" s="267"/>
      <c r="AE219" s="267"/>
      <c r="AF219" s="267"/>
      <c r="AG219" s="267"/>
      <c r="AH219" s="267"/>
      <c r="AK219" s="267"/>
      <c r="AL219" s="267"/>
      <c r="AM219" s="267"/>
      <c r="AN219" s="267"/>
      <c r="AQ219" s="267"/>
      <c r="AR219" s="267"/>
      <c r="AS219" s="267"/>
      <c r="AT219" s="267"/>
      <c r="AW219" s="267"/>
      <c r="AX219" s="267"/>
      <c r="AY219" s="267"/>
      <c r="AZ219" s="267"/>
      <c r="BG219" s="269"/>
      <c r="BM219" s="269"/>
      <c r="BS219" s="269"/>
      <c r="BU219" s="267"/>
      <c r="BY219" s="267"/>
      <c r="CC219" s="267"/>
      <c r="CG219" s="267"/>
      <c r="CS219" s="267"/>
      <c r="CW219" s="270"/>
      <c r="CX219" s="267"/>
      <c r="DC219" s="267"/>
      <c r="DH219" s="267"/>
      <c r="DM219" s="267"/>
      <c r="DR219" s="267"/>
      <c r="DW219" s="267"/>
      <c r="EB219" s="267"/>
      <c r="EG219" s="267"/>
      <c r="EL219" s="267"/>
      <c r="EQ219" s="267"/>
      <c r="EU219" s="270"/>
      <c r="EV219" s="267"/>
      <c r="FC219" s="267"/>
      <c r="FD219" s="267"/>
      <c r="FE219" s="267"/>
      <c r="FF219" s="267"/>
      <c r="FG219" s="267"/>
      <c r="FL219" s="267"/>
      <c r="FM219" s="267"/>
      <c r="FN219" s="267"/>
      <c r="FO219" s="267"/>
      <c r="FP219" s="267"/>
      <c r="FQ219" s="264"/>
      <c r="FR219" s="264"/>
      <c r="FS219" s="264"/>
      <c r="FT219" s="264"/>
      <c r="FU219" s="267"/>
      <c r="FV219" s="267"/>
      <c r="FW219" s="267"/>
      <c r="FX219" s="267"/>
      <c r="FY219" s="267"/>
      <c r="GD219" s="267"/>
      <c r="GE219" s="267"/>
      <c r="GF219" s="267"/>
      <c r="GG219" s="267"/>
      <c r="GH219" s="267"/>
      <c r="GI219" s="264"/>
      <c r="GJ219" s="264"/>
      <c r="GK219" s="264"/>
      <c r="GL219" s="264"/>
      <c r="HD219" s="267"/>
      <c r="HE219" s="267"/>
      <c r="HF219" s="267"/>
      <c r="HG219" s="267"/>
      <c r="HH219" s="267"/>
      <c r="HI219" s="267"/>
      <c r="HJ219" s="267"/>
      <c r="HK219" s="267"/>
      <c r="HL219" s="267"/>
      <c r="HM219" s="267"/>
      <c r="HN219" s="267"/>
      <c r="HO219" s="267"/>
      <c r="HP219" s="267"/>
      <c r="HQ219" s="267"/>
      <c r="HR219" s="267"/>
      <c r="HS219" s="267"/>
      <c r="HT219" s="267"/>
      <c r="HU219" s="267"/>
      <c r="IH219" s="267"/>
      <c r="IK219" s="267"/>
      <c r="IN219" s="267"/>
      <c r="IQ219" s="267"/>
      <c r="IR219" s="267"/>
      <c r="IS219" s="267"/>
      <c r="IT219" s="274"/>
      <c r="IU219" s="274"/>
      <c r="IV219" s="272"/>
      <c r="IW219" s="274"/>
      <c r="IX219" s="274"/>
      <c r="IY219" s="272"/>
    </row>
    <row r="220" spans="10:259">
      <c r="J220" s="267"/>
      <c r="K220" s="267"/>
      <c r="L220" s="267"/>
      <c r="M220" s="267"/>
      <c r="N220" s="267"/>
      <c r="O220" s="267"/>
      <c r="P220" s="267"/>
      <c r="Q220" s="267"/>
      <c r="S220" s="267"/>
      <c r="T220" s="267"/>
      <c r="U220" s="267"/>
      <c r="V220" s="267"/>
      <c r="W220" s="264"/>
      <c r="Y220" s="267"/>
      <c r="Z220" s="267"/>
      <c r="AA220" s="267"/>
      <c r="AB220" s="267"/>
      <c r="AE220" s="267"/>
      <c r="AF220" s="267"/>
      <c r="AG220" s="267"/>
      <c r="AH220" s="267"/>
      <c r="AK220" s="267"/>
      <c r="AL220" s="267"/>
      <c r="AM220" s="267"/>
      <c r="AN220" s="267"/>
      <c r="AQ220" s="267"/>
      <c r="AR220" s="267"/>
      <c r="AS220" s="267"/>
      <c r="AT220" s="267"/>
      <c r="AW220" s="267"/>
      <c r="AX220" s="267"/>
      <c r="AY220" s="267"/>
      <c r="AZ220" s="267"/>
      <c r="BG220" s="269"/>
      <c r="BM220" s="269"/>
      <c r="BS220" s="269"/>
      <c r="BU220" s="267"/>
      <c r="BY220" s="267"/>
      <c r="CC220" s="267"/>
      <c r="CG220" s="267"/>
      <c r="CS220" s="267"/>
      <c r="CW220" s="270"/>
      <c r="CX220" s="267"/>
      <c r="DC220" s="267"/>
      <c r="DH220" s="267"/>
      <c r="DM220" s="267"/>
      <c r="DR220" s="267"/>
      <c r="DW220" s="267"/>
      <c r="EB220" s="267"/>
      <c r="EG220" s="267"/>
      <c r="EL220" s="267"/>
      <c r="EQ220" s="267"/>
      <c r="EU220" s="270"/>
      <c r="EV220" s="267"/>
      <c r="FC220" s="267"/>
      <c r="FD220" s="267"/>
      <c r="FE220" s="267"/>
      <c r="FF220" s="267"/>
      <c r="FG220" s="267"/>
      <c r="FL220" s="267"/>
      <c r="FM220" s="267"/>
      <c r="FN220" s="267"/>
      <c r="FO220" s="267"/>
      <c r="FP220" s="267"/>
      <c r="FQ220" s="264"/>
      <c r="FR220" s="264"/>
      <c r="FS220" s="264"/>
      <c r="FT220" s="264"/>
      <c r="FU220" s="267"/>
      <c r="FV220" s="267"/>
      <c r="FW220" s="267"/>
      <c r="FX220" s="267"/>
      <c r="FY220" s="267"/>
      <c r="GD220" s="267"/>
      <c r="GE220" s="267"/>
      <c r="GF220" s="267"/>
      <c r="GG220" s="267"/>
      <c r="GH220" s="267"/>
      <c r="GI220" s="264"/>
      <c r="GJ220" s="264"/>
      <c r="GK220" s="264"/>
      <c r="GL220" s="264"/>
      <c r="HD220" s="267"/>
      <c r="HE220" s="267"/>
      <c r="HF220" s="267"/>
      <c r="HG220" s="267"/>
      <c r="HH220" s="267"/>
      <c r="HI220" s="267"/>
      <c r="HJ220" s="267"/>
      <c r="HK220" s="267"/>
      <c r="HL220" s="267"/>
      <c r="HM220" s="267"/>
      <c r="HN220" s="267"/>
      <c r="HO220" s="267"/>
      <c r="HP220" s="267"/>
      <c r="HQ220" s="267"/>
      <c r="HR220" s="267"/>
      <c r="HS220" s="267"/>
      <c r="HT220" s="267"/>
      <c r="HU220" s="267"/>
      <c r="IH220" s="267"/>
      <c r="IK220" s="267"/>
      <c r="IN220" s="267"/>
      <c r="IQ220" s="267"/>
      <c r="IR220" s="267"/>
      <c r="IS220" s="267"/>
      <c r="IT220" s="274"/>
      <c r="IU220" s="274"/>
      <c r="IV220" s="272"/>
      <c r="IW220" s="274"/>
      <c r="IX220" s="274"/>
      <c r="IY220" s="272"/>
    </row>
    <row r="221" spans="10:259">
      <c r="J221" s="267"/>
      <c r="K221" s="267"/>
      <c r="L221" s="267"/>
      <c r="M221" s="267"/>
      <c r="N221" s="267"/>
      <c r="O221" s="267"/>
      <c r="P221" s="267"/>
      <c r="Q221" s="267"/>
      <c r="S221" s="267"/>
      <c r="T221" s="267"/>
      <c r="U221" s="267"/>
      <c r="V221" s="267"/>
      <c r="W221" s="264"/>
      <c r="Y221" s="267"/>
      <c r="Z221" s="267"/>
      <c r="AA221" s="267"/>
      <c r="AB221" s="267"/>
      <c r="AE221" s="267"/>
      <c r="AF221" s="267"/>
      <c r="AG221" s="267"/>
      <c r="AH221" s="267"/>
      <c r="AK221" s="267"/>
      <c r="AL221" s="267"/>
      <c r="AM221" s="267"/>
      <c r="AN221" s="267"/>
      <c r="AQ221" s="267"/>
      <c r="AR221" s="267"/>
      <c r="AS221" s="267"/>
      <c r="AT221" s="267"/>
      <c r="AW221" s="267"/>
      <c r="AX221" s="267"/>
      <c r="AY221" s="267"/>
      <c r="AZ221" s="267"/>
      <c r="BG221" s="269"/>
      <c r="BM221" s="269"/>
      <c r="BS221" s="269"/>
      <c r="BU221" s="267"/>
      <c r="BY221" s="267"/>
      <c r="CC221" s="267"/>
      <c r="CG221" s="267"/>
      <c r="CS221" s="267"/>
      <c r="CW221" s="270"/>
      <c r="CX221" s="267"/>
      <c r="DC221" s="267"/>
      <c r="DH221" s="267"/>
      <c r="DM221" s="267"/>
      <c r="DR221" s="267"/>
      <c r="DW221" s="267"/>
      <c r="EB221" s="267"/>
      <c r="EG221" s="267"/>
      <c r="EL221" s="267"/>
      <c r="EQ221" s="267"/>
      <c r="EU221" s="270"/>
      <c r="EV221" s="267"/>
      <c r="FC221" s="267"/>
      <c r="FD221" s="267"/>
      <c r="FE221" s="267"/>
      <c r="FF221" s="267"/>
      <c r="FG221" s="267"/>
      <c r="FL221" s="267"/>
      <c r="FM221" s="267"/>
      <c r="FN221" s="267"/>
      <c r="FO221" s="267"/>
      <c r="FP221" s="267"/>
      <c r="FQ221" s="264"/>
      <c r="FR221" s="264"/>
      <c r="FS221" s="264"/>
      <c r="FT221" s="264"/>
      <c r="FU221" s="267"/>
      <c r="FV221" s="267"/>
      <c r="FW221" s="267"/>
      <c r="FX221" s="267"/>
      <c r="FY221" s="267"/>
      <c r="GD221" s="267"/>
      <c r="GE221" s="267"/>
      <c r="GF221" s="267"/>
      <c r="GG221" s="267"/>
      <c r="GH221" s="267"/>
      <c r="GI221" s="264"/>
      <c r="GJ221" s="264"/>
      <c r="GK221" s="264"/>
      <c r="GL221" s="264"/>
      <c r="HD221" s="267"/>
      <c r="HE221" s="267"/>
      <c r="HF221" s="267"/>
      <c r="HG221" s="267"/>
      <c r="HH221" s="267"/>
      <c r="HI221" s="267"/>
      <c r="HJ221" s="267"/>
      <c r="HK221" s="267"/>
      <c r="HL221" s="267"/>
      <c r="HM221" s="267"/>
      <c r="HN221" s="267"/>
      <c r="HO221" s="267"/>
      <c r="HP221" s="267"/>
      <c r="HQ221" s="267"/>
      <c r="HR221" s="267"/>
      <c r="HS221" s="267"/>
      <c r="HT221" s="267"/>
      <c r="HU221" s="267"/>
      <c r="IH221" s="267"/>
      <c r="IK221" s="267"/>
      <c r="IN221" s="267"/>
      <c r="IQ221" s="267"/>
      <c r="IR221" s="267"/>
      <c r="IS221" s="267"/>
      <c r="IT221" s="274"/>
      <c r="IU221" s="274"/>
      <c r="IV221" s="272"/>
      <c r="IW221" s="274"/>
      <c r="IX221" s="274"/>
      <c r="IY221" s="272"/>
    </row>
    <row r="222" spans="10:259">
      <c r="J222" s="267"/>
      <c r="K222" s="267"/>
      <c r="L222" s="267"/>
      <c r="M222" s="267"/>
      <c r="N222" s="267"/>
      <c r="O222" s="267"/>
      <c r="P222" s="267"/>
      <c r="Q222" s="267"/>
      <c r="S222" s="267"/>
      <c r="T222" s="267"/>
      <c r="U222" s="267"/>
      <c r="V222" s="267"/>
      <c r="W222" s="264"/>
      <c r="Y222" s="267"/>
      <c r="Z222" s="267"/>
      <c r="AA222" s="267"/>
      <c r="AB222" s="267"/>
      <c r="AE222" s="267"/>
      <c r="AF222" s="267"/>
      <c r="AG222" s="267"/>
      <c r="AH222" s="267"/>
      <c r="AK222" s="267"/>
      <c r="AL222" s="267"/>
      <c r="AM222" s="267"/>
      <c r="AN222" s="267"/>
      <c r="AQ222" s="267"/>
      <c r="AR222" s="267"/>
      <c r="AS222" s="267"/>
      <c r="AT222" s="267"/>
      <c r="AW222" s="267"/>
      <c r="AX222" s="267"/>
      <c r="AY222" s="267"/>
      <c r="AZ222" s="267"/>
      <c r="BG222" s="269"/>
      <c r="BM222" s="269"/>
      <c r="BS222" s="269"/>
      <c r="BU222" s="267"/>
      <c r="BY222" s="267"/>
      <c r="CC222" s="267"/>
      <c r="CG222" s="267"/>
      <c r="CS222" s="267"/>
      <c r="CW222" s="270"/>
      <c r="CX222" s="267"/>
      <c r="DC222" s="267"/>
      <c r="DH222" s="267"/>
      <c r="DM222" s="267"/>
      <c r="DR222" s="267"/>
      <c r="DW222" s="267"/>
      <c r="EB222" s="267"/>
      <c r="EG222" s="267"/>
      <c r="EL222" s="267"/>
      <c r="EQ222" s="267"/>
      <c r="EU222" s="270"/>
      <c r="EV222" s="267"/>
      <c r="FC222" s="267"/>
      <c r="FD222" s="267"/>
      <c r="FE222" s="267"/>
      <c r="FF222" s="267"/>
      <c r="FG222" s="267"/>
      <c r="FL222" s="267"/>
      <c r="FM222" s="267"/>
      <c r="FN222" s="267"/>
      <c r="FO222" s="267"/>
      <c r="FP222" s="267"/>
      <c r="FQ222" s="264"/>
      <c r="FR222" s="264"/>
      <c r="FS222" s="264"/>
      <c r="FT222" s="264"/>
      <c r="FU222" s="267"/>
      <c r="FV222" s="267"/>
      <c r="FW222" s="267"/>
      <c r="FX222" s="267"/>
      <c r="FY222" s="267"/>
      <c r="GD222" s="267"/>
      <c r="GE222" s="267"/>
      <c r="GF222" s="267"/>
      <c r="GG222" s="267"/>
      <c r="GH222" s="267"/>
      <c r="GI222" s="264"/>
      <c r="GJ222" s="264"/>
      <c r="GK222" s="264"/>
      <c r="GL222" s="264"/>
      <c r="HD222" s="267"/>
      <c r="HE222" s="267"/>
      <c r="HF222" s="267"/>
      <c r="HG222" s="267"/>
      <c r="HH222" s="267"/>
      <c r="HI222" s="267"/>
      <c r="HJ222" s="267"/>
      <c r="HK222" s="267"/>
      <c r="HL222" s="267"/>
      <c r="HM222" s="267"/>
      <c r="HN222" s="267"/>
      <c r="HO222" s="267"/>
      <c r="HP222" s="267"/>
      <c r="HQ222" s="267"/>
      <c r="HR222" s="267"/>
      <c r="HS222" s="267"/>
      <c r="HT222" s="267"/>
      <c r="HU222" s="267"/>
      <c r="IH222" s="267"/>
      <c r="IK222" s="267"/>
      <c r="IN222" s="267"/>
      <c r="IQ222" s="267"/>
      <c r="IR222" s="267"/>
      <c r="IS222" s="267"/>
      <c r="IT222" s="274"/>
      <c r="IU222" s="274"/>
      <c r="IV222" s="272"/>
      <c r="IW222" s="274"/>
      <c r="IX222" s="274"/>
      <c r="IY222" s="272"/>
    </row>
    <row r="223" spans="10:259">
      <c r="J223" s="267"/>
      <c r="K223" s="267"/>
      <c r="L223" s="267"/>
      <c r="M223" s="267"/>
      <c r="N223" s="267"/>
      <c r="O223" s="267"/>
      <c r="P223" s="267"/>
      <c r="Q223" s="267"/>
      <c r="S223" s="267"/>
      <c r="T223" s="267"/>
      <c r="U223" s="267"/>
      <c r="V223" s="267"/>
      <c r="W223" s="264"/>
      <c r="Y223" s="267"/>
      <c r="Z223" s="267"/>
      <c r="AA223" s="267"/>
      <c r="AB223" s="267"/>
      <c r="AE223" s="267"/>
      <c r="AF223" s="267"/>
      <c r="AG223" s="267"/>
      <c r="AH223" s="267"/>
      <c r="AK223" s="267"/>
      <c r="AL223" s="267"/>
      <c r="AM223" s="267"/>
      <c r="AN223" s="267"/>
      <c r="AQ223" s="267"/>
      <c r="AR223" s="267"/>
      <c r="AS223" s="267"/>
      <c r="AT223" s="267"/>
      <c r="AW223" s="267"/>
      <c r="AX223" s="267"/>
      <c r="AY223" s="267"/>
      <c r="AZ223" s="267"/>
      <c r="BG223" s="269"/>
      <c r="BM223" s="269"/>
      <c r="BS223" s="269"/>
      <c r="BU223" s="267"/>
      <c r="BY223" s="267"/>
      <c r="CC223" s="267"/>
      <c r="CG223" s="267"/>
      <c r="CS223" s="267"/>
      <c r="CW223" s="270"/>
      <c r="CX223" s="267"/>
      <c r="DC223" s="267"/>
      <c r="DH223" s="267"/>
      <c r="DM223" s="267"/>
      <c r="DR223" s="267"/>
      <c r="DW223" s="267"/>
      <c r="EB223" s="267"/>
      <c r="EG223" s="267"/>
      <c r="EL223" s="267"/>
      <c r="EQ223" s="267"/>
      <c r="EU223" s="270"/>
      <c r="EV223" s="267"/>
      <c r="FC223" s="267"/>
      <c r="FD223" s="267"/>
      <c r="FE223" s="267"/>
      <c r="FF223" s="267"/>
      <c r="FG223" s="267"/>
      <c r="FL223" s="267"/>
      <c r="FM223" s="267"/>
      <c r="FN223" s="267"/>
      <c r="FO223" s="267"/>
      <c r="FP223" s="267"/>
      <c r="FQ223" s="264"/>
      <c r="FR223" s="264"/>
      <c r="FS223" s="264"/>
      <c r="FT223" s="264"/>
      <c r="FU223" s="267"/>
      <c r="FV223" s="267"/>
      <c r="FW223" s="267"/>
      <c r="FX223" s="267"/>
      <c r="FY223" s="267"/>
      <c r="GD223" s="267"/>
      <c r="GE223" s="267"/>
      <c r="GF223" s="267"/>
      <c r="GG223" s="267"/>
      <c r="GH223" s="267"/>
      <c r="GI223" s="264"/>
      <c r="GJ223" s="264"/>
      <c r="GK223" s="264"/>
      <c r="GL223" s="264"/>
      <c r="HD223" s="267"/>
      <c r="HE223" s="267"/>
      <c r="HF223" s="267"/>
      <c r="HG223" s="267"/>
      <c r="HH223" s="267"/>
      <c r="HI223" s="267"/>
      <c r="HJ223" s="267"/>
      <c r="HK223" s="267"/>
      <c r="HL223" s="267"/>
      <c r="HM223" s="267"/>
      <c r="HN223" s="267"/>
      <c r="HO223" s="267"/>
      <c r="HP223" s="267"/>
      <c r="HQ223" s="267"/>
      <c r="HR223" s="267"/>
      <c r="HS223" s="267"/>
      <c r="HT223" s="267"/>
      <c r="HU223" s="267"/>
      <c r="IH223" s="267"/>
      <c r="IK223" s="267"/>
      <c r="IN223" s="267"/>
      <c r="IQ223" s="267"/>
      <c r="IR223" s="267"/>
      <c r="IS223" s="267"/>
      <c r="IT223" s="274"/>
      <c r="IU223" s="274"/>
      <c r="IV223" s="272"/>
      <c r="IW223" s="274"/>
      <c r="IX223" s="274"/>
      <c r="IY223" s="272"/>
    </row>
    <row r="224" spans="10:259">
      <c r="J224" s="267"/>
      <c r="K224" s="267"/>
      <c r="L224" s="267"/>
      <c r="M224" s="267"/>
      <c r="N224" s="267"/>
      <c r="O224" s="267"/>
      <c r="P224" s="267"/>
      <c r="Q224" s="267"/>
      <c r="S224" s="267"/>
      <c r="T224" s="267"/>
      <c r="U224" s="267"/>
      <c r="V224" s="267"/>
      <c r="W224" s="264"/>
      <c r="Y224" s="267"/>
      <c r="Z224" s="267"/>
      <c r="AA224" s="267"/>
      <c r="AB224" s="267"/>
      <c r="AE224" s="267"/>
      <c r="AF224" s="267"/>
      <c r="AG224" s="267"/>
      <c r="AH224" s="267"/>
      <c r="AK224" s="267"/>
      <c r="AL224" s="267"/>
      <c r="AM224" s="267"/>
      <c r="AN224" s="267"/>
      <c r="AQ224" s="267"/>
      <c r="AR224" s="267"/>
      <c r="AS224" s="267"/>
      <c r="AT224" s="267"/>
      <c r="AW224" s="267"/>
      <c r="AX224" s="267"/>
      <c r="AY224" s="267"/>
      <c r="AZ224" s="267"/>
      <c r="BG224" s="269"/>
      <c r="BM224" s="269"/>
      <c r="BS224" s="269"/>
      <c r="BU224" s="267"/>
      <c r="BY224" s="267"/>
      <c r="CC224" s="267"/>
      <c r="CG224" s="267"/>
      <c r="CS224" s="267"/>
      <c r="CW224" s="270"/>
      <c r="CX224" s="267"/>
      <c r="DC224" s="267"/>
      <c r="DH224" s="267"/>
      <c r="DM224" s="267"/>
      <c r="DR224" s="267"/>
      <c r="DW224" s="267"/>
      <c r="EB224" s="267"/>
      <c r="EG224" s="267"/>
      <c r="EL224" s="267"/>
      <c r="EQ224" s="267"/>
      <c r="EU224" s="270"/>
      <c r="EV224" s="267"/>
      <c r="FC224" s="267"/>
      <c r="FD224" s="267"/>
      <c r="FE224" s="267"/>
      <c r="FF224" s="267"/>
      <c r="FG224" s="267"/>
      <c r="FL224" s="267"/>
      <c r="FM224" s="267"/>
      <c r="FN224" s="267"/>
      <c r="FO224" s="267"/>
      <c r="FP224" s="267"/>
      <c r="FQ224" s="264"/>
      <c r="FR224" s="264"/>
      <c r="FS224" s="264"/>
      <c r="FT224" s="264"/>
      <c r="FU224" s="267"/>
      <c r="FV224" s="267"/>
      <c r="FW224" s="267"/>
      <c r="FX224" s="267"/>
      <c r="FY224" s="267"/>
      <c r="GD224" s="267"/>
      <c r="GE224" s="267"/>
      <c r="GF224" s="267"/>
      <c r="GG224" s="267"/>
      <c r="GH224" s="267"/>
      <c r="GI224" s="264"/>
      <c r="GJ224" s="264"/>
      <c r="GK224" s="264"/>
      <c r="GL224" s="264"/>
      <c r="HD224" s="267"/>
      <c r="HE224" s="267"/>
      <c r="HF224" s="267"/>
      <c r="HG224" s="267"/>
      <c r="HH224" s="267"/>
      <c r="HI224" s="267"/>
      <c r="HJ224" s="267"/>
      <c r="HK224" s="267"/>
      <c r="HL224" s="267"/>
      <c r="HM224" s="267"/>
      <c r="HN224" s="267"/>
      <c r="HO224" s="267"/>
      <c r="HP224" s="267"/>
      <c r="HQ224" s="267"/>
      <c r="HR224" s="267"/>
      <c r="HS224" s="267"/>
      <c r="HT224" s="267"/>
      <c r="HU224" s="267"/>
      <c r="IH224" s="267"/>
      <c r="IK224" s="267"/>
      <c r="IN224" s="267"/>
      <c r="IQ224" s="267"/>
      <c r="IR224" s="267"/>
      <c r="IS224" s="267"/>
      <c r="IT224" s="274"/>
      <c r="IU224" s="274"/>
      <c r="IV224" s="272"/>
      <c r="IW224" s="274"/>
      <c r="IX224" s="274"/>
      <c r="IY224" s="272"/>
    </row>
    <row r="225" spans="10:259">
      <c r="J225" s="267"/>
      <c r="K225" s="267"/>
      <c r="L225" s="267"/>
      <c r="M225" s="267"/>
      <c r="N225" s="267"/>
      <c r="O225" s="267"/>
      <c r="P225" s="267"/>
      <c r="Q225" s="267"/>
      <c r="S225" s="267"/>
      <c r="T225" s="267"/>
      <c r="U225" s="267"/>
      <c r="V225" s="267"/>
      <c r="W225" s="264"/>
      <c r="Y225" s="267"/>
      <c r="Z225" s="267"/>
      <c r="AA225" s="267"/>
      <c r="AB225" s="267"/>
      <c r="AE225" s="267"/>
      <c r="AF225" s="267"/>
      <c r="AG225" s="267"/>
      <c r="AH225" s="267"/>
      <c r="AK225" s="267"/>
      <c r="AL225" s="267"/>
      <c r="AM225" s="267"/>
      <c r="AN225" s="267"/>
      <c r="AQ225" s="267"/>
      <c r="AR225" s="267"/>
      <c r="AS225" s="267"/>
      <c r="AT225" s="267"/>
      <c r="AW225" s="267"/>
      <c r="AX225" s="267"/>
      <c r="AY225" s="267"/>
      <c r="AZ225" s="267"/>
      <c r="BG225" s="269"/>
      <c r="BM225" s="269"/>
      <c r="BS225" s="269"/>
      <c r="BU225" s="267"/>
      <c r="BY225" s="267"/>
      <c r="CC225" s="267"/>
      <c r="CG225" s="267"/>
      <c r="CS225" s="267"/>
      <c r="CW225" s="270"/>
      <c r="CX225" s="267"/>
      <c r="DC225" s="267"/>
      <c r="DH225" s="267"/>
      <c r="DM225" s="267"/>
      <c r="DR225" s="267"/>
      <c r="DW225" s="267"/>
      <c r="EB225" s="267"/>
      <c r="EG225" s="267"/>
      <c r="EL225" s="267"/>
      <c r="EQ225" s="267"/>
      <c r="EU225" s="270"/>
      <c r="EV225" s="267"/>
      <c r="FC225" s="267"/>
      <c r="FD225" s="267"/>
      <c r="FE225" s="267"/>
      <c r="FF225" s="267"/>
      <c r="FG225" s="267"/>
      <c r="FL225" s="267"/>
      <c r="FM225" s="267"/>
      <c r="FN225" s="267"/>
      <c r="FO225" s="267"/>
      <c r="FP225" s="267"/>
      <c r="FQ225" s="264"/>
      <c r="FR225" s="264"/>
      <c r="FS225" s="264"/>
      <c r="FT225" s="264"/>
      <c r="FU225" s="267"/>
      <c r="FV225" s="267"/>
      <c r="FW225" s="267"/>
      <c r="FX225" s="267"/>
      <c r="FY225" s="267"/>
      <c r="GD225" s="267"/>
      <c r="GE225" s="267"/>
      <c r="GF225" s="267"/>
      <c r="GG225" s="267"/>
      <c r="GH225" s="267"/>
      <c r="GI225" s="264"/>
      <c r="GJ225" s="264"/>
      <c r="GK225" s="264"/>
      <c r="GL225" s="264"/>
      <c r="HD225" s="267"/>
      <c r="HE225" s="267"/>
      <c r="HF225" s="267"/>
      <c r="HG225" s="267"/>
      <c r="HH225" s="267"/>
      <c r="HI225" s="267"/>
      <c r="HJ225" s="267"/>
      <c r="HK225" s="267"/>
      <c r="HL225" s="267"/>
      <c r="HM225" s="267"/>
      <c r="HN225" s="267"/>
      <c r="HO225" s="267"/>
      <c r="HP225" s="267"/>
      <c r="HQ225" s="267"/>
      <c r="HR225" s="267"/>
      <c r="HS225" s="267"/>
      <c r="HT225" s="267"/>
      <c r="HU225" s="267"/>
      <c r="IH225" s="267"/>
      <c r="IK225" s="267"/>
      <c r="IN225" s="267"/>
      <c r="IQ225" s="267"/>
      <c r="IR225" s="267"/>
      <c r="IS225" s="267"/>
      <c r="IT225" s="274"/>
      <c r="IU225" s="274"/>
      <c r="IV225" s="272"/>
      <c r="IW225" s="274"/>
      <c r="IX225" s="274"/>
      <c r="IY225" s="272"/>
    </row>
    <row r="226" spans="10:259">
      <c r="J226" s="267"/>
      <c r="K226" s="267"/>
      <c r="L226" s="267"/>
      <c r="M226" s="267"/>
      <c r="N226" s="267"/>
      <c r="O226" s="267"/>
      <c r="P226" s="267"/>
      <c r="Q226" s="267"/>
      <c r="S226" s="267"/>
      <c r="T226" s="267"/>
      <c r="U226" s="267"/>
      <c r="V226" s="267"/>
      <c r="W226" s="264"/>
      <c r="Y226" s="267"/>
      <c r="Z226" s="267"/>
      <c r="AA226" s="267"/>
      <c r="AB226" s="267"/>
      <c r="AE226" s="267"/>
      <c r="AF226" s="267"/>
      <c r="AG226" s="267"/>
      <c r="AH226" s="267"/>
      <c r="AK226" s="267"/>
      <c r="AL226" s="267"/>
      <c r="AM226" s="267"/>
      <c r="AN226" s="267"/>
      <c r="AQ226" s="267"/>
      <c r="AR226" s="267"/>
      <c r="AS226" s="267"/>
      <c r="AT226" s="267"/>
      <c r="AW226" s="267"/>
      <c r="AX226" s="267"/>
      <c r="AY226" s="267"/>
      <c r="AZ226" s="267"/>
      <c r="BG226" s="269"/>
      <c r="BM226" s="269"/>
      <c r="BS226" s="269"/>
      <c r="BU226" s="267"/>
      <c r="BY226" s="267"/>
      <c r="CC226" s="267"/>
      <c r="CG226" s="267"/>
      <c r="CS226" s="267"/>
      <c r="CW226" s="270"/>
      <c r="CX226" s="267"/>
      <c r="DC226" s="267"/>
      <c r="DH226" s="267"/>
      <c r="DM226" s="267"/>
      <c r="DR226" s="267"/>
      <c r="DW226" s="267"/>
      <c r="EB226" s="267"/>
      <c r="EG226" s="267"/>
      <c r="EL226" s="267"/>
      <c r="EQ226" s="267"/>
      <c r="EU226" s="270"/>
      <c r="EV226" s="267"/>
      <c r="FC226" s="267"/>
      <c r="FD226" s="267"/>
      <c r="FE226" s="267"/>
      <c r="FF226" s="267"/>
      <c r="FG226" s="267"/>
      <c r="FL226" s="267"/>
      <c r="FM226" s="267"/>
      <c r="FN226" s="267"/>
      <c r="FO226" s="267"/>
      <c r="FP226" s="267"/>
      <c r="FQ226" s="264"/>
      <c r="FR226" s="264"/>
      <c r="FS226" s="264"/>
      <c r="FT226" s="264"/>
      <c r="FU226" s="267"/>
      <c r="FV226" s="267"/>
      <c r="FW226" s="267"/>
      <c r="FX226" s="267"/>
      <c r="FY226" s="267"/>
      <c r="GD226" s="267"/>
      <c r="GE226" s="267"/>
      <c r="GF226" s="267"/>
      <c r="GG226" s="267"/>
      <c r="GH226" s="267"/>
      <c r="GI226" s="264"/>
      <c r="GJ226" s="264"/>
      <c r="GK226" s="264"/>
      <c r="GL226" s="264"/>
      <c r="HD226" s="267"/>
      <c r="HE226" s="267"/>
      <c r="HF226" s="267"/>
      <c r="HG226" s="267"/>
      <c r="HH226" s="267"/>
      <c r="HI226" s="267"/>
      <c r="HJ226" s="267"/>
      <c r="HK226" s="267"/>
      <c r="HL226" s="267"/>
      <c r="HM226" s="267"/>
      <c r="HN226" s="267"/>
      <c r="HO226" s="267"/>
      <c r="HP226" s="267"/>
      <c r="HQ226" s="267"/>
      <c r="HR226" s="267"/>
      <c r="HS226" s="267"/>
      <c r="HT226" s="267"/>
      <c r="HU226" s="267"/>
      <c r="IH226" s="267"/>
      <c r="IK226" s="267"/>
      <c r="IN226" s="267"/>
      <c r="IQ226" s="267"/>
      <c r="IR226" s="267"/>
      <c r="IS226" s="267"/>
      <c r="IT226" s="274"/>
      <c r="IU226" s="274"/>
      <c r="IV226" s="272"/>
      <c r="IW226" s="274"/>
      <c r="IX226" s="274"/>
      <c r="IY226" s="272"/>
    </row>
    <row r="227" spans="10:259">
      <c r="J227" s="267"/>
      <c r="K227" s="267"/>
      <c r="L227" s="267"/>
      <c r="M227" s="267"/>
      <c r="N227" s="267"/>
      <c r="O227" s="267"/>
      <c r="P227" s="267"/>
      <c r="Q227" s="267"/>
      <c r="S227" s="267"/>
      <c r="T227" s="267"/>
      <c r="U227" s="267"/>
      <c r="V227" s="267"/>
      <c r="W227" s="264"/>
      <c r="Y227" s="267"/>
      <c r="Z227" s="267"/>
      <c r="AA227" s="267"/>
      <c r="AB227" s="267"/>
      <c r="AE227" s="267"/>
      <c r="AF227" s="267"/>
      <c r="AG227" s="267"/>
      <c r="AH227" s="267"/>
      <c r="AK227" s="267"/>
      <c r="AL227" s="267"/>
      <c r="AM227" s="267"/>
      <c r="AN227" s="267"/>
      <c r="AQ227" s="267"/>
      <c r="AR227" s="267"/>
      <c r="AS227" s="267"/>
      <c r="AT227" s="267"/>
      <c r="AW227" s="267"/>
      <c r="AX227" s="267"/>
      <c r="AY227" s="267"/>
      <c r="AZ227" s="267"/>
      <c r="BG227" s="269"/>
      <c r="BM227" s="269"/>
      <c r="BS227" s="269"/>
      <c r="BU227" s="267"/>
      <c r="BY227" s="267"/>
      <c r="CC227" s="267"/>
      <c r="CG227" s="267"/>
      <c r="CS227" s="267"/>
      <c r="CW227" s="270"/>
      <c r="CX227" s="267"/>
      <c r="DC227" s="267"/>
      <c r="DH227" s="267"/>
      <c r="DM227" s="267"/>
      <c r="DR227" s="267"/>
      <c r="DW227" s="267"/>
      <c r="EB227" s="267"/>
      <c r="EG227" s="267"/>
      <c r="EL227" s="267"/>
      <c r="EQ227" s="267"/>
      <c r="EU227" s="270"/>
      <c r="EV227" s="267"/>
      <c r="FC227" s="267"/>
      <c r="FD227" s="267"/>
      <c r="FE227" s="267"/>
      <c r="FF227" s="267"/>
      <c r="FG227" s="267"/>
      <c r="FL227" s="267"/>
      <c r="FM227" s="267"/>
      <c r="FN227" s="267"/>
      <c r="FO227" s="267"/>
      <c r="FP227" s="267"/>
      <c r="FQ227" s="264"/>
      <c r="FR227" s="264"/>
      <c r="FS227" s="264"/>
      <c r="FT227" s="264"/>
      <c r="FU227" s="267"/>
      <c r="FV227" s="267"/>
      <c r="FW227" s="267"/>
      <c r="FX227" s="267"/>
      <c r="FY227" s="267"/>
      <c r="GD227" s="267"/>
      <c r="GE227" s="267"/>
      <c r="GF227" s="267"/>
      <c r="GG227" s="267"/>
      <c r="GH227" s="267"/>
      <c r="GI227" s="264"/>
      <c r="GJ227" s="264"/>
      <c r="GK227" s="264"/>
      <c r="GL227" s="264"/>
      <c r="HD227" s="267"/>
      <c r="HE227" s="267"/>
      <c r="HF227" s="267"/>
      <c r="HG227" s="267"/>
      <c r="HH227" s="267"/>
      <c r="HI227" s="267"/>
      <c r="HJ227" s="267"/>
      <c r="HK227" s="267"/>
      <c r="HL227" s="267"/>
      <c r="HM227" s="267"/>
      <c r="HN227" s="267"/>
      <c r="HO227" s="267"/>
      <c r="HP227" s="267"/>
      <c r="HQ227" s="267"/>
      <c r="HR227" s="267"/>
      <c r="HS227" s="267"/>
      <c r="HT227" s="267"/>
      <c r="HU227" s="267"/>
      <c r="IH227" s="267"/>
      <c r="IK227" s="267"/>
      <c r="IN227" s="267"/>
      <c r="IQ227" s="267"/>
      <c r="IR227" s="267"/>
      <c r="IS227" s="267"/>
      <c r="IT227" s="274"/>
      <c r="IU227" s="274"/>
      <c r="IV227" s="272"/>
      <c r="IW227" s="274"/>
      <c r="IX227" s="274"/>
      <c r="IY227" s="272"/>
    </row>
    <row r="228" spans="10:259">
      <c r="J228" s="267"/>
      <c r="K228" s="267"/>
      <c r="L228" s="267"/>
      <c r="M228" s="267"/>
      <c r="N228" s="267"/>
      <c r="O228" s="267"/>
      <c r="P228" s="267"/>
      <c r="Q228" s="267"/>
      <c r="S228" s="267"/>
      <c r="T228" s="267"/>
      <c r="U228" s="267"/>
      <c r="V228" s="267"/>
      <c r="W228" s="264"/>
      <c r="Y228" s="267"/>
      <c r="Z228" s="267"/>
      <c r="AA228" s="267"/>
      <c r="AB228" s="267"/>
      <c r="AE228" s="267"/>
      <c r="AF228" s="267"/>
      <c r="AG228" s="267"/>
      <c r="AH228" s="267"/>
      <c r="AK228" s="267"/>
      <c r="AL228" s="267"/>
      <c r="AM228" s="267"/>
      <c r="AN228" s="267"/>
      <c r="AQ228" s="267"/>
      <c r="AR228" s="267"/>
      <c r="AS228" s="267"/>
      <c r="AT228" s="267"/>
      <c r="AW228" s="267"/>
      <c r="AX228" s="267"/>
      <c r="AY228" s="267"/>
      <c r="AZ228" s="267"/>
      <c r="BG228" s="269"/>
      <c r="BM228" s="269"/>
      <c r="BS228" s="269"/>
      <c r="BU228" s="267"/>
      <c r="BY228" s="267"/>
      <c r="CC228" s="267"/>
      <c r="CG228" s="267"/>
      <c r="CS228" s="267"/>
      <c r="CW228" s="270"/>
      <c r="CX228" s="267"/>
      <c r="DC228" s="267"/>
      <c r="DH228" s="267"/>
      <c r="DM228" s="267"/>
      <c r="DR228" s="267"/>
      <c r="DW228" s="267"/>
      <c r="EB228" s="267"/>
      <c r="EG228" s="267"/>
      <c r="EL228" s="267"/>
      <c r="EQ228" s="267"/>
      <c r="EU228" s="270"/>
      <c r="EV228" s="267"/>
      <c r="FC228" s="267"/>
      <c r="FD228" s="267"/>
      <c r="FE228" s="267"/>
      <c r="FF228" s="267"/>
      <c r="FG228" s="267"/>
      <c r="FL228" s="267"/>
      <c r="FM228" s="267"/>
      <c r="FN228" s="267"/>
      <c r="FO228" s="267"/>
      <c r="FP228" s="267"/>
      <c r="FQ228" s="264"/>
      <c r="FR228" s="264"/>
      <c r="FS228" s="264"/>
      <c r="FT228" s="264"/>
      <c r="FU228" s="267"/>
      <c r="FV228" s="267"/>
      <c r="FW228" s="267"/>
      <c r="FX228" s="267"/>
      <c r="FY228" s="267"/>
      <c r="GD228" s="267"/>
      <c r="GE228" s="267"/>
      <c r="GF228" s="267"/>
      <c r="GG228" s="267"/>
      <c r="GH228" s="267"/>
      <c r="GI228" s="264"/>
      <c r="GJ228" s="264"/>
      <c r="GK228" s="264"/>
      <c r="GL228" s="264"/>
      <c r="HD228" s="267"/>
      <c r="HE228" s="267"/>
      <c r="HF228" s="267"/>
      <c r="HG228" s="267"/>
      <c r="HH228" s="267"/>
      <c r="HI228" s="267"/>
      <c r="HJ228" s="267"/>
      <c r="HK228" s="267"/>
      <c r="HL228" s="267"/>
      <c r="HM228" s="267"/>
      <c r="HN228" s="267"/>
      <c r="HO228" s="267"/>
      <c r="HP228" s="267"/>
      <c r="HQ228" s="267"/>
      <c r="HR228" s="267"/>
      <c r="HS228" s="267"/>
      <c r="HT228" s="267"/>
      <c r="HU228" s="267"/>
      <c r="IH228" s="267"/>
      <c r="IK228" s="267"/>
      <c r="IN228" s="267"/>
      <c r="IQ228" s="267"/>
      <c r="IR228" s="267"/>
      <c r="IS228" s="267"/>
      <c r="IT228" s="274"/>
      <c r="IU228" s="274"/>
      <c r="IV228" s="272"/>
      <c r="IW228" s="274"/>
      <c r="IX228" s="274"/>
      <c r="IY228" s="272"/>
    </row>
    <row r="229" spans="10:259">
      <c r="J229" s="267"/>
      <c r="K229" s="267"/>
      <c r="L229" s="267"/>
      <c r="M229" s="267"/>
      <c r="N229" s="267"/>
      <c r="O229" s="267"/>
      <c r="P229" s="267"/>
      <c r="Q229" s="267"/>
      <c r="S229" s="267"/>
      <c r="T229" s="267"/>
      <c r="U229" s="267"/>
      <c r="V229" s="267"/>
      <c r="W229" s="264"/>
      <c r="Y229" s="267"/>
      <c r="Z229" s="267"/>
      <c r="AA229" s="267"/>
      <c r="AB229" s="267"/>
      <c r="AE229" s="267"/>
      <c r="AF229" s="267"/>
      <c r="AG229" s="267"/>
      <c r="AH229" s="267"/>
      <c r="AK229" s="267"/>
      <c r="AL229" s="267"/>
      <c r="AM229" s="267"/>
      <c r="AN229" s="267"/>
      <c r="AQ229" s="267"/>
      <c r="AR229" s="267"/>
      <c r="AS229" s="267"/>
      <c r="AT229" s="267"/>
      <c r="AW229" s="267"/>
      <c r="AX229" s="267"/>
      <c r="AY229" s="267"/>
      <c r="AZ229" s="267"/>
      <c r="BG229" s="269"/>
      <c r="BM229" s="269"/>
      <c r="BS229" s="269"/>
      <c r="BU229" s="267"/>
      <c r="BY229" s="267"/>
      <c r="CC229" s="267"/>
      <c r="CG229" s="267"/>
      <c r="CS229" s="267"/>
      <c r="CW229" s="270"/>
      <c r="CX229" s="267"/>
      <c r="DC229" s="267"/>
      <c r="DH229" s="267"/>
      <c r="DM229" s="267"/>
      <c r="DR229" s="267"/>
      <c r="DW229" s="267"/>
      <c r="EB229" s="267"/>
      <c r="EG229" s="267"/>
      <c r="EL229" s="267"/>
      <c r="EQ229" s="267"/>
      <c r="EU229" s="270"/>
      <c r="EV229" s="267"/>
      <c r="FC229" s="267"/>
      <c r="FD229" s="267"/>
      <c r="FE229" s="267"/>
      <c r="FF229" s="267"/>
      <c r="FG229" s="267"/>
      <c r="FL229" s="267"/>
      <c r="FM229" s="267"/>
      <c r="FN229" s="267"/>
      <c r="FO229" s="267"/>
      <c r="FP229" s="267"/>
      <c r="FQ229" s="264"/>
      <c r="FR229" s="264"/>
      <c r="FS229" s="264"/>
      <c r="FT229" s="264"/>
      <c r="FU229" s="267"/>
      <c r="FV229" s="267"/>
      <c r="FW229" s="267"/>
      <c r="FX229" s="267"/>
      <c r="FY229" s="267"/>
      <c r="GD229" s="267"/>
      <c r="GE229" s="267"/>
      <c r="GF229" s="267"/>
      <c r="GG229" s="267"/>
      <c r="GH229" s="267"/>
      <c r="GI229" s="264"/>
      <c r="GJ229" s="264"/>
      <c r="GK229" s="264"/>
      <c r="GL229" s="264"/>
      <c r="HD229" s="267"/>
      <c r="HE229" s="267"/>
      <c r="HF229" s="267"/>
      <c r="HG229" s="267"/>
      <c r="HH229" s="267"/>
      <c r="HI229" s="267"/>
      <c r="HJ229" s="267"/>
      <c r="HK229" s="267"/>
      <c r="HL229" s="267"/>
      <c r="HM229" s="267"/>
      <c r="HN229" s="267"/>
      <c r="HO229" s="267"/>
      <c r="HP229" s="267"/>
      <c r="HQ229" s="267"/>
      <c r="HR229" s="267"/>
      <c r="HS229" s="267"/>
      <c r="HT229" s="267"/>
      <c r="HU229" s="267"/>
      <c r="IH229" s="267"/>
      <c r="IK229" s="267"/>
      <c r="IN229" s="267"/>
      <c r="IQ229" s="267"/>
      <c r="IR229" s="267"/>
      <c r="IS229" s="267"/>
      <c r="IT229" s="274"/>
      <c r="IU229" s="274"/>
      <c r="IV229" s="272"/>
      <c r="IW229" s="274"/>
      <c r="IX229" s="274"/>
      <c r="IY229" s="272"/>
    </row>
    <row r="230" spans="10:259">
      <c r="J230" s="267"/>
      <c r="K230" s="267"/>
      <c r="L230" s="267"/>
      <c r="M230" s="267"/>
      <c r="N230" s="267"/>
      <c r="O230" s="267"/>
      <c r="P230" s="267"/>
      <c r="Q230" s="267"/>
      <c r="S230" s="267"/>
      <c r="T230" s="267"/>
      <c r="U230" s="267"/>
      <c r="V230" s="267"/>
      <c r="W230" s="264"/>
      <c r="Y230" s="267"/>
      <c r="Z230" s="267"/>
      <c r="AA230" s="267"/>
      <c r="AB230" s="267"/>
      <c r="AE230" s="267"/>
      <c r="AF230" s="267"/>
      <c r="AG230" s="267"/>
      <c r="AH230" s="267"/>
      <c r="AK230" s="267"/>
      <c r="AL230" s="267"/>
      <c r="AM230" s="267"/>
      <c r="AN230" s="267"/>
      <c r="AQ230" s="267"/>
      <c r="AR230" s="267"/>
      <c r="AS230" s="267"/>
      <c r="AT230" s="267"/>
      <c r="AW230" s="267"/>
      <c r="AX230" s="267"/>
      <c r="AY230" s="267"/>
      <c r="AZ230" s="267"/>
      <c r="BG230" s="269"/>
      <c r="BM230" s="269"/>
      <c r="BS230" s="269"/>
      <c r="BU230" s="267"/>
      <c r="BY230" s="267"/>
      <c r="CC230" s="267"/>
      <c r="CG230" s="267"/>
      <c r="CS230" s="267"/>
      <c r="CW230" s="270"/>
      <c r="CX230" s="267"/>
      <c r="DC230" s="267"/>
      <c r="DH230" s="267"/>
      <c r="DM230" s="267"/>
      <c r="DR230" s="267"/>
      <c r="DW230" s="267"/>
      <c r="EB230" s="267"/>
      <c r="EG230" s="267"/>
      <c r="EL230" s="267"/>
      <c r="EQ230" s="267"/>
      <c r="EU230" s="270"/>
      <c r="EV230" s="267"/>
      <c r="FC230" s="267"/>
      <c r="FD230" s="267"/>
      <c r="FE230" s="267"/>
      <c r="FF230" s="267"/>
      <c r="FG230" s="267"/>
      <c r="FL230" s="267"/>
      <c r="FM230" s="267"/>
      <c r="FN230" s="267"/>
      <c r="FO230" s="267"/>
      <c r="FP230" s="267"/>
      <c r="FQ230" s="264"/>
      <c r="FR230" s="264"/>
      <c r="FS230" s="264"/>
      <c r="FT230" s="264"/>
      <c r="FU230" s="267"/>
      <c r="FV230" s="267"/>
      <c r="FW230" s="267"/>
      <c r="FX230" s="267"/>
      <c r="FY230" s="267"/>
      <c r="GD230" s="267"/>
      <c r="GE230" s="267"/>
      <c r="GF230" s="267"/>
      <c r="GG230" s="267"/>
      <c r="GH230" s="267"/>
      <c r="GI230" s="264"/>
      <c r="GJ230" s="264"/>
      <c r="GK230" s="264"/>
      <c r="GL230" s="264"/>
      <c r="HD230" s="267"/>
      <c r="HE230" s="267"/>
      <c r="HF230" s="267"/>
      <c r="HG230" s="267"/>
      <c r="HH230" s="267"/>
      <c r="HI230" s="267"/>
      <c r="HJ230" s="267"/>
      <c r="HK230" s="267"/>
      <c r="HL230" s="267"/>
      <c r="HM230" s="267"/>
      <c r="HN230" s="267"/>
      <c r="HO230" s="267"/>
      <c r="HP230" s="267"/>
      <c r="HQ230" s="267"/>
      <c r="HR230" s="267"/>
      <c r="HS230" s="267"/>
      <c r="HT230" s="267"/>
      <c r="HU230" s="267"/>
      <c r="IH230" s="267"/>
      <c r="IK230" s="267"/>
      <c r="IN230" s="267"/>
      <c r="IQ230" s="267"/>
      <c r="IR230" s="267"/>
      <c r="IS230" s="267"/>
      <c r="IT230" s="274"/>
      <c r="IU230" s="274"/>
      <c r="IV230" s="272"/>
      <c r="IW230" s="274"/>
      <c r="IX230" s="274"/>
      <c r="IY230" s="272"/>
    </row>
    <row r="231" spans="10:259">
      <c r="J231" s="267"/>
      <c r="K231" s="267"/>
      <c r="L231" s="267"/>
      <c r="M231" s="267"/>
      <c r="N231" s="267"/>
      <c r="O231" s="267"/>
      <c r="P231" s="267"/>
      <c r="Q231" s="267"/>
      <c r="S231" s="267"/>
      <c r="T231" s="267"/>
      <c r="U231" s="267"/>
      <c r="V231" s="267"/>
      <c r="W231" s="264"/>
      <c r="Y231" s="267"/>
      <c r="Z231" s="267"/>
      <c r="AA231" s="267"/>
      <c r="AB231" s="267"/>
      <c r="AE231" s="267"/>
      <c r="AF231" s="267"/>
      <c r="AG231" s="267"/>
      <c r="AH231" s="267"/>
      <c r="AK231" s="267"/>
      <c r="AL231" s="267"/>
      <c r="AM231" s="267"/>
      <c r="AN231" s="267"/>
      <c r="AQ231" s="267"/>
      <c r="AR231" s="267"/>
      <c r="AS231" s="267"/>
      <c r="AT231" s="267"/>
      <c r="AW231" s="267"/>
      <c r="AX231" s="267"/>
      <c r="AY231" s="267"/>
      <c r="AZ231" s="267"/>
      <c r="BG231" s="269"/>
      <c r="BM231" s="269"/>
      <c r="BS231" s="269"/>
      <c r="BU231" s="267"/>
      <c r="BY231" s="267"/>
      <c r="CC231" s="267"/>
      <c r="CG231" s="267"/>
      <c r="CS231" s="267"/>
      <c r="CW231" s="270"/>
      <c r="CX231" s="267"/>
      <c r="DC231" s="267"/>
      <c r="DH231" s="267"/>
      <c r="DM231" s="267"/>
      <c r="DR231" s="267"/>
      <c r="DW231" s="267"/>
      <c r="EB231" s="267"/>
      <c r="EG231" s="267"/>
      <c r="EL231" s="267"/>
      <c r="EQ231" s="267"/>
      <c r="EU231" s="270"/>
      <c r="EV231" s="267"/>
      <c r="FC231" s="267"/>
      <c r="FD231" s="267"/>
      <c r="FE231" s="267"/>
      <c r="FF231" s="267"/>
      <c r="FG231" s="267"/>
      <c r="FL231" s="267"/>
      <c r="FM231" s="267"/>
      <c r="FN231" s="267"/>
      <c r="FO231" s="267"/>
      <c r="FP231" s="267"/>
      <c r="FQ231" s="264"/>
      <c r="FR231" s="264"/>
      <c r="FS231" s="264"/>
      <c r="FT231" s="264"/>
      <c r="FU231" s="267"/>
      <c r="FV231" s="267"/>
      <c r="FW231" s="267"/>
      <c r="FX231" s="267"/>
      <c r="FY231" s="267"/>
      <c r="GD231" s="267"/>
      <c r="GE231" s="267"/>
      <c r="GF231" s="267"/>
      <c r="GG231" s="267"/>
      <c r="GH231" s="267"/>
      <c r="GI231" s="264"/>
      <c r="GJ231" s="264"/>
      <c r="GK231" s="264"/>
      <c r="GL231" s="264"/>
      <c r="HD231" s="267"/>
      <c r="HE231" s="267"/>
      <c r="HF231" s="267"/>
      <c r="HG231" s="267"/>
      <c r="HH231" s="267"/>
      <c r="HI231" s="267"/>
      <c r="HJ231" s="267"/>
      <c r="HK231" s="267"/>
      <c r="HL231" s="267"/>
      <c r="HM231" s="267"/>
      <c r="HN231" s="267"/>
      <c r="HO231" s="267"/>
      <c r="HP231" s="267"/>
      <c r="HQ231" s="267"/>
      <c r="HR231" s="267"/>
      <c r="HS231" s="267"/>
      <c r="HT231" s="267"/>
      <c r="HU231" s="267"/>
      <c r="IH231" s="267"/>
      <c r="IK231" s="267"/>
      <c r="IN231" s="267"/>
      <c r="IQ231" s="267"/>
      <c r="IR231" s="267"/>
      <c r="IS231" s="267"/>
      <c r="IT231" s="274"/>
      <c r="IU231" s="274"/>
      <c r="IV231" s="272"/>
      <c r="IW231" s="274"/>
      <c r="IX231" s="274"/>
      <c r="IY231" s="272"/>
    </row>
    <row r="232" spans="10:259">
      <c r="J232" s="267"/>
      <c r="K232" s="267"/>
      <c r="L232" s="267"/>
      <c r="M232" s="267"/>
      <c r="N232" s="267"/>
      <c r="O232" s="267"/>
      <c r="P232" s="267"/>
      <c r="Q232" s="267"/>
      <c r="S232" s="267"/>
      <c r="T232" s="267"/>
      <c r="U232" s="267"/>
      <c r="V232" s="267"/>
      <c r="W232" s="264"/>
      <c r="Y232" s="267"/>
      <c r="Z232" s="267"/>
      <c r="AA232" s="267"/>
      <c r="AB232" s="267"/>
      <c r="AE232" s="267"/>
      <c r="AF232" s="267"/>
      <c r="AG232" s="267"/>
      <c r="AH232" s="267"/>
      <c r="AK232" s="267"/>
      <c r="AL232" s="267"/>
      <c r="AM232" s="267"/>
      <c r="AN232" s="267"/>
      <c r="AQ232" s="267"/>
      <c r="AR232" s="267"/>
      <c r="AS232" s="267"/>
      <c r="AT232" s="267"/>
      <c r="AW232" s="267"/>
      <c r="AX232" s="267"/>
      <c r="AY232" s="267"/>
      <c r="AZ232" s="267"/>
      <c r="BG232" s="269"/>
      <c r="BM232" s="269"/>
      <c r="BS232" s="269"/>
      <c r="BU232" s="267"/>
      <c r="BY232" s="267"/>
      <c r="CC232" s="267"/>
      <c r="CG232" s="267"/>
      <c r="CS232" s="267"/>
      <c r="CW232" s="270"/>
      <c r="CX232" s="267"/>
      <c r="DC232" s="267"/>
      <c r="DH232" s="267"/>
      <c r="DM232" s="267"/>
      <c r="DR232" s="267"/>
      <c r="DW232" s="267"/>
      <c r="EB232" s="267"/>
      <c r="EG232" s="267"/>
      <c r="EL232" s="267"/>
      <c r="EQ232" s="267"/>
      <c r="EU232" s="270"/>
      <c r="EV232" s="267"/>
      <c r="FC232" s="267"/>
      <c r="FD232" s="267"/>
      <c r="FE232" s="267"/>
      <c r="FF232" s="267"/>
      <c r="FG232" s="267"/>
      <c r="FL232" s="267"/>
      <c r="FM232" s="267"/>
      <c r="FN232" s="267"/>
      <c r="FO232" s="267"/>
      <c r="FP232" s="267"/>
      <c r="FQ232" s="264"/>
      <c r="FR232" s="264"/>
      <c r="FS232" s="264"/>
      <c r="FT232" s="264"/>
      <c r="FU232" s="267"/>
      <c r="FV232" s="267"/>
      <c r="FW232" s="267"/>
      <c r="FX232" s="267"/>
      <c r="FY232" s="267"/>
      <c r="GD232" s="267"/>
      <c r="GE232" s="267"/>
      <c r="GF232" s="267"/>
      <c r="GG232" s="267"/>
      <c r="GH232" s="267"/>
      <c r="GI232" s="264"/>
      <c r="GJ232" s="264"/>
      <c r="GK232" s="264"/>
      <c r="GL232" s="264"/>
      <c r="HD232" s="267"/>
      <c r="HE232" s="267"/>
      <c r="HF232" s="267"/>
      <c r="HG232" s="267"/>
      <c r="HH232" s="267"/>
      <c r="HI232" s="267"/>
      <c r="HJ232" s="267"/>
      <c r="HK232" s="267"/>
      <c r="HL232" s="267"/>
      <c r="HM232" s="267"/>
      <c r="HN232" s="267"/>
      <c r="HO232" s="267"/>
      <c r="HP232" s="267"/>
      <c r="HQ232" s="267"/>
      <c r="HR232" s="267"/>
      <c r="HS232" s="267"/>
      <c r="HT232" s="267"/>
      <c r="HU232" s="267"/>
      <c r="IH232" s="267"/>
      <c r="IK232" s="267"/>
      <c r="IN232" s="267"/>
      <c r="IQ232" s="267"/>
      <c r="IR232" s="267"/>
      <c r="IS232" s="267"/>
      <c r="IT232" s="274"/>
      <c r="IU232" s="274"/>
      <c r="IV232" s="272"/>
      <c r="IW232" s="274"/>
      <c r="IX232" s="274"/>
      <c r="IY232" s="272"/>
    </row>
    <row r="233" spans="10:259">
      <c r="J233" s="267"/>
      <c r="K233" s="267"/>
      <c r="L233" s="267"/>
      <c r="M233" s="267"/>
      <c r="N233" s="267"/>
      <c r="O233" s="267"/>
      <c r="P233" s="267"/>
      <c r="Q233" s="267"/>
      <c r="S233" s="267"/>
      <c r="T233" s="267"/>
      <c r="U233" s="267"/>
      <c r="V233" s="267"/>
      <c r="W233" s="264"/>
      <c r="Y233" s="267"/>
      <c r="Z233" s="267"/>
      <c r="AA233" s="267"/>
      <c r="AB233" s="267"/>
      <c r="AE233" s="267"/>
      <c r="AF233" s="267"/>
      <c r="AG233" s="267"/>
      <c r="AH233" s="267"/>
      <c r="AK233" s="267"/>
      <c r="AL233" s="267"/>
      <c r="AM233" s="267"/>
      <c r="AN233" s="267"/>
      <c r="AQ233" s="267"/>
      <c r="AR233" s="267"/>
      <c r="AS233" s="267"/>
      <c r="AT233" s="267"/>
      <c r="AW233" s="267"/>
      <c r="AX233" s="267"/>
      <c r="AY233" s="267"/>
      <c r="AZ233" s="267"/>
      <c r="BG233" s="269"/>
      <c r="BM233" s="269"/>
      <c r="BS233" s="269"/>
      <c r="BU233" s="267"/>
      <c r="BY233" s="267"/>
      <c r="CC233" s="267"/>
      <c r="CG233" s="267"/>
      <c r="CS233" s="267"/>
      <c r="CW233" s="270"/>
      <c r="CX233" s="267"/>
      <c r="DC233" s="267"/>
      <c r="DH233" s="267"/>
      <c r="DM233" s="267"/>
      <c r="DR233" s="267"/>
      <c r="DW233" s="267"/>
      <c r="EB233" s="267"/>
      <c r="EG233" s="267"/>
      <c r="EL233" s="267"/>
      <c r="EQ233" s="267"/>
      <c r="EU233" s="270"/>
      <c r="EV233" s="267"/>
      <c r="FC233" s="267"/>
      <c r="FD233" s="267"/>
      <c r="FE233" s="267"/>
      <c r="FF233" s="267"/>
      <c r="FG233" s="267"/>
      <c r="FL233" s="267"/>
      <c r="FM233" s="267"/>
      <c r="FN233" s="267"/>
      <c r="FO233" s="267"/>
      <c r="FP233" s="267"/>
      <c r="FQ233" s="264"/>
      <c r="FR233" s="264"/>
      <c r="FS233" s="264"/>
      <c r="FT233" s="264"/>
      <c r="FU233" s="267"/>
      <c r="FV233" s="267"/>
      <c r="FW233" s="267"/>
      <c r="FX233" s="267"/>
      <c r="FY233" s="267"/>
      <c r="GD233" s="267"/>
      <c r="GE233" s="267"/>
      <c r="GF233" s="267"/>
      <c r="GG233" s="267"/>
      <c r="GH233" s="267"/>
      <c r="GI233" s="264"/>
      <c r="GJ233" s="264"/>
      <c r="GK233" s="264"/>
      <c r="GL233" s="264"/>
      <c r="HD233" s="267"/>
      <c r="HE233" s="267"/>
      <c r="HF233" s="267"/>
      <c r="HG233" s="267"/>
      <c r="HH233" s="267"/>
      <c r="HI233" s="267"/>
      <c r="HJ233" s="267"/>
      <c r="HK233" s="267"/>
      <c r="HL233" s="267"/>
      <c r="HM233" s="267"/>
      <c r="HN233" s="267"/>
      <c r="HO233" s="267"/>
      <c r="HP233" s="267"/>
      <c r="HQ233" s="267"/>
      <c r="HR233" s="267"/>
      <c r="HS233" s="267"/>
      <c r="HT233" s="267"/>
      <c r="HU233" s="267"/>
      <c r="IH233" s="267"/>
      <c r="IK233" s="267"/>
      <c r="IN233" s="267"/>
      <c r="IQ233" s="267"/>
      <c r="IR233" s="267"/>
      <c r="IS233" s="267"/>
      <c r="IT233" s="274"/>
      <c r="IU233" s="274"/>
      <c r="IV233" s="272"/>
      <c r="IW233" s="274"/>
      <c r="IX233" s="274"/>
      <c r="IY233" s="272"/>
    </row>
    <row r="234" spans="10:259">
      <c r="J234" s="267"/>
      <c r="K234" s="267"/>
      <c r="L234" s="267"/>
      <c r="M234" s="267"/>
      <c r="N234" s="267"/>
      <c r="O234" s="267"/>
      <c r="P234" s="267"/>
      <c r="Q234" s="267"/>
      <c r="S234" s="267"/>
      <c r="T234" s="267"/>
      <c r="U234" s="267"/>
      <c r="V234" s="267"/>
      <c r="W234" s="264"/>
      <c r="Y234" s="267"/>
      <c r="Z234" s="267"/>
      <c r="AA234" s="267"/>
      <c r="AB234" s="267"/>
      <c r="AE234" s="267"/>
      <c r="AF234" s="267"/>
      <c r="AG234" s="267"/>
      <c r="AH234" s="267"/>
      <c r="AK234" s="267"/>
      <c r="AL234" s="267"/>
      <c r="AM234" s="267"/>
      <c r="AN234" s="267"/>
      <c r="AQ234" s="267"/>
      <c r="AR234" s="267"/>
      <c r="AS234" s="267"/>
      <c r="AT234" s="267"/>
      <c r="AW234" s="267"/>
      <c r="AX234" s="267"/>
      <c r="AY234" s="267"/>
      <c r="AZ234" s="267"/>
      <c r="BG234" s="269"/>
      <c r="BM234" s="269"/>
      <c r="BS234" s="269"/>
      <c r="BU234" s="267"/>
      <c r="BY234" s="267"/>
      <c r="CC234" s="267"/>
      <c r="CG234" s="267"/>
      <c r="CS234" s="267"/>
      <c r="CW234" s="270"/>
      <c r="CX234" s="267"/>
      <c r="DC234" s="267"/>
      <c r="DH234" s="267"/>
      <c r="DM234" s="267"/>
      <c r="DR234" s="267"/>
      <c r="DW234" s="267"/>
      <c r="EB234" s="267"/>
      <c r="EG234" s="267"/>
      <c r="EL234" s="267"/>
      <c r="EQ234" s="267"/>
      <c r="EU234" s="270"/>
      <c r="EV234" s="267"/>
      <c r="FC234" s="267"/>
      <c r="FD234" s="267"/>
      <c r="FE234" s="267"/>
      <c r="FF234" s="267"/>
      <c r="FG234" s="267"/>
      <c r="FL234" s="267"/>
      <c r="FM234" s="267"/>
      <c r="FN234" s="267"/>
      <c r="FO234" s="267"/>
      <c r="FP234" s="267"/>
      <c r="FQ234" s="264"/>
      <c r="FR234" s="264"/>
      <c r="FS234" s="264"/>
      <c r="FT234" s="264"/>
      <c r="FU234" s="267"/>
      <c r="FV234" s="267"/>
      <c r="FW234" s="267"/>
      <c r="FX234" s="267"/>
      <c r="FY234" s="267"/>
      <c r="GD234" s="267"/>
      <c r="GE234" s="267"/>
      <c r="GF234" s="267"/>
      <c r="GG234" s="267"/>
      <c r="GH234" s="267"/>
      <c r="GI234" s="264"/>
      <c r="GJ234" s="264"/>
      <c r="GK234" s="264"/>
      <c r="GL234" s="264"/>
      <c r="HD234" s="267"/>
      <c r="HE234" s="267"/>
      <c r="HF234" s="267"/>
      <c r="HG234" s="267"/>
      <c r="HH234" s="267"/>
      <c r="HI234" s="267"/>
      <c r="HJ234" s="267"/>
      <c r="HK234" s="267"/>
      <c r="HL234" s="267"/>
      <c r="HM234" s="267"/>
      <c r="HN234" s="267"/>
      <c r="HO234" s="267"/>
      <c r="HP234" s="267"/>
      <c r="HQ234" s="267"/>
      <c r="HR234" s="267"/>
      <c r="HS234" s="267"/>
      <c r="HT234" s="267"/>
      <c r="HU234" s="267"/>
      <c r="IH234" s="267"/>
      <c r="IK234" s="267"/>
      <c r="IN234" s="267"/>
      <c r="IQ234" s="267"/>
      <c r="IR234" s="267"/>
      <c r="IS234" s="267"/>
      <c r="IT234" s="274"/>
      <c r="IU234" s="274"/>
      <c r="IV234" s="272"/>
      <c r="IW234" s="274"/>
      <c r="IX234" s="274"/>
      <c r="IY234" s="272"/>
    </row>
    <row r="235" spans="10:259">
      <c r="J235" s="267"/>
      <c r="K235" s="267"/>
      <c r="L235" s="267"/>
      <c r="M235" s="267"/>
      <c r="N235" s="267"/>
      <c r="O235" s="267"/>
      <c r="P235" s="267"/>
      <c r="Q235" s="267"/>
      <c r="S235" s="267"/>
      <c r="T235" s="267"/>
      <c r="U235" s="267"/>
      <c r="V235" s="267"/>
      <c r="W235" s="264"/>
      <c r="Y235" s="267"/>
      <c r="Z235" s="267"/>
      <c r="AA235" s="267"/>
      <c r="AB235" s="267"/>
      <c r="AE235" s="267"/>
      <c r="AF235" s="267"/>
      <c r="AG235" s="267"/>
      <c r="AH235" s="267"/>
      <c r="AK235" s="267"/>
      <c r="AL235" s="267"/>
      <c r="AM235" s="267"/>
      <c r="AN235" s="267"/>
      <c r="AQ235" s="267"/>
      <c r="AR235" s="267"/>
      <c r="AS235" s="267"/>
      <c r="AT235" s="267"/>
      <c r="AW235" s="267"/>
      <c r="AX235" s="267"/>
      <c r="AY235" s="267"/>
      <c r="AZ235" s="267"/>
      <c r="BG235" s="269"/>
      <c r="BM235" s="269"/>
      <c r="BS235" s="269"/>
      <c r="BU235" s="267"/>
      <c r="BY235" s="267"/>
      <c r="CC235" s="267"/>
      <c r="CG235" s="267"/>
      <c r="CS235" s="267"/>
      <c r="CW235" s="270"/>
      <c r="CX235" s="267"/>
      <c r="DC235" s="267"/>
      <c r="DH235" s="267"/>
      <c r="DM235" s="267"/>
      <c r="DR235" s="267"/>
      <c r="DW235" s="267"/>
      <c r="EB235" s="267"/>
      <c r="EG235" s="267"/>
      <c r="EL235" s="267"/>
      <c r="EQ235" s="267"/>
      <c r="EU235" s="270"/>
      <c r="EV235" s="267"/>
      <c r="FC235" s="267"/>
      <c r="FD235" s="267"/>
      <c r="FE235" s="267"/>
      <c r="FF235" s="267"/>
      <c r="FG235" s="267"/>
      <c r="FL235" s="267"/>
      <c r="FM235" s="267"/>
      <c r="FN235" s="267"/>
      <c r="FO235" s="267"/>
      <c r="FP235" s="267"/>
      <c r="FQ235" s="264"/>
      <c r="FR235" s="264"/>
      <c r="FS235" s="264"/>
      <c r="FT235" s="264"/>
      <c r="FU235" s="267"/>
      <c r="FV235" s="267"/>
      <c r="FW235" s="267"/>
      <c r="FX235" s="267"/>
      <c r="FY235" s="267"/>
      <c r="GD235" s="267"/>
      <c r="GE235" s="267"/>
      <c r="GF235" s="267"/>
      <c r="GG235" s="267"/>
      <c r="GH235" s="267"/>
      <c r="GI235" s="264"/>
      <c r="GJ235" s="264"/>
      <c r="GK235" s="264"/>
      <c r="GL235" s="264"/>
      <c r="HD235" s="267"/>
      <c r="HE235" s="267"/>
      <c r="HF235" s="267"/>
      <c r="HG235" s="267"/>
      <c r="HH235" s="267"/>
      <c r="HI235" s="267"/>
      <c r="HJ235" s="267"/>
      <c r="HK235" s="267"/>
      <c r="HL235" s="267"/>
      <c r="HM235" s="267"/>
      <c r="HN235" s="267"/>
      <c r="HO235" s="267"/>
      <c r="HP235" s="267"/>
      <c r="HQ235" s="267"/>
      <c r="HR235" s="267"/>
      <c r="HS235" s="267"/>
      <c r="HT235" s="267"/>
      <c r="HU235" s="267"/>
      <c r="IH235" s="267"/>
      <c r="IK235" s="267"/>
      <c r="IN235" s="267"/>
      <c r="IQ235" s="267"/>
      <c r="IR235" s="267"/>
      <c r="IS235" s="267"/>
      <c r="IT235" s="274"/>
      <c r="IU235" s="274"/>
      <c r="IV235" s="272"/>
      <c r="IW235" s="274"/>
      <c r="IX235" s="274"/>
      <c r="IY235" s="272"/>
    </row>
    <row r="236" spans="10:259">
      <c r="J236" s="267"/>
      <c r="K236" s="267"/>
      <c r="L236" s="267"/>
      <c r="M236" s="267"/>
      <c r="N236" s="267"/>
      <c r="O236" s="267"/>
      <c r="P236" s="267"/>
      <c r="Q236" s="267"/>
      <c r="S236" s="267"/>
      <c r="T236" s="267"/>
      <c r="U236" s="267"/>
      <c r="V236" s="267"/>
      <c r="W236" s="264"/>
      <c r="Y236" s="267"/>
      <c r="Z236" s="267"/>
      <c r="AA236" s="267"/>
      <c r="AB236" s="267"/>
      <c r="AE236" s="267"/>
      <c r="AF236" s="267"/>
      <c r="AG236" s="267"/>
      <c r="AH236" s="267"/>
      <c r="AK236" s="267"/>
      <c r="AL236" s="267"/>
      <c r="AM236" s="267"/>
      <c r="AN236" s="267"/>
      <c r="AQ236" s="267"/>
      <c r="AR236" s="267"/>
      <c r="AS236" s="267"/>
      <c r="AT236" s="267"/>
      <c r="AW236" s="267"/>
      <c r="AX236" s="267"/>
      <c r="AY236" s="267"/>
      <c r="AZ236" s="267"/>
      <c r="BG236" s="269"/>
      <c r="BM236" s="269"/>
      <c r="BS236" s="269"/>
      <c r="BU236" s="267"/>
      <c r="BY236" s="267"/>
      <c r="CC236" s="267"/>
      <c r="CG236" s="267"/>
      <c r="CS236" s="267"/>
      <c r="CW236" s="270"/>
      <c r="CX236" s="267"/>
      <c r="DC236" s="267"/>
      <c r="DH236" s="267"/>
      <c r="DM236" s="267"/>
      <c r="DR236" s="267"/>
      <c r="DW236" s="267"/>
      <c r="EB236" s="267"/>
      <c r="EG236" s="267"/>
      <c r="EL236" s="267"/>
      <c r="EQ236" s="267"/>
      <c r="EU236" s="270"/>
      <c r="EV236" s="267"/>
      <c r="FC236" s="267"/>
      <c r="FD236" s="267"/>
      <c r="FE236" s="267"/>
      <c r="FF236" s="267"/>
      <c r="FG236" s="267"/>
      <c r="FL236" s="267"/>
      <c r="FM236" s="267"/>
      <c r="FN236" s="267"/>
      <c r="FO236" s="267"/>
      <c r="FP236" s="267"/>
      <c r="FQ236" s="264"/>
      <c r="FR236" s="264"/>
      <c r="FS236" s="264"/>
      <c r="FT236" s="264"/>
      <c r="FU236" s="267"/>
      <c r="FV236" s="267"/>
      <c r="FW236" s="267"/>
      <c r="FX236" s="267"/>
      <c r="FY236" s="267"/>
      <c r="GD236" s="267"/>
      <c r="GE236" s="267"/>
      <c r="GF236" s="267"/>
      <c r="GG236" s="267"/>
      <c r="GH236" s="267"/>
      <c r="GI236" s="264"/>
      <c r="GJ236" s="264"/>
      <c r="GK236" s="264"/>
      <c r="GL236" s="264"/>
      <c r="HD236" s="267"/>
      <c r="HE236" s="267"/>
      <c r="HF236" s="267"/>
      <c r="HG236" s="267"/>
      <c r="HH236" s="267"/>
      <c r="HI236" s="267"/>
      <c r="HJ236" s="267"/>
      <c r="HK236" s="267"/>
      <c r="HL236" s="267"/>
      <c r="HM236" s="267"/>
      <c r="HN236" s="267"/>
      <c r="HO236" s="267"/>
      <c r="HP236" s="267"/>
      <c r="HQ236" s="267"/>
      <c r="HR236" s="267"/>
      <c r="HS236" s="267"/>
      <c r="HT236" s="267"/>
      <c r="HU236" s="267"/>
      <c r="IH236" s="267"/>
      <c r="IK236" s="267"/>
      <c r="IN236" s="267"/>
      <c r="IQ236" s="267"/>
      <c r="IR236" s="267"/>
      <c r="IS236" s="267"/>
      <c r="IT236" s="274"/>
      <c r="IU236" s="274"/>
      <c r="IV236" s="272"/>
      <c r="IW236" s="274"/>
      <c r="IX236" s="274"/>
      <c r="IY236" s="272"/>
    </row>
    <row r="237" spans="10:259">
      <c r="J237" s="267"/>
      <c r="K237" s="267"/>
      <c r="L237" s="267"/>
      <c r="M237" s="267"/>
      <c r="N237" s="267"/>
      <c r="O237" s="267"/>
      <c r="P237" s="267"/>
      <c r="Q237" s="267"/>
      <c r="S237" s="267"/>
      <c r="T237" s="267"/>
      <c r="U237" s="267"/>
      <c r="V237" s="267"/>
      <c r="W237" s="264"/>
      <c r="Y237" s="267"/>
      <c r="Z237" s="267"/>
      <c r="AA237" s="267"/>
      <c r="AB237" s="267"/>
      <c r="AE237" s="267"/>
      <c r="AF237" s="267"/>
      <c r="AG237" s="267"/>
      <c r="AH237" s="267"/>
      <c r="AK237" s="267"/>
      <c r="AL237" s="267"/>
      <c r="AM237" s="267"/>
      <c r="AN237" s="267"/>
      <c r="AQ237" s="267"/>
      <c r="AR237" s="267"/>
      <c r="AS237" s="267"/>
      <c r="AT237" s="267"/>
      <c r="AW237" s="267"/>
      <c r="AX237" s="267"/>
      <c r="AY237" s="267"/>
      <c r="AZ237" s="267"/>
      <c r="BG237" s="269"/>
      <c r="BM237" s="269"/>
      <c r="BS237" s="269"/>
      <c r="BU237" s="267"/>
      <c r="BY237" s="267"/>
      <c r="CC237" s="267"/>
      <c r="CG237" s="267"/>
      <c r="CS237" s="267"/>
      <c r="CW237" s="270"/>
      <c r="CX237" s="267"/>
      <c r="DC237" s="267"/>
      <c r="DH237" s="267"/>
      <c r="DM237" s="267"/>
      <c r="DR237" s="267"/>
      <c r="DW237" s="267"/>
      <c r="EB237" s="267"/>
      <c r="EG237" s="267"/>
      <c r="EL237" s="267"/>
      <c r="EQ237" s="267"/>
      <c r="EU237" s="270"/>
      <c r="EV237" s="267"/>
      <c r="FC237" s="267"/>
      <c r="FD237" s="267"/>
      <c r="FE237" s="267"/>
      <c r="FF237" s="267"/>
      <c r="FG237" s="267"/>
      <c r="FL237" s="267"/>
      <c r="FM237" s="267"/>
      <c r="FN237" s="267"/>
      <c r="FO237" s="267"/>
      <c r="FP237" s="267"/>
      <c r="FQ237" s="264"/>
      <c r="FR237" s="264"/>
      <c r="FS237" s="264"/>
      <c r="FT237" s="264"/>
      <c r="FU237" s="267"/>
      <c r="FV237" s="267"/>
      <c r="FW237" s="267"/>
      <c r="FX237" s="267"/>
      <c r="FY237" s="267"/>
      <c r="GD237" s="267"/>
      <c r="GE237" s="267"/>
      <c r="GF237" s="267"/>
      <c r="GG237" s="267"/>
      <c r="GH237" s="267"/>
      <c r="GI237" s="264"/>
      <c r="GJ237" s="264"/>
      <c r="GK237" s="264"/>
      <c r="GL237" s="264"/>
      <c r="HD237" s="267"/>
      <c r="HE237" s="267"/>
      <c r="HF237" s="267"/>
      <c r="HG237" s="267"/>
      <c r="HH237" s="267"/>
      <c r="HI237" s="267"/>
      <c r="HJ237" s="267"/>
      <c r="HK237" s="267"/>
      <c r="HL237" s="267"/>
      <c r="HM237" s="267"/>
      <c r="HN237" s="267"/>
      <c r="HO237" s="267"/>
      <c r="HP237" s="267"/>
      <c r="HQ237" s="267"/>
      <c r="HR237" s="267"/>
      <c r="HS237" s="267"/>
      <c r="HT237" s="267"/>
      <c r="HU237" s="267"/>
      <c r="IH237" s="267"/>
      <c r="IK237" s="267"/>
      <c r="IN237" s="267"/>
      <c r="IQ237" s="267"/>
      <c r="IR237" s="267"/>
      <c r="IS237" s="267"/>
      <c r="IT237" s="274"/>
      <c r="IU237" s="274"/>
      <c r="IV237" s="272"/>
      <c r="IW237" s="274"/>
      <c r="IX237" s="274"/>
      <c r="IY237" s="272"/>
    </row>
    <row r="238" spans="10:259">
      <c r="J238" s="267"/>
      <c r="K238" s="267"/>
      <c r="L238" s="267"/>
      <c r="M238" s="267"/>
      <c r="N238" s="267"/>
      <c r="O238" s="267"/>
      <c r="P238" s="267"/>
      <c r="Q238" s="267"/>
      <c r="S238" s="267"/>
      <c r="T238" s="267"/>
      <c r="U238" s="267"/>
      <c r="V238" s="267"/>
      <c r="W238" s="264"/>
      <c r="Y238" s="267"/>
      <c r="Z238" s="267"/>
      <c r="AA238" s="267"/>
      <c r="AB238" s="267"/>
      <c r="AE238" s="267"/>
      <c r="AF238" s="267"/>
      <c r="AG238" s="267"/>
      <c r="AH238" s="267"/>
      <c r="AK238" s="267"/>
      <c r="AL238" s="267"/>
      <c r="AM238" s="267"/>
      <c r="AN238" s="267"/>
      <c r="AQ238" s="267"/>
      <c r="AR238" s="267"/>
      <c r="AS238" s="267"/>
      <c r="AT238" s="267"/>
      <c r="AW238" s="267"/>
      <c r="AX238" s="267"/>
      <c r="AY238" s="267"/>
      <c r="AZ238" s="267"/>
      <c r="BG238" s="269"/>
      <c r="BM238" s="269"/>
      <c r="BS238" s="269"/>
      <c r="BU238" s="267"/>
      <c r="BY238" s="267"/>
      <c r="CC238" s="267"/>
      <c r="CG238" s="267"/>
      <c r="CS238" s="267"/>
      <c r="CW238" s="270"/>
      <c r="CX238" s="267"/>
      <c r="DC238" s="267"/>
      <c r="DH238" s="267"/>
      <c r="DM238" s="267"/>
      <c r="DR238" s="267"/>
      <c r="DW238" s="267"/>
      <c r="EB238" s="267"/>
      <c r="EG238" s="267"/>
      <c r="EL238" s="267"/>
      <c r="EQ238" s="267"/>
      <c r="EU238" s="270"/>
      <c r="EV238" s="267"/>
      <c r="FC238" s="267"/>
      <c r="FD238" s="267"/>
      <c r="FE238" s="267"/>
      <c r="FF238" s="267"/>
      <c r="FG238" s="267"/>
      <c r="FL238" s="267"/>
      <c r="FM238" s="267"/>
      <c r="FN238" s="267"/>
      <c r="FO238" s="267"/>
      <c r="FP238" s="267"/>
      <c r="FQ238" s="264"/>
      <c r="FR238" s="264"/>
      <c r="FS238" s="264"/>
      <c r="FT238" s="264"/>
      <c r="FU238" s="267"/>
      <c r="FV238" s="267"/>
      <c r="FW238" s="267"/>
      <c r="FX238" s="267"/>
      <c r="FY238" s="267"/>
      <c r="GD238" s="267"/>
      <c r="GE238" s="267"/>
      <c r="GF238" s="267"/>
      <c r="GG238" s="267"/>
      <c r="GH238" s="267"/>
      <c r="GI238" s="264"/>
      <c r="GJ238" s="264"/>
      <c r="GK238" s="264"/>
      <c r="GL238" s="264"/>
      <c r="HD238" s="267"/>
      <c r="HE238" s="267"/>
      <c r="HF238" s="267"/>
      <c r="HG238" s="267"/>
      <c r="HH238" s="267"/>
      <c r="HI238" s="267"/>
      <c r="HJ238" s="267"/>
      <c r="HK238" s="267"/>
      <c r="HL238" s="267"/>
      <c r="HM238" s="267"/>
      <c r="HN238" s="267"/>
      <c r="HO238" s="267"/>
      <c r="HP238" s="267"/>
      <c r="HQ238" s="267"/>
      <c r="HR238" s="267"/>
      <c r="HS238" s="267"/>
      <c r="HT238" s="267"/>
      <c r="HU238" s="267"/>
      <c r="IH238" s="267"/>
      <c r="IK238" s="267"/>
      <c r="IN238" s="267"/>
      <c r="IQ238" s="267"/>
      <c r="IR238" s="267"/>
      <c r="IS238" s="267"/>
      <c r="IT238" s="274"/>
      <c r="IU238" s="274"/>
      <c r="IV238" s="272"/>
      <c r="IW238" s="274"/>
      <c r="IX238" s="274"/>
      <c r="IY238" s="272"/>
    </row>
    <row r="239" spans="10:259">
      <c r="J239" s="267"/>
      <c r="K239" s="267"/>
      <c r="L239" s="267"/>
      <c r="M239" s="267"/>
      <c r="N239" s="267"/>
      <c r="O239" s="267"/>
      <c r="P239" s="267"/>
      <c r="Q239" s="267"/>
      <c r="S239" s="267"/>
      <c r="T239" s="267"/>
      <c r="U239" s="267"/>
      <c r="V239" s="267"/>
      <c r="W239" s="264"/>
      <c r="Y239" s="267"/>
      <c r="Z239" s="267"/>
      <c r="AA239" s="267"/>
      <c r="AB239" s="267"/>
      <c r="AE239" s="267"/>
      <c r="AF239" s="267"/>
      <c r="AG239" s="267"/>
      <c r="AH239" s="267"/>
      <c r="AK239" s="267"/>
      <c r="AL239" s="267"/>
      <c r="AM239" s="267"/>
      <c r="AN239" s="267"/>
      <c r="AQ239" s="267"/>
      <c r="AR239" s="267"/>
      <c r="AS239" s="267"/>
      <c r="AT239" s="267"/>
      <c r="AW239" s="267"/>
      <c r="AX239" s="267"/>
      <c r="AY239" s="267"/>
      <c r="AZ239" s="267"/>
      <c r="BG239" s="269"/>
      <c r="BM239" s="269"/>
      <c r="BS239" s="269"/>
      <c r="BU239" s="267"/>
      <c r="BY239" s="267"/>
      <c r="CC239" s="267"/>
      <c r="CG239" s="267"/>
      <c r="CS239" s="267"/>
      <c r="CW239" s="270"/>
      <c r="CX239" s="267"/>
      <c r="DC239" s="267"/>
      <c r="DH239" s="267"/>
      <c r="DM239" s="267"/>
      <c r="DR239" s="267"/>
      <c r="DW239" s="267"/>
      <c r="EB239" s="267"/>
      <c r="EG239" s="267"/>
      <c r="EL239" s="267"/>
      <c r="EQ239" s="267"/>
      <c r="EU239" s="270"/>
      <c r="EV239" s="267"/>
      <c r="FC239" s="267"/>
      <c r="FD239" s="267"/>
      <c r="FE239" s="267"/>
      <c r="FF239" s="267"/>
      <c r="FG239" s="267"/>
      <c r="FL239" s="267"/>
      <c r="FM239" s="267"/>
      <c r="FN239" s="267"/>
      <c r="FO239" s="267"/>
      <c r="FP239" s="267"/>
      <c r="FQ239" s="264"/>
      <c r="FR239" s="264"/>
      <c r="FS239" s="264"/>
      <c r="FT239" s="264"/>
      <c r="FU239" s="267"/>
      <c r="FV239" s="267"/>
      <c r="FW239" s="267"/>
      <c r="FX239" s="267"/>
      <c r="FY239" s="267"/>
      <c r="GD239" s="267"/>
      <c r="GE239" s="267"/>
      <c r="GF239" s="267"/>
      <c r="GG239" s="267"/>
      <c r="GH239" s="267"/>
      <c r="GI239" s="264"/>
      <c r="GJ239" s="264"/>
      <c r="GK239" s="264"/>
      <c r="GL239" s="264"/>
      <c r="HD239" s="267"/>
      <c r="HE239" s="267"/>
      <c r="HF239" s="267"/>
      <c r="HG239" s="267"/>
      <c r="HH239" s="267"/>
      <c r="HI239" s="267"/>
      <c r="HJ239" s="267"/>
      <c r="HK239" s="267"/>
      <c r="HL239" s="267"/>
      <c r="HM239" s="267"/>
      <c r="HN239" s="267"/>
      <c r="HO239" s="267"/>
      <c r="HP239" s="267"/>
      <c r="HQ239" s="267"/>
      <c r="HR239" s="267"/>
      <c r="HS239" s="267"/>
      <c r="HT239" s="267"/>
      <c r="HU239" s="267"/>
      <c r="IH239" s="267"/>
      <c r="IK239" s="267"/>
      <c r="IN239" s="267"/>
      <c r="IQ239" s="267"/>
      <c r="IR239" s="267"/>
      <c r="IS239" s="267"/>
      <c r="IT239" s="274"/>
      <c r="IU239" s="274"/>
      <c r="IV239" s="272"/>
      <c r="IW239" s="274"/>
      <c r="IX239" s="274"/>
      <c r="IY239" s="272"/>
    </row>
    <row r="240" spans="10:259">
      <c r="J240" s="267"/>
      <c r="K240" s="267"/>
      <c r="L240" s="267"/>
      <c r="M240" s="267"/>
      <c r="N240" s="267"/>
      <c r="O240" s="267"/>
      <c r="P240" s="267"/>
      <c r="Q240" s="267"/>
      <c r="S240" s="267"/>
      <c r="T240" s="267"/>
      <c r="U240" s="267"/>
      <c r="V240" s="267"/>
      <c r="W240" s="264"/>
      <c r="Y240" s="267"/>
      <c r="Z240" s="267"/>
      <c r="AA240" s="267"/>
      <c r="AB240" s="267"/>
      <c r="AE240" s="267"/>
      <c r="AF240" s="267"/>
      <c r="AG240" s="267"/>
      <c r="AH240" s="267"/>
      <c r="AK240" s="267"/>
      <c r="AL240" s="267"/>
      <c r="AM240" s="267"/>
      <c r="AN240" s="267"/>
      <c r="AQ240" s="267"/>
      <c r="AR240" s="267"/>
      <c r="AS240" s="267"/>
      <c r="AT240" s="267"/>
      <c r="AW240" s="267"/>
      <c r="AX240" s="267"/>
      <c r="AY240" s="267"/>
      <c r="AZ240" s="267"/>
      <c r="BG240" s="269"/>
      <c r="BM240" s="269"/>
      <c r="BS240" s="269"/>
      <c r="BU240" s="267"/>
      <c r="BY240" s="267"/>
      <c r="CC240" s="267"/>
      <c r="CG240" s="267"/>
      <c r="CS240" s="267"/>
      <c r="CW240" s="270"/>
      <c r="CX240" s="267"/>
      <c r="DC240" s="267"/>
      <c r="DH240" s="267"/>
      <c r="DM240" s="267"/>
      <c r="DR240" s="267"/>
      <c r="DW240" s="267"/>
      <c r="EB240" s="267"/>
      <c r="EG240" s="267"/>
      <c r="EL240" s="267"/>
      <c r="EQ240" s="267"/>
      <c r="EU240" s="270"/>
      <c r="EV240" s="267"/>
      <c r="FC240" s="267"/>
      <c r="FD240" s="267"/>
      <c r="FE240" s="267"/>
      <c r="FF240" s="267"/>
      <c r="FG240" s="267"/>
      <c r="FL240" s="267"/>
      <c r="FM240" s="267"/>
      <c r="FN240" s="267"/>
      <c r="FO240" s="267"/>
      <c r="FP240" s="267"/>
      <c r="FQ240" s="264"/>
      <c r="FR240" s="264"/>
      <c r="FS240" s="264"/>
      <c r="FT240" s="264"/>
      <c r="FU240" s="267"/>
      <c r="FV240" s="267"/>
      <c r="FW240" s="267"/>
      <c r="FX240" s="267"/>
      <c r="FY240" s="267"/>
      <c r="GD240" s="267"/>
      <c r="GE240" s="267"/>
      <c r="GF240" s="267"/>
      <c r="GG240" s="267"/>
      <c r="GH240" s="267"/>
      <c r="GI240" s="264"/>
      <c r="GJ240" s="264"/>
      <c r="GK240" s="264"/>
      <c r="GL240" s="264"/>
      <c r="HD240" s="267"/>
      <c r="HE240" s="267"/>
      <c r="HF240" s="267"/>
      <c r="HG240" s="267"/>
      <c r="HH240" s="267"/>
      <c r="HI240" s="267"/>
      <c r="HJ240" s="267"/>
      <c r="HK240" s="267"/>
      <c r="HL240" s="267"/>
      <c r="HM240" s="267"/>
      <c r="HN240" s="267"/>
      <c r="HO240" s="267"/>
      <c r="HP240" s="267"/>
      <c r="HQ240" s="267"/>
      <c r="HR240" s="267"/>
      <c r="HS240" s="267"/>
      <c r="HT240" s="267"/>
      <c r="HU240" s="267"/>
      <c r="IH240" s="267"/>
      <c r="IK240" s="267"/>
      <c r="IN240" s="267"/>
      <c r="IQ240" s="267"/>
      <c r="IR240" s="267"/>
      <c r="IS240" s="267"/>
      <c r="IT240" s="274"/>
      <c r="IU240" s="274"/>
      <c r="IV240" s="272"/>
      <c r="IW240" s="274"/>
      <c r="IX240" s="274"/>
      <c r="IY240" s="272"/>
    </row>
    <row r="241" spans="10:259">
      <c r="J241" s="267"/>
      <c r="K241" s="267"/>
      <c r="L241" s="267"/>
      <c r="M241" s="267"/>
      <c r="N241" s="267"/>
      <c r="O241" s="267"/>
      <c r="P241" s="267"/>
      <c r="Q241" s="267"/>
      <c r="S241" s="267"/>
      <c r="T241" s="267"/>
      <c r="U241" s="267"/>
      <c r="V241" s="267"/>
      <c r="W241" s="264"/>
      <c r="Y241" s="267"/>
      <c r="Z241" s="267"/>
      <c r="AA241" s="267"/>
      <c r="AB241" s="267"/>
      <c r="AE241" s="267"/>
      <c r="AF241" s="267"/>
      <c r="AG241" s="267"/>
      <c r="AH241" s="267"/>
      <c r="AK241" s="267"/>
      <c r="AL241" s="267"/>
      <c r="AM241" s="267"/>
      <c r="AN241" s="267"/>
      <c r="AQ241" s="267"/>
      <c r="AR241" s="267"/>
      <c r="AS241" s="267"/>
      <c r="AT241" s="267"/>
      <c r="AW241" s="267"/>
      <c r="AX241" s="267"/>
      <c r="AY241" s="267"/>
      <c r="AZ241" s="267"/>
      <c r="BG241" s="269"/>
      <c r="BM241" s="269"/>
      <c r="BS241" s="269"/>
      <c r="BU241" s="267"/>
      <c r="BY241" s="267"/>
      <c r="CC241" s="267"/>
      <c r="CG241" s="267"/>
      <c r="CS241" s="267"/>
      <c r="CW241" s="270"/>
      <c r="CX241" s="267"/>
      <c r="DC241" s="267"/>
      <c r="DH241" s="267"/>
      <c r="DM241" s="267"/>
      <c r="DR241" s="267"/>
      <c r="DW241" s="267"/>
      <c r="EB241" s="267"/>
      <c r="EG241" s="267"/>
      <c r="EL241" s="267"/>
      <c r="EQ241" s="267"/>
      <c r="EU241" s="270"/>
      <c r="EV241" s="267"/>
      <c r="FC241" s="267"/>
      <c r="FD241" s="267"/>
      <c r="FE241" s="267"/>
      <c r="FF241" s="267"/>
      <c r="FG241" s="267"/>
      <c r="FL241" s="267"/>
      <c r="FM241" s="267"/>
      <c r="FN241" s="267"/>
      <c r="FO241" s="267"/>
      <c r="FP241" s="267"/>
      <c r="FQ241" s="264"/>
      <c r="FR241" s="264"/>
      <c r="FS241" s="264"/>
      <c r="FT241" s="264"/>
      <c r="FU241" s="267"/>
      <c r="FV241" s="267"/>
      <c r="FW241" s="267"/>
      <c r="FX241" s="267"/>
      <c r="FY241" s="267"/>
      <c r="GD241" s="267"/>
      <c r="GE241" s="267"/>
      <c r="GF241" s="267"/>
      <c r="GG241" s="267"/>
      <c r="GH241" s="267"/>
      <c r="GI241" s="264"/>
      <c r="GJ241" s="264"/>
      <c r="GK241" s="264"/>
      <c r="GL241" s="264"/>
      <c r="HD241" s="267"/>
      <c r="HE241" s="267"/>
      <c r="HF241" s="267"/>
      <c r="HG241" s="267"/>
      <c r="HH241" s="267"/>
      <c r="HI241" s="267"/>
      <c r="HJ241" s="267"/>
      <c r="HK241" s="267"/>
      <c r="HL241" s="267"/>
      <c r="HM241" s="267"/>
      <c r="HN241" s="267"/>
      <c r="HO241" s="267"/>
      <c r="HP241" s="267"/>
      <c r="HQ241" s="267"/>
      <c r="HR241" s="267"/>
      <c r="HS241" s="267"/>
      <c r="HT241" s="267"/>
      <c r="HU241" s="267"/>
      <c r="IH241" s="267"/>
      <c r="IK241" s="267"/>
      <c r="IN241" s="267"/>
      <c r="IQ241" s="267"/>
      <c r="IR241" s="267"/>
      <c r="IS241" s="267"/>
      <c r="IT241" s="274"/>
      <c r="IU241" s="274"/>
      <c r="IV241" s="272"/>
      <c r="IW241" s="274"/>
      <c r="IX241" s="274"/>
      <c r="IY241" s="272"/>
    </row>
    <row r="242" spans="10:259">
      <c r="J242" s="267"/>
      <c r="K242" s="267"/>
      <c r="L242" s="267"/>
      <c r="M242" s="267"/>
      <c r="N242" s="267"/>
      <c r="O242" s="267"/>
      <c r="P242" s="267"/>
      <c r="Q242" s="267"/>
      <c r="S242" s="267"/>
      <c r="T242" s="267"/>
      <c r="U242" s="267"/>
      <c r="V242" s="267"/>
      <c r="W242" s="264"/>
      <c r="Y242" s="267"/>
      <c r="Z242" s="267"/>
      <c r="AA242" s="267"/>
      <c r="AB242" s="267"/>
      <c r="AE242" s="267"/>
      <c r="AF242" s="267"/>
      <c r="AG242" s="267"/>
      <c r="AH242" s="267"/>
      <c r="AK242" s="267"/>
      <c r="AL242" s="267"/>
      <c r="AM242" s="267"/>
      <c r="AN242" s="267"/>
      <c r="AQ242" s="267"/>
      <c r="AR242" s="267"/>
      <c r="AS242" s="267"/>
      <c r="AT242" s="267"/>
      <c r="AW242" s="267"/>
      <c r="AX242" s="267"/>
      <c r="AY242" s="267"/>
      <c r="AZ242" s="267"/>
      <c r="BG242" s="269"/>
      <c r="BM242" s="269"/>
      <c r="BS242" s="269"/>
      <c r="BU242" s="267"/>
      <c r="BY242" s="267"/>
      <c r="CC242" s="267"/>
      <c r="CG242" s="267"/>
      <c r="CS242" s="267"/>
      <c r="CW242" s="270"/>
      <c r="CX242" s="267"/>
      <c r="DC242" s="267"/>
      <c r="DH242" s="267"/>
      <c r="DM242" s="267"/>
      <c r="DR242" s="267"/>
      <c r="DW242" s="267"/>
      <c r="EB242" s="267"/>
      <c r="EG242" s="267"/>
      <c r="EL242" s="267"/>
      <c r="EQ242" s="267"/>
      <c r="EU242" s="270"/>
      <c r="EV242" s="267"/>
      <c r="FC242" s="267"/>
      <c r="FD242" s="267"/>
      <c r="FE242" s="267"/>
      <c r="FF242" s="267"/>
      <c r="FG242" s="267"/>
      <c r="FL242" s="267"/>
      <c r="FM242" s="267"/>
      <c r="FN242" s="267"/>
      <c r="FO242" s="267"/>
      <c r="FP242" s="267"/>
      <c r="FQ242" s="264"/>
      <c r="FR242" s="264"/>
      <c r="FS242" s="264"/>
      <c r="FT242" s="264"/>
      <c r="FU242" s="267"/>
      <c r="FV242" s="267"/>
      <c r="FW242" s="267"/>
      <c r="FX242" s="267"/>
      <c r="FY242" s="267"/>
      <c r="GD242" s="267"/>
      <c r="GE242" s="267"/>
      <c r="GF242" s="267"/>
      <c r="GG242" s="267"/>
      <c r="GH242" s="267"/>
      <c r="GI242" s="264"/>
      <c r="GJ242" s="264"/>
      <c r="GK242" s="264"/>
      <c r="GL242" s="264"/>
      <c r="HD242" s="267"/>
      <c r="HE242" s="267"/>
      <c r="HF242" s="267"/>
      <c r="HG242" s="267"/>
      <c r="HH242" s="267"/>
      <c r="HI242" s="267"/>
      <c r="HJ242" s="267"/>
      <c r="HK242" s="267"/>
      <c r="HL242" s="267"/>
      <c r="HM242" s="267"/>
      <c r="HN242" s="267"/>
      <c r="HO242" s="267"/>
      <c r="HP242" s="267"/>
      <c r="HQ242" s="267"/>
      <c r="HR242" s="267"/>
      <c r="HS242" s="267"/>
      <c r="HT242" s="267"/>
      <c r="HU242" s="267"/>
      <c r="IH242" s="267"/>
      <c r="IK242" s="267"/>
      <c r="IN242" s="267"/>
      <c r="IQ242" s="267"/>
      <c r="IR242" s="267"/>
      <c r="IS242" s="267"/>
      <c r="IT242" s="274"/>
      <c r="IU242" s="274"/>
      <c r="IV242" s="272"/>
      <c r="IW242" s="274"/>
      <c r="IX242" s="274"/>
      <c r="IY242" s="272"/>
    </row>
    <row r="243" spans="10:259">
      <c r="J243" s="267"/>
      <c r="K243" s="267"/>
      <c r="L243" s="267"/>
      <c r="M243" s="267"/>
      <c r="N243" s="267"/>
      <c r="O243" s="267"/>
      <c r="P243" s="267"/>
      <c r="Q243" s="267"/>
      <c r="S243" s="267"/>
      <c r="T243" s="267"/>
      <c r="U243" s="267"/>
      <c r="V243" s="267"/>
      <c r="W243" s="264"/>
      <c r="Y243" s="267"/>
      <c r="Z243" s="267"/>
      <c r="AA243" s="267"/>
      <c r="AB243" s="267"/>
      <c r="AE243" s="267"/>
      <c r="AF243" s="267"/>
      <c r="AG243" s="267"/>
      <c r="AH243" s="267"/>
      <c r="AK243" s="267"/>
      <c r="AL243" s="267"/>
      <c r="AM243" s="267"/>
      <c r="AN243" s="267"/>
      <c r="AQ243" s="267"/>
      <c r="AR243" s="267"/>
      <c r="AS243" s="267"/>
      <c r="AT243" s="267"/>
      <c r="AW243" s="267"/>
      <c r="AX243" s="267"/>
      <c r="AY243" s="267"/>
      <c r="AZ243" s="267"/>
      <c r="BG243" s="269"/>
      <c r="BM243" s="269"/>
      <c r="BS243" s="269"/>
      <c r="BU243" s="267"/>
      <c r="BY243" s="267"/>
      <c r="CC243" s="267"/>
      <c r="CG243" s="267"/>
      <c r="CS243" s="267"/>
      <c r="CW243" s="270"/>
      <c r="CX243" s="267"/>
      <c r="DC243" s="267"/>
      <c r="DH243" s="267"/>
      <c r="DM243" s="267"/>
      <c r="DR243" s="267"/>
      <c r="DW243" s="267"/>
      <c r="EB243" s="267"/>
      <c r="EG243" s="267"/>
      <c r="EL243" s="267"/>
      <c r="EQ243" s="267"/>
      <c r="EU243" s="270"/>
      <c r="EV243" s="267"/>
      <c r="FC243" s="267"/>
      <c r="FD243" s="267"/>
      <c r="FE243" s="267"/>
      <c r="FF243" s="267"/>
      <c r="FG243" s="267"/>
      <c r="FL243" s="267"/>
      <c r="FM243" s="267"/>
      <c r="FN243" s="267"/>
      <c r="FO243" s="267"/>
      <c r="FP243" s="267"/>
      <c r="FQ243" s="264"/>
      <c r="FR243" s="264"/>
      <c r="FS243" s="264"/>
      <c r="FT243" s="264"/>
      <c r="FU243" s="267"/>
      <c r="FV243" s="267"/>
      <c r="FW243" s="267"/>
      <c r="FX243" s="267"/>
      <c r="FY243" s="267"/>
      <c r="GD243" s="267"/>
      <c r="GE243" s="267"/>
      <c r="GF243" s="267"/>
      <c r="GG243" s="267"/>
      <c r="GH243" s="267"/>
      <c r="GI243" s="264"/>
      <c r="GJ243" s="264"/>
      <c r="GK243" s="264"/>
      <c r="GL243" s="264"/>
      <c r="HD243" s="267"/>
      <c r="HE243" s="267"/>
      <c r="HF243" s="267"/>
      <c r="HG243" s="267"/>
      <c r="HH243" s="267"/>
      <c r="HI243" s="267"/>
      <c r="HJ243" s="267"/>
      <c r="HK243" s="267"/>
      <c r="HL243" s="267"/>
      <c r="HM243" s="267"/>
      <c r="HN243" s="267"/>
      <c r="HO243" s="267"/>
      <c r="HP243" s="267"/>
      <c r="HQ243" s="267"/>
      <c r="HR243" s="267"/>
      <c r="HS243" s="267"/>
      <c r="HT243" s="267"/>
      <c r="HU243" s="267"/>
      <c r="IH243" s="267"/>
      <c r="IK243" s="267"/>
      <c r="IN243" s="267"/>
      <c r="IQ243" s="267"/>
      <c r="IR243" s="267"/>
      <c r="IS243" s="267"/>
      <c r="IT243" s="274"/>
      <c r="IU243" s="274"/>
      <c r="IV243" s="272"/>
      <c r="IW243" s="274"/>
      <c r="IX243" s="274"/>
      <c r="IY243" s="272"/>
    </row>
    <row r="244" spans="10:259">
      <c r="J244" s="267"/>
      <c r="K244" s="267"/>
      <c r="L244" s="267"/>
      <c r="M244" s="267"/>
      <c r="N244" s="267"/>
      <c r="O244" s="267"/>
      <c r="P244" s="267"/>
      <c r="Q244" s="267"/>
      <c r="S244" s="267"/>
      <c r="T244" s="267"/>
      <c r="U244" s="267"/>
      <c r="V244" s="267"/>
      <c r="W244" s="264"/>
      <c r="Y244" s="267"/>
      <c r="Z244" s="267"/>
      <c r="AA244" s="267"/>
      <c r="AB244" s="267"/>
      <c r="AE244" s="267"/>
      <c r="AF244" s="267"/>
      <c r="AG244" s="267"/>
      <c r="AH244" s="267"/>
      <c r="AK244" s="267"/>
      <c r="AL244" s="267"/>
      <c r="AM244" s="267"/>
      <c r="AN244" s="267"/>
      <c r="AQ244" s="267"/>
      <c r="AR244" s="267"/>
      <c r="AS244" s="267"/>
      <c r="AT244" s="267"/>
      <c r="AW244" s="267"/>
      <c r="AX244" s="267"/>
      <c r="AY244" s="267"/>
      <c r="AZ244" s="267"/>
      <c r="BG244" s="269"/>
      <c r="BM244" s="269"/>
      <c r="BS244" s="269"/>
      <c r="BU244" s="267"/>
      <c r="BY244" s="267"/>
      <c r="CC244" s="267"/>
      <c r="CG244" s="267"/>
      <c r="CS244" s="267"/>
      <c r="CW244" s="270"/>
      <c r="CX244" s="267"/>
      <c r="DC244" s="267"/>
      <c r="DH244" s="267"/>
      <c r="DM244" s="267"/>
      <c r="DR244" s="267"/>
      <c r="DW244" s="267"/>
      <c r="EB244" s="267"/>
      <c r="EG244" s="267"/>
      <c r="EL244" s="267"/>
      <c r="EQ244" s="267"/>
      <c r="EU244" s="270"/>
      <c r="EV244" s="267"/>
      <c r="FC244" s="267"/>
      <c r="FD244" s="267"/>
      <c r="FE244" s="267"/>
      <c r="FF244" s="267"/>
      <c r="FG244" s="267"/>
      <c r="FL244" s="267"/>
      <c r="FM244" s="267"/>
      <c r="FN244" s="267"/>
      <c r="FO244" s="267"/>
      <c r="FP244" s="267"/>
      <c r="FQ244" s="264"/>
      <c r="FR244" s="264"/>
      <c r="FS244" s="264"/>
      <c r="FT244" s="264"/>
      <c r="FU244" s="267"/>
      <c r="FV244" s="267"/>
      <c r="FW244" s="267"/>
      <c r="FX244" s="267"/>
      <c r="FY244" s="267"/>
      <c r="GD244" s="267"/>
      <c r="GE244" s="267"/>
      <c r="GF244" s="267"/>
      <c r="GG244" s="267"/>
      <c r="GH244" s="267"/>
      <c r="GI244" s="264"/>
      <c r="GJ244" s="264"/>
      <c r="GK244" s="264"/>
      <c r="GL244" s="264"/>
      <c r="HD244" s="267"/>
      <c r="HE244" s="267"/>
      <c r="HF244" s="267"/>
      <c r="HG244" s="267"/>
      <c r="HH244" s="267"/>
      <c r="HI244" s="267"/>
      <c r="HJ244" s="267"/>
      <c r="HK244" s="267"/>
      <c r="HL244" s="267"/>
      <c r="HM244" s="267"/>
      <c r="HN244" s="267"/>
      <c r="HO244" s="267"/>
      <c r="HP244" s="267"/>
      <c r="HQ244" s="267"/>
      <c r="HR244" s="267"/>
      <c r="HS244" s="267"/>
      <c r="HT244" s="267"/>
      <c r="HU244" s="267"/>
      <c r="IH244" s="267"/>
      <c r="IK244" s="267"/>
      <c r="IN244" s="267"/>
      <c r="IQ244" s="267"/>
      <c r="IR244" s="267"/>
      <c r="IS244" s="267"/>
      <c r="IT244" s="274"/>
      <c r="IU244" s="274"/>
      <c r="IV244" s="272"/>
      <c r="IW244" s="274"/>
      <c r="IX244" s="274"/>
      <c r="IY244" s="272"/>
    </row>
    <row r="245" spans="10:259">
      <c r="J245" s="267"/>
      <c r="K245" s="267"/>
      <c r="L245" s="267"/>
      <c r="M245" s="267"/>
      <c r="N245" s="267"/>
      <c r="O245" s="267"/>
      <c r="P245" s="267"/>
      <c r="Q245" s="267"/>
      <c r="S245" s="267"/>
      <c r="T245" s="267"/>
      <c r="U245" s="267"/>
      <c r="V245" s="267"/>
      <c r="W245" s="264"/>
      <c r="Y245" s="267"/>
      <c r="Z245" s="267"/>
      <c r="AA245" s="267"/>
      <c r="AB245" s="267"/>
      <c r="AE245" s="267"/>
      <c r="AF245" s="267"/>
      <c r="AG245" s="267"/>
      <c r="AH245" s="267"/>
      <c r="AK245" s="267"/>
      <c r="AL245" s="267"/>
      <c r="AM245" s="267"/>
      <c r="AN245" s="267"/>
      <c r="AQ245" s="267"/>
      <c r="AR245" s="267"/>
      <c r="AS245" s="267"/>
      <c r="AT245" s="267"/>
      <c r="AW245" s="267"/>
      <c r="AX245" s="267"/>
      <c r="AY245" s="267"/>
      <c r="AZ245" s="267"/>
      <c r="BG245" s="269"/>
      <c r="BM245" s="269"/>
      <c r="BS245" s="269"/>
      <c r="BU245" s="267"/>
      <c r="BY245" s="267"/>
      <c r="CC245" s="267"/>
      <c r="CG245" s="267"/>
      <c r="CS245" s="267"/>
      <c r="CW245" s="270"/>
      <c r="CX245" s="267"/>
      <c r="DC245" s="267"/>
      <c r="DH245" s="267"/>
      <c r="DM245" s="267"/>
      <c r="DR245" s="267"/>
      <c r="DW245" s="267"/>
      <c r="EB245" s="267"/>
      <c r="EG245" s="267"/>
      <c r="EL245" s="267"/>
      <c r="EQ245" s="267"/>
      <c r="EU245" s="270"/>
      <c r="EV245" s="267"/>
      <c r="FC245" s="267"/>
      <c r="FD245" s="267"/>
      <c r="FE245" s="267"/>
      <c r="FF245" s="267"/>
      <c r="FG245" s="267"/>
      <c r="FL245" s="267"/>
      <c r="FM245" s="267"/>
      <c r="FN245" s="267"/>
      <c r="FO245" s="267"/>
      <c r="FP245" s="267"/>
      <c r="FQ245" s="264"/>
      <c r="FR245" s="264"/>
      <c r="FS245" s="264"/>
      <c r="FT245" s="264"/>
      <c r="FU245" s="267"/>
      <c r="FV245" s="267"/>
      <c r="FW245" s="267"/>
      <c r="FX245" s="267"/>
      <c r="FY245" s="267"/>
      <c r="GD245" s="267"/>
      <c r="GE245" s="267"/>
      <c r="GF245" s="267"/>
      <c r="GG245" s="267"/>
      <c r="GH245" s="267"/>
      <c r="GI245" s="264"/>
      <c r="GJ245" s="264"/>
      <c r="GK245" s="264"/>
      <c r="GL245" s="264"/>
      <c r="HD245" s="267"/>
      <c r="HE245" s="267"/>
      <c r="HF245" s="267"/>
      <c r="HG245" s="267"/>
      <c r="HH245" s="267"/>
      <c r="HI245" s="267"/>
      <c r="HJ245" s="267"/>
      <c r="HK245" s="267"/>
      <c r="HL245" s="267"/>
      <c r="HM245" s="267"/>
      <c r="HN245" s="267"/>
      <c r="HO245" s="267"/>
      <c r="HP245" s="267"/>
      <c r="HQ245" s="267"/>
      <c r="HR245" s="267"/>
      <c r="HS245" s="267"/>
      <c r="HT245" s="267"/>
      <c r="HU245" s="267"/>
      <c r="IH245" s="267"/>
      <c r="IK245" s="267"/>
      <c r="IN245" s="267"/>
      <c r="IQ245" s="267"/>
      <c r="IR245" s="267"/>
      <c r="IS245" s="267"/>
      <c r="IT245" s="274"/>
      <c r="IU245" s="274"/>
      <c r="IV245" s="272"/>
      <c r="IW245" s="274"/>
      <c r="IX245" s="274"/>
      <c r="IY245" s="272"/>
    </row>
    <row r="246" spans="10:259">
      <c r="J246" s="267"/>
      <c r="K246" s="267"/>
      <c r="L246" s="267"/>
      <c r="M246" s="267"/>
      <c r="N246" s="267"/>
      <c r="O246" s="267"/>
      <c r="P246" s="267"/>
      <c r="Q246" s="267"/>
      <c r="S246" s="267"/>
      <c r="T246" s="267"/>
      <c r="U246" s="267"/>
      <c r="V246" s="267"/>
      <c r="W246" s="264"/>
      <c r="Y246" s="267"/>
      <c r="Z246" s="267"/>
      <c r="AA246" s="267"/>
      <c r="AB246" s="267"/>
      <c r="AE246" s="267"/>
      <c r="AF246" s="267"/>
      <c r="AG246" s="267"/>
      <c r="AH246" s="267"/>
      <c r="AK246" s="267"/>
      <c r="AL246" s="267"/>
      <c r="AM246" s="267"/>
      <c r="AN246" s="267"/>
      <c r="AQ246" s="267"/>
      <c r="AR246" s="267"/>
      <c r="AS246" s="267"/>
      <c r="AT246" s="267"/>
      <c r="AW246" s="267"/>
      <c r="AX246" s="267"/>
      <c r="AY246" s="267"/>
      <c r="AZ246" s="267"/>
      <c r="BG246" s="269"/>
      <c r="BM246" s="269"/>
      <c r="BS246" s="269"/>
      <c r="BU246" s="267"/>
      <c r="BY246" s="267"/>
      <c r="CC246" s="267"/>
      <c r="CG246" s="267"/>
      <c r="CS246" s="267"/>
      <c r="CW246" s="270"/>
      <c r="CX246" s="267"/>
      <c r="DC246" s="267"/>
      <c r="DH246" s="267"/>
      <c r="DM246" s="267"/>
      <c r="DR246" s="267"/>
      <c r="DW246" s="267"/>
      <c r="EB246" s="267"/>
      <c r="EG246" s="267"/>
      <c r="EL246" s="267"/>
      <c r="EQ246" s="267"/>
      <c r="EU246" s="270"/>
      <c r="EV246" s="267"/>
      <c r="FC246" s="267"/>
      <c r="FD246" s="267"/>
      <c r="FE246" s="267"/>
      <c r="FF246" s="267"/>
      <c r="FG246" s="267"/>
      <c r="FL246" s="267"/>
      <c r="FM246" s="267"/>
      <c r="FN246" s="267"/>
      <c r="FO246" s="267"/>
      <c r="FP246" s="267"/>
      <c r="FQ246" s="264"/>
      <c r="FR246" s="264"/>
      <c r="FS246" s="264"/>
      <c r="FT246" s="264"/>
      <c r="FU246" s="267"/>
      <c r="FV246" s="267"/>
      <c r="FW246" s="267"/>
      <c r="FX246" s="267"/>
      <c r="FY246" s="267"/>
      <c r="GD246" s="267"/>
      <c r="GE246" s="267"/>
      <c r="GF246" s="267"/>
      <c r="GG246" s="267"/>
      <c r="GH246" s="267"/>
      <c r="GI246" s="264"/>
      <c r="GJ246" s="264"/>
      <c r="GK246" s="264"/>
      <c r="GL246" s="264"/>
      <c r="HD246" s="267"/>
      <c r="HE246" s="267"/>
      <c r="HF246" s="267"/>
      <c r="HG246" s="267"/>
      <c r="HH246" s="267"/>
      <c r="HI246" s="267"/>
      <c r="HJ246" s="267"/>
      <c r="HK246" s="267"/>
      <c r="HL246" s="267"/>
      <c r="HM246" s="267"/>
      <c r="HN246" s="267"/>
      <c r="HO246" s="267"/>
      <c r="HP246" s="267"/>
      <c r="HQ246" s="267"/>
      <c r="HR246" s="267"/>
      <c r="HS246" s="267"/>
      <c r="HT246" s="267"/>
      <c r="HU246" s="267"/>
      <c r="IH246" s="267"/>
      <c r="IK246" s="267"/>
      <c r="IN246" s="267"/>
      <c r="IQ246" s="267"/>
      <c r="IR246" s="267"/>
      <c r="IS246" s="267"/>
      <c r="IT246" s="274"/>
      <c r="IU246" s="274"/>
      <c r="IV246" s="272"/>
      <c r="IW246" s="274"/>
      <c r="IX246" s="274"/>
      <c r="IY246" s="272"/>
    </row>
    <row r="247" spans="10:259">
      <c r="J247" s="267"/>
      <c r="K247" s="267"/>
      <c r="L247" s="267"/>
      <c r="M247" s="267"/>
      <c r="N247" s="267"/>
      <c r="O247" s="267"/>
      <c r="P247" s="267"/>
      <c r="Q247" s="267"/>
      <c r="S247" s="267"/>
      <c r="T247" s="267"/>
      <c r="U247" s="267"/>
      <c r="V247" s="267"/>
      <c r="W247" s="264"/>
      <c r="Y247" s="267"/>
      <c r="Z247" s="267"/>
      <c r="AA247" s="267"/>
      <c r="AB247" s="267"/>
      <c r="AE247" s="267"/>
      <c r="AF247" s="267"/>
      <c r="AG247" s="267"/>
      <c r="AH247" s="267"/>
      <c r="AK247" s="267"/>
      <c r="AL247" s="267"/>
      <c r="AM247" s="267"/>
      <c r="AN247" s="267"/>
      <c r="AQ247" s="267"/>
      <c r="AR247" s="267"/>
      <c r="AS247" s="267"/>
      <c r="AT247" s="267"/>
      <c r="AW247" s="267"/>
      <c r="AX247" s="267"/>
      <c r="AY247" s="267"/>
      <c r="AZ247" s="267"/>
      <c r="BG247" s="269"/>
      <c r="BM247" s="269"/>
      <c r="BS247" s="269"/>
      <c r="BU247" s="267"/>
      <c r="BY247" s="267"/>
      <c r="CC247" s="267"/>
      <c r="CG247" s="267"/>
      <c r="CS247" s="267"/>
      <c r="CW247" s="270"/>
      <c r="CX247" s="267"/>
      <c r="DC247" s="267"/>
      <c r="DH247" s="267"/>
      <c r="DM247" s="267"/>
      <c r="DR247" s="267"/>
      <c r="DW247" s="267"/>
      <c r="EB247" s="267"/>
      <c r="EG247" s="267"/>
      <c r="EL247" s="267"/>
      <c r="EQ247" s="267"/>
      <c r="EU247" s="270"/>
      <c r="EV247" s="267"/>
      <c r="FC247" s="267"/>
      <c r="FD247" s="267"/>
      <c r="FE247" s="267"/>
      <c r="FF247" s="267"/>
      <c r="FG247" s="267"/>
      <c r="FL247" s="267"/>
      <c r="FM247" s="267"/>
      <c r="FN247" s="267"/>
      <c r="FO247" s="267"/>
      <c r="FP247" s="267"/>
      <c r="FQ247" s="264"/>
      <c r="FR247" s="264"/>
      <c r="FS247" s="264"/>
      <c r="FT247" s="264"/>
      <c r="FU247" s="267"/>
      <c r="FV247" s="267"/>
      <c r="FW247" s="267"/>
      <c r="FX247" s="267"/>
      <c r="FY247" s="267"/>
      <c r="GD247" s="267"/>
      <c r="GE247" s="267"/>
      <c r="GF247" s="267"/>
      <c r="GG247" s="267"/>
      <c r="GH247" s="267"/>
      <c r="GI247" s="264"/>
      <c r="GJ247" s="264"/>
      <c r="GK247" s="264"/>
      <c r="GL247" s="264"/>
      <c r="HD247" s="267"/>
      <c r="HE247" s="267"/>
      <c r="HF247" s="267"/>
      <c r="HG247" s="267"/>
      <c r="HH247" s="267"/>
      <c r="HI247" s="267"/>
      <c r="HJ247" s="267"/>
      <c r="HK247" s="267"/>
      <c r="HL247" s="267"/>
      <c r="HM247" s="267"/>
      <c r="HN247" s="267"/>
      <c r="HO247" s="267"/>
      <c r="HP247" s="267"/>
      <c r="HQ247" s="267"/>
      <c r="HR247" s="267"/>
      <c r="HS247" s="267"/>
      <c r="HT247" s="267"/>
      <c r="HU247" s="267"/>
      <c r="IH247" s="267"/>
      <c r="IK247" s="267"/>
      <c r="IN247" s="267"/>
      <c r="IQ247" s="267"/>
      <c r="IR247" s="267"/>
      <c r="IS247" s="267"/>
      <c r="IT247" s="274"/>
      <c r="IU247" s="274"/>
      <c r="IV247" s="272"/>
      <c r="IW247" s="274"/>
      <c r="IX247" s="274"/>
      <c r="IY247" s="272"/>
    </row>
    <row r="248" spans="10:259">
      <c r="J248" s="267"/>
      <c r="K248" s="267"/>
      <c r="L248" s="267"/>
      <c r="M248" s="267"/>
      <c r="N248" s="267"/>
      <c r="O248" s="267"/>
      <c r="P248" s="267"/>
      <c r="Q248" s="267"/>
      <c r="S248" s="267"/>
      <c r="T248" s="267"/>
      <c r="U248" s="267"/>
      <c r="V248" s="267"/>
      <c r="W248" s="264"/>
      <c r="Y248" s="267"/>
      <c r="Z248" s="267"/>
      <c r="AA248" s="267"/>
      <c r="AB248" s="267"/>
      <c r="AE248" s="267"/>
      <c r="AF248" s="267"/>
      <c r="AG248" s="267"/>
      <c r="AH248" s="267"/>
      <c r="AK248" s="267"/>
      <c r="AL248" s="267"/>
      <c r="AM248" s="267"/>
      <c r="AN248" s="267"/>
      <c r="AQ248" s="267"/>
      <c r="AR248" s="267"/>
      <c r="AS248" s="267"/>
      <c r="AT248" s="267"/>
      <c r="AW248" s="267"/>
      <c r="AX248" s="267"/>
      <c r="AY248" s="267"/>
      <c r="AZ248" s="267"/>
      <c r="BG248" s="269"/>
      <c r="BM248" s="269"/>
      <c r="BS248" s="269"/>
      <c r="BU248" s="267"/>
      <c r="BY248" s="267"/>
      <c r="CC248" s="267"/>
      <c r="CG248" s="267"/>
      <c r="CS248" s="267"/>
      <c r="CW248" s="270"/>
      <c r="CX248" s="267"/>
      <c r="DC248" s="267"/>
      <c r="DH248" s="267"/>
      <c r="DM248" s="267"/>
      <c r="DR248" s="267"/>
      <c r="DW248" s="267"/>
      <c r="EB248" s="267"/>
      <c r="EG248" s="267"/>
      <c r="EL248" s="267"/>
      <c r="EQ248" s="267"/>
      <c r="EU248" s="270"/>
      <c r="EV248" s="267"/>
      <c r="FC248" s="267"/>
      <c r="FD248" s="267"/>
      <c r="FE248" s="267"/>
      <c r="FF248" s="267"/>
      <c r="FG248" s="267"/>
      <c r="FL248" s="267"/>
      <c r="FM248" s="267"/>
      <c r="FN248" s="267"/>
      <c r="FO248" s="267"/>
      <c r="FP248" s="267"/>
      <c r="FQ248" s="264"/>
      <c r="FR248" s="264"/>
      <c r="FS248" s="264"/>
      <c r="FT248" s="264"/>
      <c r="FU248" s="267"/>
      <c r="FV248" s="267"/>
      <c r="FW248" s="267"/>
      <c r="FX248" s="267"/>
      <c r="FY248" s="267"/>
      <c r="GD248" s="267"/>
      <c r="GE248" s="267"/>
      <c r="GF248" s="267"/>
      <c r="GG248" s="267"/>
      <c r="GH248" s="267"/>
      <c r="GI248" s="264"/>
      <c r="GJ248" s="264"/>
      <c r="GK248" s="264"/>
      <c r="GL248" s="264"/>
      <c r="HD248" s="267"/>
      <c r="HE248" s="267"/>
      <c r="HF248" s="267"/>
      <c r="HG248" s="267"/>
      <c r="HH248" s="267"/>
      <c r="HI248" s="267"/>
      <c r="HJ248" s="267"/>
      <c r="HK248" s="267"/>
      <c r="HL248" s="267"/>
      <c r="HM248" s="267"/>
      <c r="HN248" s="267"/>
      <c r="HO248" s="267"/>
      <c r="HP248" s="267"/>
      <c r="HQ248" s="267"/>
      <c r="HR248" s="267"/>
      <c r="HS248" s="267"/>
      <c r="HT248" s="267"/>
      <c r="HU248" s="267"/>
      <c r="IH248" s="267"/>
      <c r="IK248" s="267"/>
      <c r="IN248" s="267"/>
      <c r="IQ248" s="267"/>
      <c r="IR248" s="267"/>
      <c r="IS248" s="267"/>
      <c r="IT248" s="274"/>
      <c r="IU248" s="274"/>
      <c r="IV248" s="272"/>
      <c r="IW248" s="274"/>
      <c r="IX248" s="274"/>
      <c r="IY248" s="272"/>
    </row>
    <row r="249" spans="10:259">
      <c r="J249" s="267"/>
      <c r="K249" s="267"/>
      <c r="L249" s="267"/>
      <c r="M249" s="267"/>
      <c r="N249" s="267"/>
      <c r="O249" s="267"/>
      <c r="P249" s="267"/>
      <c r="Q249" s="267"/>
      <c r="S249" s="267"/>
      <c r="T249" s="267"/>
      <c r="U249" s="267"/>
      <c r="V249" s="267"/>
      <c r="W249" s="264"/>
      <c r="Y249" s="267"/>
      <c r="Z249" s="267"/>
      <c r="AA249" s="267"/>
      <c r="AB249" s="267"/>
      <c r="AE249" s="267"/>
      <c r="AF249" s="267"/>
      <c r="AG249" s="267"/>
      <c r="AH249" s="267"/>
      <c r="AK249" s="267"/>
      <c r="AL249" s="267"/>
      <c r="AM249" s="267"/>
      <c r="AN249" s="267"/>
      <c r="AQ249" s="267"/>
      <c r="AR249" s="267"/>
      <c r="AS249" s="267"/>
      <c r="AT249" s="267"/>
      <c r="AW249" s="267"/>
      <c r="AX249" s="267"/>
      <c r="AY249" s="267"/>
      <c r="AZ249" s="267"/>
      <c r="BG249" s="269"/>
      <c r="BM249" s="269"/>
      <c r="BS249" s="269"/>
      <c r="BU249" s="267"/>
      <c r="BY249" s="267"/>
      <c r="CC249" s="267"/>
      <c r="CG249" s="267"/>
      <c r="CS249" s="267"/>
      <c r="CW249" s="270"/>
      <c r="CX249" s="267"/>
      <c r="DC249" s="267"/>
      <c r="DH249" s="267"/>
      <c r="DM249" s="267"/>
      <c r="DR249" s="267"/>
      <c r="DW249" s="267"/>
      <c r="EB249" s="267"/>
      <c r="EG249" s="267"/>
      <c r="EL249" s="267"/>
      <c r="EQ249" s="267"/>
      <c r="EU249" s="270"/>
      <c r="EV249" s="267"/>
      <c r="FC249" s="267"/>
      <c r="FD249" s="267"/>
      <c r="FE249" s="267"/>
      <c r="FF249" s="267"/>
      <c r="FG249" s="267"/>
      <c r="FL249" s="267"/>
      <c r="FM249" s="267"/>
      <c r="FN249" s="267"/>
      <c r="FO249" s="267"/>
      <c r="FP249" s="267"/>
      <c r="FQ249" s="264"/>
      <c r="FR249" s="264"/>
      <c r="FS249" s="264"/>
      <c r="FT249" s="264"/>
      <c r="FU249" s="267"/>
      <c r="FV249" s="267"/>
      <c r="FW249" s="267"/>
      <c r="FX249" s="267"/>
      <c r="FY249" s="267"/>
      <c r="GD249" s="267"/>
      <c r="GE249" s="267"/>
      <c r="GF249" s="267"/>
      <c r="GG249" s="267"/>
      <c r="GH249" s="267"/>
      <c r="GI249" s="264"/>
      <c r="GJ249" s="264"/>
      <c r="GK249" s="264"/>
      <c r="GL249" s="264"/>
      <c r="HD249" s="267"/>
      <c r="HE249" s="267"/>
      <c r="HF249" s="267"/>
      <c r="HG249" s="267"/>
      <c r="HH249" s="267"/>
      <c r="HI249" s="267"/>
      <c r="HJ249" s="267"/>
      <c r="HK249" s="267"/>
      <c r="HL249" s="267"/>
      <c r="HM249" s="267"/>
      <c r="HN249" s="267"/>
      <c r="HO249" s="267"/>
      <c r="HP249" s="267"/>
      <c r="HQ249" s="267"/>
      <c r="HR249" s="267"/>
      <c r="HS249" s="267"/>
      <c r="HT249" s="267"/>
      <c r="HU249" s="267"/>
      <c r="IH249" s="267"/>
      <c r="IK249" s="267"/>
      <c r="IN249" s="267"/>
      <c r="IQ249" s="267"/>
      <c r="IR249" s="267"/>
      <c r="IS249" s="267"/>
      <c r="IT249" s="274"/>
      <c r="IU249" s="274"/>
      <c r="IV249" s="272"/>
      <c r="IW249" s="274"/>
      <c r="IX249" s="274"/>
      <c r="IY249" s="272"/>
    </row>
    <row r="250" spans="10:259">
      <c r="J250" s="267"/>
      <c r="K250" s="267"/>
      <c r="L250" s="267"/>
      <c r="M250" s="267"/>
      <c r="N250" s="267"/>
      <c r="O250" s="267"/>
      <c r="P250" s="267"/>
      <c r="Q250" s="267"/>
      <c r="S250" s="267"/>
      <c r="T250" s="267"/>
      <c r="U250" s="267"/>
      <c r="V250" s="267"/>
      <c r="W250" s="264"/>
      <c r="Y250" s="267"/>
      <c r="Z250" s="267"/>
      <c r="AA250" s="267"/>
      <c r="AB250" s="267"/>
      <c r="AE250" s="267"/>
      <c r="AF250" s="267"/>
      <c r="AG250" s="267"/>
      <c r="AH250" s="267"/>
      <c r="AK250" s="267"/>
      <c r="AL250" s="267"/>
      <c r="AM250" s="267"/>
      <c r="AN250" s="267"/>
      <c r="AQ250" s="267"/>
      <c r="AR250" s="267"/>
      <c r="AS250" s="267"/>
      <c r="AT250" s="267"/>
      <c r="AW250" s="267"/>
      <c r="AX250" s="267"/>
      <c r="AY250" s="267"/>
      <c r="AZ250" s="267"/>
      <c r="BG250" s="269"/>
      <c r="BM250" s="269"/>
      <c r="BS250" s="269"/>
      <c r="BU250" s="267"/>
      <c r="BY250" s="267"/>
      <c r="CC250" s="267"/>
      <c r="CG250" s="267"/>
      <c r="CS250" s="267"/>
      <c r="CW250" s="270"/>
      <c r="CX250" s="267"/>
      <c r="DC250" s="267"/>
      <c r="DH250" s="267"/>
      <c r="DM250" s="267"/>
      <c r="DR250" s="267"/>
      <c r="DW250" s="267"/>
      <c r="EB250" s="267"/>
      <c r="EG250" s="267"/>
      <c r="EL250" s="267"/>
      <c r="EQ250" s="267"/>
      <c r="EU250" s="270"/>
      <c r="EV250" s="267"/>
      <c r="FC250" s="267"/>
      <c r="FD250" s="267"/>
      <c r="FE250" s="267"/>
      <c r="FF250" s="267"/>
      <c r="FG250" s="267"/>
      <c r="FL250" s="267"/>
      <c r="FM250" s="267"/>
      <c r="FN250" s="267"/>
      <c r="FO250" s="267"/>
      <c r="FP250" s="267"/>
      <c r="FQ250" s="264"/>
      <c r="FR250" s="264"/>
      <c r="FS250" s="264"/>
      <c r="FT250" s="264"/>
      <c r="FU250" s="267"/>
      <c r="FV250" s="267"/>
      <c r="FW250" s="267"/>
      <c r="FX250" s="267"/>
      <c r="FY250" s="267"/>
      <c r="GD250" s="267"/>
      <c r="GE250" s="267"/>
      <c r="GF250" s="267"/>
      <c r="GG250" s="267"/>
      <c r="GH250" s="267"/>
      <c r="GI250" s="264"/>
      <c r="GJ250" s="264"/>
      <c r="GK250" s="264"/>
      <c r="GL250" s="264"/>
      <c r="HD250" s="267"/>
      <c r="HE250" s="267"/>
      <c r="HF250" s="267"/>
      <c r="HG250" s="267"/>
      <c r="HH250" s="267"/>
      <c r="HI250" s="267"/>
      <c r="HJ250" s="267"/>
      <c r="HK250" s="267"/>
      <c r="HL250" s="267"/>
      <c r="HM250" s="267"/>
      <c r="HN250" s="267"/>
      <c r="HO250" s="267"/>
      <c r="HP250" s="267"/>
      <c r="HQ250" s="267"/>
      <c r="HR250" s="267"/>
      <c r="HS250" s="267"/>
      <c r="HT250" s="267"/>
      <c r="HU250" s="267"/>
      <c r="IH250" s="267"/>
      <c r="IK250" s="267"/>
      <c r="IN250" s="267"/>
      <c r="IQ250" s="267"/>
      <c r="IR250" s="267"/>
      <c r="IS250" s="267"/>
      <c r="IT250" s="274"/>
      <c r="IU250" s="274"/>
      <c r="IV250" s="272"/>
      <c r="IW250" s="274"/>
      <c r="IX250" s="274"/>
      <c r="IY250" s="272"/>
    </row>
    <row r="251" spans="10:259">
      <c r="J251" s="267"/>
      <c r="K251" s="267"/>
      <c r="L251" s="267"/>
      <c r="M251" s="267"/>
      <c r="N251" s="267"/>
      <c r="O251" s="267"/>
      <c r="P251" s="267"/>
      <c r="Q251" s="267"/>
      <c r="S251" s="267"/>
      <c r="T251" s="267"/>
      <c r="U251" s="267"/>
      <c r="V251" s="267"/>
      <c r="W251" s="264"/>
      <c r="Y251" s="267"/>
      <c r="Z251" s="267"/>
      <c r="AA251" s="267"/>
      <c r="AB251" s="267"/>
      <c r="AE251" s="267"/>
      <c r="AF251" s="267"/>
      <c r="AG251" s="267"/>
      <c r="AH251" s="267"/>
      <c r="AK251" s="267"/>
      <c r="AL251" s="267"/>
      <c r="AM251" s="267"/>
      <c r="AN251" s="267"/>
      <c r="AQ251" s="267"/>
      <c r="AR251" s="267"/>
      <c r="AS251" s="267"/>
      <c r="AT251" s="267"/>
      <c r="AW251" s="267"/>
      <c r="AX251" s="267"/>
      <c r="AY251" s="267"/>
      <c r="AZ251" s="267"/>
      <c r="BG251" s="269"/>
      <c r="BM251" s="269"/>
      <c r="BS251" s="269"/>
      <c r="BU251" s="267"/>
      <c r="BY251" s="267"/>
      <c r="CC251" s="267"/>
      <c r="CG251" s="267"/>
      <c r="CS251" s="267"/>
      <c r="CW251" s="270"/>
      <c r="CX251" s="267"/>
      <c r="DC251" s="267"/>
      <c r="DH251" s="267"/>
      <c r="DM251" s="267"/>
      <c r="DR251" s="267"/>
      <c r="DW251" s="267"/>
      <c r="EB251" s="267"/>
      <c r="EG251" s="267"/>
      <c r="EL251" s="267"/>
      <c r="EQ251" s="267"/>
      <c r="EU251" s="270"/>
      <c r="EV251" s="267"/>
      <c r="FC251" s="267"/>
      <c r="FD251" s="267"/>
      <c r="FE251" s="267"/>
      <c r="FF251" s="267"/>
      <c r="FG251" s="267"/>
      <c r="FL251" s="267"/>
      <c r="FM251" s="267"/>
      <c r="FN251" s="267"/>
      <c r="FO251" s="267"/>
      <c r="FP251" s="267"/>
      <c r="FQ251" s="264"/>
      <c r="FR251" s="264"/>
      <c r="FS251" s="264"/>
      <c r="FT251" s="264"/>
      <c r="FU251" s="267"/>
      <c r="FV251" s="267"/>
      <c r="FW251" s="267"/>
      <c r="FX251" s="267"/>
      <c r="FY251" s="267"/>
      <c r="GD251" s="267"/>
      <c r="GE251" s="267"/>
      <c r="GF251" s="267"/>
      <c r="GG251" s="267"/>
      <c r="GH251" s="267"/>
      <c r="GI251" s="264"/>
      <c r="GJ251" s="264"/>
      <c r="GK251" s="264"/>
      <c r="GL251" s="264"/>
      <c r="HD251" s="267"/>
      <c r="HE251" s="267"/>
      <c r="HF251" s="267"/>
      <c r="HG251" s="267"/>
      <c r="HH251" s="267"/>
      <c r="HI251" s="267"/>
      <c r="HJ251" s="267"/>
      <c r="HK251" s="267"/>
      <c r="HL251" s="267"/>
      <c r="HM251" s="267"/>
      <c r="HN251" s="267"/>
      <c r="HO251" s="267"/>
      <c r="HP251" s="267"/>
      <c r="HQ251" s="267"/>
      <c r="HR251" s="267"/>
      <c r="HS251" s="267"/>
      <c r="HT251" s="267"/>
      <c r="HU251" s="267"/>
      <c r="IH251" s="267"/>
      <c r="IK251" s="267"/>
      <c r="IN251" s="267"/>
      <c r="IQ251" s="267"/>
      <c r="IR251" s="267"/>
      <c r="IS251" s="267"/>
      <c r="IT251" s="274"/>
      <c r="IU251" s="274"/>
      <c r="IV251" s="272"/>
      <c r="IW251" s="274"/>
      <c r="IX251" s="274"/>
      <c r="IY251" s="272"/>
    </row>
    <row r="252" spans="10:259">
      <c r="J252" s="267"/>
      <c r="K252" s="267"/>
      <c r="L252" s="267"/>
      <c r="M252" s="267"/>
      <c r="N252" s="267"/>
      <c r="O252" s="267"/>
      <c r="P252" s="267"/>
      <c r="Q252" s="267"/>
      <c r="S252" s="267"/>
      <c r="T252" s="267"/>
      <c r="U252" s="267"/>
      <c r="V252" s="267"/>
      <c r="W252" s="264"/>
      <c r="Y252" s="267"/>
      <c r="Z252" s="267"/>
      <c r="AA252" s="267"/>
      <c r="AB252" s="267"/>
      <c r="AE252" s="267"/>
      <c r="AF252" s="267"/>
      <c r="AG252" s="267"/>
      <c r="AH252" s="267"/>
      <c r="AK252" s="267"/>
      <c r="AL252" s="267"/>
      <c r="AM252" s="267"/>
      <c r="AN252" s="267"/>
      <c r="AQ252" s="267"/>
      <c r="AR252" s="267"/>
      <c r="AS252" s="267"/>
      <c r="AT252" s="267"/>
      <c r="AW252" s="267"/>
      <c r="AX252" s="267"/>
      <c r="AY252" s="267"/>
      <c r="AZ252" s="267"/>
      <c r="BG252" s="269"/>
      <c r="BM252" s="269"/>
      <c r="BS252" s="269"/>
      <c r="BU252" s="267"/>
      <c r="BY252" s="267"/>
      <c r="CC252" s="267"/>
      <c r="CG252" s="267"/>
      <c r="CS252" s="267"/>
      <c r="CW252" s="270"/>
      <c r="CX252" s="267"/>
      <c r="DC252" s="267"/>
      <c r="DH252" s="267"/>
      <c r="DM252" s="267"/>
      <c r="DR252" s="267"/>
      <c r="DW252" s="267"/>
      <c r="EB252" s="267"/>
      <c r="EG252" s="267"/>
      <c r="EL252" s="267"/>
      <c r="EQ252" s="267"/>
      <c r="EU252" s="270"/>
      <c r="EV252" s="267"/>
      <c r="FC252" s="267"/>
      <c r="FD252" s="267"/>
      <c r="FE252" s="267"/>
      <c r="FF252" s="267"/>
      <c r="FG252" s="267"/>
      <c r="FL252" s="267"/>
      <c r="FM252" s="267"/>
      <c r="FN252" s="267"/>
      <c r="FO252" s="267"/>
      <c r="FP252" s="267"/>
      <c r="FQ252" s="264"/>
      <c r="FR252" s="264"/>
      <c r="FS252" s="264"/>
      <c r="FT252" s="264"/>
      <c r="FU252" s="267"/>
      <c r="FV252" s="267"/>
      <c r="FW252" s="267"/>
      <c r="FX252" s="267"/>
      <c r="FY252" s="267"/>
      <c r="GD252" s="267"/>
      <c r="GE252" s="267"/>
      <c r="GF252" s="267"/>
      <c r="GG252" s="267"/>
      <c r="GH252" s="267"/>
      <c r="GI252" s="264"/>
      <c r="GJ252" s="264"/>
      <c r="GK252" s="264"/>
      <c r="GL252" s="264"/>
      <c r="HD252" s="267"/>
      <c r="HE252" s="267"/>
      <c r="HF252" s="267"/>
      <c r="HG252" s="267"/>
      <c r="HH252" s="267"/>
      <c r="HI252" s="267"/>
      <c r="HJ252" s="267"/>
      <c r="HK252" s="267"/>
      <c r="HL252" s="267"/>
      <c r="HM252" s="267"/>
      <c r="HN252" s="267"/>
      <c r="HO252" s="267"/>
      <c r="HP252" s="267"/>
      <c r="HQ252" s="267"/>
      <c r="HR252" s="267"/>
      <c r="HS252" s="267"/>
      <c r="HT252" s="267"/>
      <c r="HU252" s="267"/>
      <c r="IH252" s="267"/>
      <c r="IK252" s="267"/>
      <c r="IN252" s="267"/>
      <c r="IQ252" s="267"/>
      <c r="IR252" s="267"/>
      <c r="IS252" s="267"/>
      <c r="IT252" s="274"/>
      <c r="IU252" s="274"/>
      <c r="IV252" s="272"/>
      <c r="IW252" s="274"/>
      <c r="IX252" s="274"/>
      <c r="IY252" s="272"/>
    </row>
    <row r="253" spans="10:259">
      <c r="J253" s="267"/>
      <c r="K253" s="267"/>
      <c r="L253" s="267"/>
      <c r="M253" s="267"/>
      <c r="N253" s="267"/>
      <c r="O253" s="267"/>
      <c r="P253" s="267"/>
      <c r="Q253" s="267"/>
      <c r="S253" s="267"/>
      <c r="T253" s="267"/>
      <c r="U253" s="267"/>
      <c r="V253" s="267"/>
      <c r="W253" s="264"/>
      <c r="Y253" s="267"/>
      <c r="Z253" s="267"/>
      <c r="AA253" s="267"/>
      <c r="AB253" s="267"/>
      <c r="AE253" s="267"/>
      <c r="AF253" s="267"/>
      <c r="AG253" s="267"/>
      <c r="AH253" s="267"/>
      <c r="AK253" s="267"/>
      <c r="AL253" s="267"/>
      <c r="AM253" s="267"/>
      <c r="AN253" s="267"/>
      <c r="AQ253" s="267"/>
      <c r="AR253" s="267"/>
      <c r="AS253" s="267"/>
      <c r="AT253" s="267"/>
      <c r="AW253" s="267"/>
      <c r="AX253" s="267"/>
      <c r="AY253" s="267"/>
      <c r="AZ253" s="267"/>
      <c r="BG253" s="269"/>
      <c r="BM253" s="269"/>
      <c r="BS253" s="269"/>
      <c r="BU253" s="267"/>
      <c r="BY253" s="267"/>
      <c r="CC253" s="267"/>
      <c r="CG253" s="267"/>
      <c r="CS253" s="267"/>
      <c r="CW253" s="270"/>
      <c r="CX253" s="267"/>
      <c r="DC253" s="267"/>
      <c r="DH253" s="267"/>
      <c r="DM253" s="267"/>
      <c r="DR253" s="267"/>
      <c r="DW253" s="267"/>
      <c r="EB253" s="267"/>
      <c r="EG253" s="267"/>
      <c r="EL253" s="267"/>
      <c r="EQ253" s="267"/>
      <c r="EU253" s="270"/>
      <c r="EV253" s="267"/>
      <c r="FC253" s="267"/>
      <c r="FD253" s="267"/>
      <c r="FE253" s="267"/>
      <c r="FF253" s="267"/>
      <c r="FG253" s="267"/>
      <c r="FL253" s="267"/>
      <c r="FM253" s="267"/>
      <c r="FN253" s="267"/>
      <c r="FO253" s="267"/>
      <c r="FP253" s="267"/>
      <c r="FQ253" s="264"/>
      <c r="FR253" s="264"/>
      <c r="FS253" s="264"/>
      <c r="FT253" s="264"/>
      <c r="FU253" s="267"/>
      <c r="FV253" s="267"/>
      <c r="FW253" s="267"/>
      <c r="FX253" s="267"/>
      <c r="FY253" s="267"/>
      <c r="GD253" s="267"/>
      <c r="GE253" s="267"/>
      <c r="GF253" s="267"/>
      <c r="GG253" s="267"/>
      <c r="GH253" s="267"/>
      <c r="GI253" s="264"/>
      <c r="GJ253" s="264"/>
      <c r="GK253" s="264"/>
      <c r="GL253" s="264"/>
      <c r="HD253" s="267"/>
      <c r="HE253" s="267"/>
      <c r="HF253" s="267"/>
      <c r="HG253" s="267"/>
      <c r="HH253" s="267"/>
      <c r="HI253" s="267"/>
      <c r="HJ253" s="267"/>
      <c r="HK253" s="267"/>
      <c r="HL253" s="267"/>
      <c r="HM253" s="267"/>
      <c r="HN253" s="267"/>
      <c r="HO253" s="267"/>
      <c r="HP253" s="267"/>
      <c r="HQ253" s="267"/>
      <c r="HR253" s="267"/>
      <c r="HS253" s="267"/>
      <c r="HT253" s="267"/>
      <c r="HU253" s="267"/>
      <c r="IH253" s="267"/>
      <c r="IK253" s="267"/>
      <c r="IN253" s="267"/>
      <c r="IQ253" s="267"/>
      <c r="IR253" s="267"/>
      <c r="IS253" s="267"/>
      <c r="IT253" s="274"/>
      <c r="IU253" s="274"/>
      <c r="IV253" s="272"/>
      <c r="IW253" s="274"/>
      <c r="IX253" s="274"/>
      <c r="IY253" s="272"/>
    </row>
    <row r="254" spans="10:259">
      <c r="J254" s="267"/>
      <c r="K254" s="267"/>
      <c r="L254" s="267"/>
      <c r="M254" s="267"/>
      <c r="N254" s="267"/>
      <c r="O254" s="267"/>
      <c r="P254" s="267"/>
      <c r="Q254" s="267"/>
      <c r="S254" s="267"/>
      <c r="T254" s="267"/>
      <c r="U254" s="267"/>
      <c r="V254" s="267"/>
      <c r="W254" s="264"/>
      <c r="Y254" s="267"/>
      <c r="Z254" s="267"/>
      <c r="AA254" s="267"/>
      <c r="AB254" s="267"/>
      <c r="AE254" s="267"/>
      <c r="AF254" s="267"/>
      <c r="AG254" s="267"/>
      <c r="AH254" s="267"/>
      <c r="AK254" s="267"/>
      <c r="AL254" s="267"/>
      <c r="AM254" s="267"/>
      <c r="AN254" s="267"/>
      <c r="AQ254" s="267"/>
      <c r="AR254" s="267"/>
      <c r="AS254" s="267"/>
      <c r="AT254" s="267"/>
      <c r="AW254" s="267"/>
      <c r="AX254" s="267"/>
      <c r="AY254" s="267"/>
      <c r="AZ254" s="267"/>
      <c r="BG254" s="269"/>
      <c r="BM254" s="269"/>
      <c r="BS254" s="269"/>
      <c r="BU254" s="267"/>
      <c r="BY254" s="267"/>
      <c r="CC254" s="267"/>
      <c r="CG254" s="267"/>
      <c r="CS254" s="267"/>
      <c r="CW254" s="270"/>
      <c r="CX254" s="267"/>
      <c r="DC254" s="267"/>
      <c r="DH254" s="267"/>
      <c r="DM254" s="267"/>
      <c r="DR254" s="267"/>
      <c r="DW254" s="267"/>
      <c r="EB254" s="267"/>
      <c r="EG254" s="267"/>
      <c r="EL254" s="267"/>
      <c r="EQ254" s="267"/>
      <c r="EU254" s="270"/>
      <c r="EV254" s="267"/>
      <c r="FC254" s="267"/>
      <c r="FD254" s="267"/>
      <c r="FE254" s="267"/>
      <c r="FF254" s="267"/>
      <c r="FG254" s="267"/>
      <c r="FL254" s="267"/>
      <c r="FM254" s="267"/>
      <c r="FN254" s="267"/>
      <c r="FO254" s="267"/>
      <c r="FP254" s="267"/>
      <c r="FQ254" s="264"/>
      <c r="FR254" s="264"/>
      <c r="FS254" s="264"/>
      <c r="FT254" s="264"/>
      <c r="FU254" s="267"/>
      <c r="FV254" s="267"/>
      <c r="FW254" s="267"/>
      <c r="FX254" s="267"/>
      <c r="FY254" s="267"/>
      <c r="GD254" s="267"/>
      <c r="GE254" s="267"/>
      <c r="GF254" s="267"/>
      <c r="GG254" s="267"/>
      <c r="GH254" s="267"/>
      <c r="GI254" s="264"/>
      <c r="GJ254" s="264"/>
      <c r="GK254" s="264"/>
      <c r="GL254" s="264"/>
      <c r="HD254" s="267"/>
      <c r="HE254" s="267"/>
      <c r="HF254" s="267"/>
      <c r="HG254" s="267"/>
      <c r="HH254" s="267"/>
      <c r="HI254" s="267"/>
      <c r="HJ254" s="267"/>
      <c r="HK254" s="267"/>
      <c r="HL254" s="267"/>
      <c r="HM254" s="267"/>
      <c r="HN254" s="267"/>
      <c r="HO254" s="267"/>
      <c r="HP254" s="267"/>
      <c r="HQ254" s="267"/>
      <c r="HR254" s="267"/>
      <c r="HS254" s="267"/>
      <c r="HT254" s="267"/>
      <c r="HU254" s="267"/>
      <c r="IH254" s="267"/>
      <c r="IK254" s="267"/>
      <c r="IN254" s="267"/>
      <c r="IQ254" s="267"/>
      <c r="IR254" s="267"/>
      <c r="IS254" s="267"/>
      <c r="IT254" s="274"/>
      <c r="IU254" s="274"/>
      <c r="IV254" s="272"/>
      <c r="IW254" s="274"/>
      <c r="IX254" s="274"/>
      <c r="IY254" s="272"/>
    </row>
    <row r="255" spans="10:259">
      <c r="J255" s="267"/>
      <c r="K255" s="267"/>
      <c r="L255" s="267"/>
      <c r="M255" s="267"/>
      <c r="N255" s="267"/>
      <c r="O255" s="267"/>
      <c r="P255" s="267"/>
      <c r="Q255" s="267"/>
      <c r="S255" s="267"/>
      <c r="T255" s="267"/>
      <c r="U255" s="267"/>
      <c r="V255" s="267"/>
      <c r="W255" s="264"/>
      <c r="Y255" s="267"/>
      <c r="Z255" s="267"/>
      <c r="AA255" s="267"/>
      <c r="AB255" s="267"/>
      <c r="AE255" s="267"/>
      <c r="AF255" s="267"/>
      <c r="AG255" s="267"/>
      <c r="AH255" s="267"/>
      <c r="AK255" s="267"/>
      <c r="AL255" s="267"/>
      <c r="AM255" s="267"/>
      <c r="AN255" s="267"/>
      <c r="AQ255" s="267"/>
      <c r="AR255" s="267"/>
      <c r="AS255" s="267"/>
      <c r="AT255" s="267"/>
      <c r="AW255" s="267"/>
      <c r="AX255" s="267"/>
      <c r="AY255" s="267"/>
      <c r="AZ255" s="267"/>
      <c r="BG255" s="269"/>
      <c r="BM255" s="269"/>
      <c r="BS255" s="269"/>
      <c r="BU255" s="267"/>
      <c r="BY255" s="267"/>
      <c r="CC255" s="267"/>
      <c r="CG255" s="267"/>
      <c r="CS255" s="267"/>
      <c r="CW255" s="270"/>
      <c r="CX255" s="267"/>
      <c r="DC255" s="267"/>
      <c r="DH255" s="267"/>
      <c r="DM255" s="267"/>
      <c r="DR255" s="267"/>
      <c r="DW255" s="267"/>
      <c r="EB255" s="267"/>
      <c r="EG255" s="267"/>
      <c r="EL255" s="267"/>
      <c r="EQ255" s="267"/>
      <c r="EU255" s="270"/>
      <c r="EV255" s="267"/>
      <c r="FC255" s="267"/>
      <c r="FD255" s="267"/>
      <c r="FE255" s="267"/>
      <c r="FF255" s="267"/>
      <c r="FG255" s="267"/>
      <c r="FL255" s="267"/>
      <c r="FM255" s="267"/>
      <c r="FN255" s="267"/>
      <c r="FO255" s="267"/>
      <c r="FP255" s="267"/>
      <c r="FQ255" s="264"/>
      <c r="FR255" s="264"/>
      <c r="FS255" s="264"/>
      <c r="FT255" s="264"/>
      <c r="FU255" s="267"/>
      <c r="FV255" s="267"/>
      <c r="FW255" s="267"/>
      <c r="FX255" s="267"/>
      <c r="FY255" s="267"/>
      <c r="GD255" s="267"/>
      <c r="GE255" s="267"/>
      <c r="GF255" s="267"/>
      <c r="GG255" s="267"/>
      <c r="GH255" s="267"/>
      <c r="GI255" s="264"/>
      <c r="GJ255" s="264"/>
      <c r="GK255" s="264"/>
      <c r="GL255" s="264"/>
      <c r="HD255" s="267"/>
      <c r="HE255" s="267"/>
      <c r="HF255" s="267"/>
      <c r="HG255" s="267"/>
      <c r="HH255" s="267"/>
      <c r="HI255" s="267"/>
      <c r="HJ255" s="267"/>
      <c r="HK255" s="267"/>
      <c r="HL255" s="267"/>
      <c r="HM255" s="267"/>
      <c r="HN255" s="267"/>
      <c r="HO255" s="267"/>
      <c r="HP255" s="267"/>
      <c r="HQ255" s="267"/>
      <c r="HR255" s="267"/>
      <c r="HS255" s="267"/>
      <c r="HT255" s="267"/>
      <c r="HU255" s="267"/>
      <c r="IH255" s="267"/>
      <c r="IK255" s="267"/>
      <c r="IN255" s="267"/>
      <c r="IQ255" s="267"/>
      <c r="IR255" s="267"/>
      <c r="IS255" s="267"/>
      <c r="IT255" s="274"/>
      <c r="IU255" s="274"/>
      <c r="IV255" s="272"/>
      <c r="IW255" s="274"/>
      <c r="IX255" s="274"/>
      <c r="IY255" s="272"/>
    </row>
    <row r="256" spans="10:259">
      <c r="J256" s="267"/>
      <c r="K256" s="267"/>
      <c r="L256" s="267"/>
      <c r="M256" s="267"/>
      <c r="N256" s="267"/>
      <c r="O256" s="267"/>
      <c r="P256" s="267"/>
      <c r="Q256" s="267"/>
      <c r="S256" s="267"/>
      <c r="T256" s="267"/>
      <c r="U256" s="267"/>
      <c r="V256" s="267"/>
      <c r="W256" s="264"/>
      <c r="Y256" s="267"/>
      <c r="Z256" s="267"/>
      <c r="AA256" s="267"/>
      <c r="AB256" s="267"/>
      <c r="AE256" s="267"/>
      <c r="AF256" s="267"/>
      <c r="AG256" s="267"/>
      <c r="AH256" s="267"/>
      <c r="AK256" s="267"/>
      <c r="AL256" s="267"/>
      <c r="AM256" s="267"/>
      <c r="AN256" s="267"/>
      <c r="AQ256" s="267"/>
      <c r="AR256" s="267"/>
      <c r="AS256" s="267"/>
      <c r="AT256" s="267"/>
      <c r="AW256" s="267"/>
      <c r="AX256" s="267"/>
      <c r="AY256" s="267"/>
      <c r="AZ256" s="267"/>
      <c r="BG256" s="269"/>
      <c r="BM256" s="269"/>
      <c r="BS256" s="269"/>
      <c r="BU256" s="267"/>
      <c r="BY256" s="267"/>
      <c r="CC256" s="267"/>
      <c r="CG256" s="267"/>
      <c r="CS256" s="267"/>
      <c r="CW256" s="270"/>
      <c r="CX256" s="267"/>
      <c r="DC256" s="267"/>
      <c r="DH256" s="267"/>
      <c r="DM256" s="267"/>
      <c r="DR256" s="267"/>
      <c r="DW256" s="267"/>
      <c r="EB256" s="267"/>
      <c r="EG256" s="267"/>
      <c r="EL256" s="267"/>
      <c r="EQ256" s="267"/>
      <c r="EU256" s="270"/>
      <c r="EV256" s="267"/>
      <c r="FC256" s="267"/>
      <c r="FD256" s="267"/>
      <c r="FE256" s="267"/>
      <c r="FF256" s="267"/>
      <c r="FG256" s="267"/>
      <c r="FL256" s="267"/>
      <c r="FM256" s="267"/>
      <c r="FN256" s="267"/>
      <c r="FO256" s="267"/>
      <c r="FP256" s="267"/>
      <c r="FQ256" s="264"/>
      <c r="FR256" s="264"/>
      <c r="FS256" s="264"/>
      <c r="FT256" s="264"/>
      <c r="FU256" s="267"/>
      <c r="FV256" s="267"/>
      <c r="FW256" s="267"/>
      <c r="FX256" s="267"/>
      <c r="FY256" s="267"/>
      <c r="GD256" s="267"/>
      <c r="GE256" s="267"/>
      <c r="GF256" s="267"/>
      <c r="GG256" s="267"/>
      <c r="GH256" s="267"/>
      <c r="GI256" s="264"/>
      <c r="GJ256" s="264"/>
      <c r="GK256" s="264"/>
      <c r="GL256" s="264"/>
      <c r="HD256" s="267"/>
      <c r="HE256" s="267"/>
      <c r="HF256" s="267"/>
      <c r="HG256" s="267"/>
      <c r="HH256" s="267"/>
      <c r="HI256" s="267"/>
      <c r="HJ256" s="267"/>
      <c r="HK256" s="267"/>
      <c r="HL256" s="267"/>
      <c r="HM256" s="267"/>
      <c r="HN256" s="267"/>
      <c r="HO256" s="267"/>
      <c r="HP256" s="267"/>
      <c r="HQ256" s="267"/>
      <c r="HR256" s="267"/>
      <c r="HS256" s="267"/>
      <c r="HT256" s="267"/>
      <c r="HU256" s="267"/>
      <c r="IH256" s="267"/>
      <c r="IK256" s="267"/>
      <c r="IN256" s="267"/>
      <c r="IQ256" s="267"/>
      <c r="IR256" s="267"/>
      <c r="IS256" s="267"/>
      <c r="IT256" s="274"/>
      <c r="IU256" s="274"/>
      <c r="IV256" s="272"/>
      <c r="IW256" s="274"/>
      <c r="IX256" s="274"/>
      <c r="IY256" s="272"/>
    </row>
    <row r="257" spans="10:259">
      <c r="J257" s="267"/>
      <c r="K257" s="267"/>
      <c r="L257" s="267"/>
      <c r="M257" s="267"/>
      <c r="N257" s="267"/>
      <c r="O257" s="267"/>
      <c r="P257" s="267"/>
      <c r="Q257" s="267"/>
      <c r="S257" s="267"/>
      <c r="T257" s="267"/>
      <c r="U257" s="267"/>
      <c r="V257" s="267"/>
      <c r="W257" s="264"/>
      <c r="Y257" s="267"/>
      <c r="Z257" s="267"/>
      <c r="AA257" s="267"/>
      <c r="AB257" s="267"/>
      <c r="AE257" s="267"/>
      <c r="AF257" s="267"/>
      <c r="AG257" s="267"/>
      <c r="AH257" s="267"/>
      <c r="AK257" s="267"/>
      <c r="AL257" s="267"/>
      <c r="AM257" s="267"/>
      <c r="AN257" s="267"/>
      <c r="AQ257" s="267"/>
      <c r="AR257" s="267"/>
      <c r="AS257" s="267"/>
      <c r="AT257" s="267"/>
      <c r="AW257" s="267"/>
      <c r="AX257" s="267"/>
      <c r="AY257" s="267"/>
      <c r="AZ257" s="267"/>
      <c r="BG257" s="269"/>
      <c r="BM257" s="269"/>
      <c r="BS257" s="269"/>
      <c r="BU257" s="267"/>
      <c r="BY257" s="267"/>
      <c r="CC257" s="267"/>
      <c r="CG257" s="267"/>
      <c r="CS257" s="267"/>
      <c r="CW257" s="270"/>
      <c r="CX257" s="267"/>
      <c r="DC257" s="267"/>
      <c r="DH257" s="267"/>
      <c r="DM257" s="267"/>
      <c r="DR257" s="267"/>
      <c r="DW257" s="267"/>
      <c r="EB257" s="267"/>
      <c r="EG257" s="267"/>
      <c r="EL257" s="267"/>
      <c r="EQ257" s="267"/>
      <c r="EU257" s="270"/>
      <c r="EV257" s="267"/>
      <c r="FC257" s="267"/>
      <c r="FD257" s="267"/>
      <c r="FE257" s="267"/>
      <c r="FF257" s="267"/>
      <c r="FG257" s="267"/>
      <c r="FL257" s="267"/>
      <c r="FM257" s="267"/>
      <c r="FN257" s="267"/>
      <c r="FO257" s="267"/>
      <c r="FP257" s="267"/>
      <c r="FQ257" s="264"/>
      <c r="FR257" s="264"/>
      <c r="FS257" s="264"/>
      <c r="FT257" s="264"/>
      <c r="FU257" s="267"/>
      <c r="FV257" s="267"/>
      <c r="FW257" s="267"/>
      <c r="FX257" s="267"/>
      <c r="FY257" s="267"/>
      <c r="GD257" s="267"/>
      <c r="GE257" s="267"/>
      <c r="GF257" s="267"/>
      <c r="GG257" s="267"/>
      <c r="GH257" s="267"/>
      <c r="GI257" s="264"/>
      <c r="GJ257" s="264"/>
      <c r="GK257" s="264"/>
      <c r="GL257" s="264"/>
      <c r="HD257" s="267"/>
      <c r="HE257" s="267"/>
      <c r="HF257" s="267"/>
      <c r="HG257" s="267"/>
      <c r="HH257" s="267"/>
      <c r="HI257" s="267"/>
      <c r="HJ257" s="267"/>
      <c r="HK257" s="267"/>
      <c r="HL257" s="267"/>
      <c r="HM257" s="267"/>
      <c r="HN257" s="267"/>
      <c r="HO257" s="267"/>
      <c r="HP257" s="267"/>
      <c r="HQ257" s="267"/>
      <c r="HR257" s="267"/>
      <c r="HS257" s="267"/>
      <c r="HT257" s="267"/>
      <c r="HU257" s="267"/>
      <c r="IH257" s="267"/>
      <c r="IK257" s="267"/>
      <c r="IN257" s="267"/>
      <c r="IQ257" s="267"/>
      <c r="IR257" s="267"/>
      <c r="IS257" s="267"/>
      <c r="IT257" s="274"/>
      <c r="IU257" s="274"/>
      <c r="IV257" s="272"/>
      <c r="IW257" s="274"/>
      <c r="IX257" s="274"/>
      <c r="IY257" s="272"/>
    </row>
    <row r="258" spans="10:259">
      <c r="J258" s="267"/>
      <c r="K258" s="267"/>
      <c r="L258" s="267"/>
      <c r="M258" s="267"/>
      <c r="N258" s="267"/>
      <c r="O258" s="267"/>
      <c r="P258" s="267"/>
      <c r="Q258" s="267"/>
      <c r="S258" s="267"/>
      <c r="T258" s="267"/>
      <c r="U258" s="267"/>
      <c r="V258" s="267"/>
      <c r="W258" s="264"/>
      <c r="Y258" s="267"/>
      <c r="Z258" s="267"/>
      <c r="AA258" s="267"/>
      <c r="AB258" s="267"/>
      <c r="AE258" s="267"/>
      <c r="AF258" s="267"/>
      <c r="AG258" s="267"/>
      <c r="AH258" s="267"/>
      <c r="AK258" s="267"/>
      <c r="AL258" s="267"/>
      <c r="AM258" s="267"/>
      <c r="AN258" s="267"/>
      <c r="AQ258" s="267"/>
      <c r="AR258" s="267"/>
      <c r="AS258" s="267"/>
      <c r="AT258" s="267"/>
      <c r="AW258" s="267"/>
      <c r="AX258" s="267"/>
      <c r="AY258" s="267"/>
      <c r="AZ258" s="267"/>
      <c r="BG258" s="269"/>
      <c r="BM258" s="269"/>
      <c r="BS258" s="269"/>
      <c r="BU258" s="267"/>
      <c r="BY258" s="267"/>
      <c r="CC258" s="267"/>
      <c r="CG258" s="267"/>
      <c r="CS258" s="267"/>
      <c r="CW258" s="270"/>
      <c r="CX258" s="267"/>
      <c r="DC258" s="267"/>
      <c r="DH258" s="267"/>
      <c r="DM258" s="267"/>
      <c r="DR258" s="267"/>
      <c r="DW258" s="267"/>
      <c r="EB258" s="267"/>
      <c r="EG258" s="267"/>
      <c r="EL258" s="267"/>
      <c r="EQ258" s="267"/>
      <c r="EU258" s="270"/>
      <c r="EV258" s="267"/>
      <c r="FC258" s="267"/>
      <c r="FD258" s="267"/>
      <c r="FE258" s="267"/>
      <c r="FF258" s="267"/>
      <c r="FG258" s="267"/>
      <c r="FL258" s="267"/>
      <c r="FM258" s="267"/>
      <c r="FN258" s="267"/>
      <c r="FO258" s="267"/>
      <c r="FP258" s="267"/>
      <c r="FQ258" s="264"/>
      <c r="FR258" s="264"/>
      <c r="FS258" s="264"/>
      <c r="FT258" s="264"/>
      <c r="FU258" s="267"/>
      <c r="FV258" s="267"/>
      <c r="FW258" s="267"/>
      <c r="FX258" s="267"/>
      <c r="FY258" s="267"/>
      <c r="GD258" s="267"/>
      <c r="GE258" s="267"/>
      <c r="GF258" s="267"/>
      <c r="GG258" s="267"/>
      <c r="GH258" s="267"/>
      <c r="GI258" s="264"/>
      <c r="GJ258" s="264"/>
      <c r="GK258" s="264"/>
      <c r="GL258" s="264"/>
      <c r="HD258" s="267"/>
      <c r="HE258" s="267"/>
      <c r="HF258" s="267"/>
      <c r="HG258" s="267"/>
      <c r="HH258" s="267"/>
      <c r="HI258" s="267"/>
      <c r="HJ258" s="267"/>
      <c r="HK258" s="267"/>
      <c r="HL258" s="267"/>
      <c r="HM258" s="267"/>
      <c r="HN258" s="267"/>
      <c r="HO258" s="267"/>
      <c r="HP258" s="267"/>
      <c r="HQ258" s="267"/>
      <c r="HR258" s="267"/>
      <c r="HS258" s="267"/>
      <c r="HT258" s="267"/>
      <c r="HU258" s="267"/>
      <c r="IH258" s="267"/>
      <c r="IK258" s="267"/>
      <c r="IN258" s="267"/>
      <c r="IQ258" s="267"/>
      <c r="IR258" s="267"/>
      <c r="IS258" s="267"/>
      <c r="IT258" s="274"/>
      <c r="IU258" s="274"/>
      <c r="IV258" s="272"/>
      <c r="IW258" s="274"/>
      <c r="IX258" s="274"/>
      <c r="IY258" s="272"/>
    </row>
    <row r="259" spans="10:259">
      <c r="J259" s="267"/>
      <c r="K259" s="267"/>
      <c r="L259" s="267"/>
      <c r="M259" s="267"/>
      <c r="N259" s="267"/>
      <c r="O259" s="267"/>
      <c r="P259" s="267"/>
      <c r="Q259" s="267"/>
      <c r="S259" s="267"/>
      <c r="T259" s="267"/>
      <c r="U259" s="267"/>
      <c r="V259" s="267"/>
      <c r="W259" s="264"/>
      <c r="Y259" s="267"/>
      <c r="Z259" s="267"/>
      <c r="AA259" s="267"/>
      <c r="AB259" s="267"/>
      <c r="AE259" s="267"/>
      <c r="AF259" s="267"/>
      <c r="AG259" s="267"/>
      <c r="AH259" s="267"/>
      <c r="AK259" s="267"/>
      <c r="AL259" s="267"/>
      <c r="AM259" s="267"/>
      <c r="AN259" s="267"/>
      <c r="AQ259" s="267"/>
      <c r="AR259" s="267"/>
      <c r="AS259" s="267"/>
      <c r="AT259" s="267"/>
      <c r="AW259" s="267"/>
      <c r="AX259" s="267"/>
      <c r="AY259" s="267"/>
      <c r="AZ259" s="267"/>
      <c r="BG259" s="269"/>
      <c r="BM259" s="269"/>
      <c r="BS259" s="269"/>
      <c r="BU259" s="267"/>
      <c r="BY259" s="267"/>
      <c r="CC259" s="267"/>
      <c r="CG259" s="267"/>
      <c r="CS259" s="267"/>
      <c r="CW259" s="270"/>
      <c r="CX259" s="267"/>
      <c r="DC259" s="267"/>
      <c r="DH259" s="267"/>
      <c r="DM259" s="267"/>
      <c r="DR259" s="267"/>
      <c r="DW259" s="267"/>
      <c r="EB259" s="267"/>
      <c r="EG259" s="267"/>
      <c r="EL259" s="267"/>
      <c r="EQ259" s="267"/>
      <c r="EU259" s="270"/>
      <c r="EV259" s="267"/>
      <c r="FC259" s="267"/>
      <c r="FD259" s="267"/>
      <c r="FE259" s="267"/>
      <c r="FF259" s="267"/>
      <c r="FG259" s="267"/>
      <c r="FL259" s="267"/>
      <c r="FM259" s="267"/>
      <c r="FN259" s="267"/>
      <c r="FO259" s="267"/>
      <c r="FP259" s="267"/>
      <c r="FQ259" s="264"/>
      <c r="FR259" s="264"/>
      <c r="FS259" s="264"/>
      <c r="FT259" s="264"/>
      <c r="FU259" s="267"/>
      <c r="FV259" s="267"/>
      <c r="FW259" s="267"/>
      <c r="FX259" s="267"/>
      <c r="FY259" s="267"/>
      <c r="GD259" s="267"/>
      <c r="GE259" s="267"/>
      <c r="GF259" s="267"/>
      <c r="GG259" s="267"/>
      <c r="GH259" s="267"/>
      <c r="GI259" s="264"/>
      <c r="GJ259" s="264"/>
      <c r="GK259" s="264"/>
      <c r="GL259" s="264"/>
      <c r="HD259" s="267"/>
      <c r="HE259" s="267"/>
      <c r="HF259" s="267"/>
      <c r="HG259" s="267"/>
      <c r="HH259" s="267"/>
      <c r="HI259" s="267"/>
      <c r="HJ259" s="267"/>
      <c r="HK259" s="267"/>
      <c r="HL259" s="267"/>
      <c r="HM259" s="267"/>
      <c r="HN259" s="267"/>
      <c r="HO259" s="267"/>
      <c r="HP259" s="267"/>
      <c r="HQ259" s="267"/>
      <c r="HR259" s="267"/>
      <c r="HS259" s="267"/>
      <c r="HT259" s="267"/>
      <c r="HU259" s="267"/>
      <c r="IH259" s="267"/>
      <c r="IK259" s="267"/>
      <c r="IN259" s="267"/>
      <c r="IQ259" s="267"/>
      <c r="IR259" s="267"/>
      <c r="IS259" s="267"/>
      <c r="IT259" s="274"/>
      <c r="IU259" s="274"/>
      <c r="IV259" s="272"/>
      <c r="IW259" s="274"/>
      <c r="IX259" s="274"/>
      <c r="IY259" s="272"/>
    </row>
    <row r="260" spans="10:259">
      <c r="J260" s="267"/>
      <c r="K260" s="267"/>
      <c r="L260" s="267"/>
      <c r="M260" s="267"/>
      <c r="N260" s="267"/>
      <c r="O260" s="267"/>
      <c r="P260" s="267"/>
      <c r="Q260" s="267"/>
      <c r="S260" s="267"/>
      <c r="T260" s="267"/>
      <c r="U260" s="267"/>
      <c r="V260" s="267"/>
      <c r="W260" s="264"/>
      <c r="Y260" s="267"/>
      <c r="Z260" s="267"/>
      <c r="AA260" s="267"/>
      <c r="AB260" s="267"/>
      <c r="AE260" s="267"/>
      <c r="AF260" s="267"/>
      <c r="AG260" s="267"/>
      <c r="AH260" s="267"/>
      <c r="AK260" s="267"/>
      <c r="AL260" s="267"/>
      <c r="AM260" s="267"/>
      <c r="AN260" s="267"/>
      <c r="AQ260" s="267"/>
      <c r="AR260" s="267"/>
      <c r="AS260" s="267"/>
      <c r="AT260" s="267"/>
      <c r="AW260" s="267"/>
      <c r="AX260" s="267"/>
      <c r="AY260" s="267"/>
      <c r="AZ260" s="267"/>
      <c r="BG260" s="269"/>
      <c r="BM260" s="269"/>
      <c r="BS260" s="269"/>
      <c r="BU260" s="267"/>
      <c r="BY260" s="267"/>
      <c r="CC260" s="267"/>
      <c r="CG260" s="267"/>
      <c r="CS260" s="267"/>
      <c r="CW260" s="270"/>
      <c r="CX260" s="267"/>
      <c r="DC260" s="267"/>
      <c r="DH260" s="267"/>
      <c r="DM260" s="267"/>
      <c r="DR260" s="267"/>
      <c r="DW260" s="267"/>
      <c r="EB260" s="267"/>
      <c r="EG260" s="267"/>
      <c r="EL260" s="267"/>
      <c r="EQ260" s="267"/>
      <c r="EU260" s="270"/>
      <c r="EV260" s="267"/>
      <c r="FC260" s="267"/>
      <c r="FD260" s="267"/>
      <c r="FE260" s="267"/>
      <c r="FF260" s="267"/>
      <c r="FG260" s="267"/>
      <c r="FL260" s="267"/>
      <c r="FM260" s="267"/>
      <c r="FN260" s="267"/>
      <c r="FO260" s="267"/>
      <c r="FP260" s="267"/>
      <c r="FQ260" s="264"/>
      <c r="FR260" s="264"/>
      <c r="FS260" s="264"/>
      <c r="FT260" s="264"/>
      <c r="FU260" s="267"/>
      <c r="FV260" s="267"/>
      <c r="FW260" s="267"/>
      <c r="FX260" s="267"/>
      <c r="FY260" s="267"/>
      <c r="GD260" s="267"/>
      <c r="GE260" s="267"/>
      <c r="GF260" s="267"/>
      <c r="GG260" s="267"/>
      <c r="GH260" s="267"/>
      <c r="GI260" s="264"/>
      <c r="GJ260" s="264"/>
      <c r="GK260" s="264"/>
      <c r="GL260" s="264"/>
      <c r="HD260" s="267"/>
      <c r="HE260" s="267"/>
      <c r="HF260" s="267"/>
      <c r="HG260" s="267"/>
      <c r="HH260" s="267"/>
      <c r="HI260" s="267"/>
      <c r="HJ260" s="267"/>
      <c r="HK260" s="267"/>
      <c r="HL260" s="267"/>
      <c r="HM260" s="267"/>
      <c r="HN260" s="267"/>
      <c r="HO260" s="267"/>
      <c r="HP260" s="267"/>
      <c r="HQ260" s="267"/>
      <c r="HR260" s="267"/>
      <c r="HS260" s="267"/>
      <c r="HT260" s="267"/>
      <c r="HU260" s="267"/>
      <c r="IH260" s="267"/>
      <c r="IK260" s="267"/>
      <c r="IN260" s="267"/>
      <c r="IQ260" s="267"/>
      <c r="IR260" s="267"/>
      <c r="IS260" s="267"/>
      <c r="IT260" s="274"/>
      <c r="IU260" s="274"/>
      <c r="IV260" s="272"/>
      <c r="IW260" s="274"/>
      <c r="IX260" s="274"/>
      <c r="IY260" s="272"/>
    </row>
    <row r="261" spans="10:259">
      <c r="J261" s="267"/>
      <c r="K261" s="267"/>
      <c r="L261" s="267"/>
      <c r="M261" s="267"/>
      <c r="N261" s="267"/>
      <c r="O261" s="267"/>
      <c r="P261" s="267"/>
      <c r="Q261" s="267"/>
      <c r="S261" s="267"/>
      <c r="T261" s="267"/>
      <c r="U261" s="267"/>
      <c r="V261" s="267"/>
      <c r="W261" s="264"/>
      <c r="Y261" s="267"/>
      <c r="Z261" s="267"/>
      <c r="AA261" s="267"/>
      <c r="AB261" s="267"/>
      <c r="AE261" s="267"/>
      <c r="AF261" s="267"/>
      <c r="AG261" s="267"/>
      <c r="AH261" s="267"/>
      <c r="AK261" s="267"/>
      <c r="AL261" s="267"/>
      <c r="AM261" s="267"/>
      <c r="AN261" s="267"/>
      <c r="AQ261" s="267"/>
      <c r="AR261" s="267"/>
      <c r="AS261" s="267"/>
      <c r="AT261" s="267"/>
      <c r="AW261" s="267"/>
      <c r="AX261" s="267"/>
      <c r="AY261" s="267"/>
      <c r="AZ261" s="267"/>
      <c r="BG261" s="269"/>
      <c r="BM261" s="269"/>
      <c r="BS261" s="269"/>
      <c r="BU261" s="267"/>
      <c r="BY261" s="267"/>
      <c r="CC261" s="267"/>
      <c r="CG261" s="267"/>
      <c r="CS261" s="267"/>
      <c r="CW261" s="270"/>
      <c r="CX261" s="267"/>
      <c r="DC261" s="267"/>
      <c r="DH261" s="267"/>
      <c r="DM261" s="267"/>
      <c r="DR261" s="267"/>
      <c r="DW261" s="267"/>
      <c r="EB261" s="267"/>
      <c r="EG261" s="267"/>
      <c r="EL261" s="267"/>
      <c r="EQ261" s="267"/>
      <c r="EU261" s="270"/>
      <c r="EV261" s="267"/>
      <c r="FC261" s="267"/>
      <c r="FD261" s="267"/>
      <c r="FE261" s="267"/>
      <c r="FF261" s="267"/>
      <c r="FG261" s="267"/>
      <c r="FL261" s="267"/>
      <c r="FM261" s="267"/>
      <c r="FN261" s="267"/>
      <c r="FO261" s="267"/>
      <c r="FP261" s="267"/>
      <c r="FQ261" s="264"/>
      <c r="FR261" s="264"/>
      <c r="FS261" s="264"/>
      <c r="FT261" s="264"/>
      <c r="FU261" s="267"/>
      <c r="FV261" s="267"/>
      <c r="FW261" s="267"/>
      <c r="FX261" s="267"/>
      <c r="FY261" s="267"/>
      <c r="GD261" s="267"/>
      <c r="GE261" s="267"/>
      <c r="GF261" s="267"/>
      <c r="GG261" s="267"/>
      <c r="GH261" s="267"/>
      <c r="GI261" s="264"/>
      <c r="GJ261" s="264"/>
      <c r="GK261" s="264"/>
      <c r="GL261" s="264"/>
      <c r="HD261" s="267"/>
      <c r="HE261" s="267"/>
      <c r="HF261" s="267"/>
      <c r="HG261" s="267"/>
      <c r="HH261" s="267"/>
      <c r="HI261" s="267"/>
      <c r="HJ261" s="267"/>
      <c r="HK261" s="267"/>
      <c r="HL261" s="267"/>
      <c r="HM261" s="267"/>
      <c r="HN261" s="267"/>
      <c r="HO261" s="267"/>
      <c r="HP261" s="267"/>
      <c r="HQ261" s="267"/>
      <c r="HR261" s="267"/>
      <c r="HS261" s="267"/>
      <c r="HT261" s="267"/>
      <c r="HU261" s="267"/>
      <c r="IH261" s="267"/>
      <c r="IK261" s="267"/>
      <c r="IN261" s="267"/>
      <c r="IQ261" s="267"/>
      <c r="IR261" s="267"/>
      <c r="IS261" s="267"/>
      <c r="IT261" s="274"/>
      <c r="IU261" s="274"/>
      <c r="IV261" s="272"/>
      <c r="IW261" s="274"/>
      <c r="IX261" s="274"/>
      <c r="IY261" s="272"/>
    </row>
    <row r="262" spans="10:259">
      <c r="J262" s="267"/>
      <c r="K262" s="267"/>
      <c r="L262" s="267"/>
      <c r="M262" s="267"/>
      <c r="N262" s="267"/>
      <c r="O262" s="267"/>
      <c r="P262" s="267"/>
      <c r="Q262" s="267"/>
      <c r="S262" s="267"/>
      <c r="T262" s="267"/>
      <c r="U262" s="267"/>
      <c r="V262" s="267"/>
      <c r="W262" s="264"/>
      <c r="Y262" s="267"/>
      <c r="Z262" s="267"/>
      <c r="AA262" s="267"/>
      <c r="AB262" s="267"/>
      <c r="AE262" s="267"/>
      <c r="AF262" s="267"/>
      <c r="AG262" s="267"/>
      <c r="AH262" s="267"/>
      <c r="AK262" s="267"/>
      <c r="AL262" s="267"/>
      <c r="AM262" s="267"/>
      <c r="AN262" s="267"/>
      <c r="AQ262" s="267"/>
      <c r="AR262" s="267"/>
      <c r="AS262" s="267"/>
      <c r="AT262" s="267"/>
      <c r="AW262" s="267"/>
      <c r="AX262" s="267"/>
      <c r="AY262" s="267"/>
      <c r="AZ262" s="267"/>
      <c r="BG262" s="269"/>
      <c r="BM262" s="269"/>
      <c r="BS262" s="269"/>
      <c r="BU262" s="267"/>
      <c r="BY262" s="267"/>
      <c r="CC262" s="267"/>
      <c r="CG262" s="267"/>
      <c r="CS262" s="267"/>
      <c r="CW262" s="270"/>
      <c r="CX262" s="267"/>
      <c r="DC262" s="267"/>
      <c r="DH262" s="267"/>
      <c r="DM262" s="267"/>
      <c r="DR262" s="267"/>
      <c r="DW262" s="267"/>
      <c r="EB262" s="267"/>
      <c r="EG262" s="267"/>
      <c r="EL262" s="267"/>
      <c r="EQ262" s="267"/>
      <c r="EU262" s="270"/>
      <c r="EV262" s="267"/>
      <c r="FC262" s="267"/>
      <c r="FD262" s="267"/>
      <c r="FE262" s="267"/>
      <c r="FF262" s="267"/>
      <c r="FG262" s="267"/>
      <c r="FL262" s="267"/>
      <c r="FM262" s="267"/>
      <c r="FN262" s="267"/>
      <c r="FO262" s="267"/>
      <c r="FP262" s="267"/>
      <c r="FQ262" s="264"/>
      <c r="FR262" s="264"/>
      <c r="FS262" s="264"/>
      <c r="FT262" s="264"/>
      <c r="FU262" s="267"/>
      <c r="FV262" s="267"/>
      <c r="FW262" s="267"/>
      <c r="FX262" s="267"/>
      <c r="FY262" s="267"/>
      <c r="GD262" s="267"/>
      <c r="GE262" s="267"/>
      <c r="GF262" s="267"/>
      <c r="GG262" s="267"/>
      <c r="GH262" s="267"/>
      <c r="GI262" s="264"/>
      <c r="GJ262" s="264"/>
      <c r="GK262" s="264"/>
      <c r="GL262" s="264"/>
      <c r="HD262" s="267"/>
      <c r="HE262" s="267"/>
      <c r="HF262" s="267"/>
      <c r="HG262" s="267"/>
      <c r="HH262" s="267"/>
      <c r="HI262" s="267"/>
      <c r="HJ262" s="267"/>
      <c r="HK262" s="267"/>
      <c r="HL262" s="267"/>
      <c r="HM262" s="267"/>
      <c r="HN262" s="267"/>
      <c r="HO262" s="267"/>
      <c r="HP262" s="267"/>
      <c r="HQ262" s="267"/>
      <c r="HR262" s="267"/>
      <c r="HS262" s="267"/>
      <c r="HT262" s="267"/>
      <c r="HU262" s="267"/>
      <c r="IH262" s="267"/>
      <c r="IK262" s="267"/>
      <c r="IN262" s="267"/>
      <c r="IQ262" s="267"/>
      <c r="IR262" s="267"/>
      <c r="IS262" s="267"/>
      <c r="IT262" s="274"/>
      <c r="IU262" s="274"/>
      <c r="IV262" s="272"/>
      <c r="IW262" s="274"/>
      <c r="IX262" s="274"/>
      <c r="IY262" s="272"/>
    </row>
    <row r="263" spans="10:259">
      <c r="J263" s="267"/>
      <c r="K263" s="267"/>
      <c r="L263" s="267"/>
      <c r="M263" s="267"/>
      <c r="N263" s="267"/>
      <c r="O263" s="267"/>
      <c r="P263" s="267"/>
      <c r="Q263" s="267"/>
      <c r="S263" s="267"/>
      <c r="T263" s="267"/>
      <c r="U263" s="267"/>
      <c r="V263" s="267"/>
      <c r="W263" s="264"/>
      <c r="Y263" s="267"/>
      <c r="Z263" s="267"/>
      <c r="AA263" s="267"/>
      <c r="AB263" s="267"/>
      <c r="AE263" s="267"/>
      <c r="AF263" s="267"/>
      <c r="AG263" s="267"/>
      <c r="AH263" s="267"/>
      <c r="AK263" s="267"/>
      <c r="AL263" s="267"/>
      <c r="AM263" s="267"/>
      <c r="AN263" s="267"/>
      <c r="AQ263" s="267"/>
      <c r="AR263" s="267"/>
      <c r="AS263" s="267"/>
      <c r="AT263" s="267"/>
      <c r="AW263" s="267"/>
      <c r="AX263" s="267"/>
      <c r="AY263" s="267"/>
      <c r="AZ263" s="267"/>
      <c r="BG263" s="269"/>
      <c r="BM263" s="269"/>
      <c r="BS263" s="269"/>
      <c r="BU263" s="267"/>
      <c r="BY263" s="267"/>
      <c r="CC263" s="267"/>
      <c r="CG263" s="267"/>
      <c r="CS263" s="267"/>
      <c r="CW263" s="270"/>
      <c r="CX263" s="267"/>
      <c r="DC263" s="267"/>
      <c r="DH263" s="267"/>
      <c r="DM263" s="267"/>
      <c r="DR263" s="267"/>
      <c r="DW263" s="267"/>
      <c r="EB263" s="267"/>
      <c r="EG263" s="267"/>
      <c r="EL263" s="267"/>
      <c r="EQ263" s="267"/>
      <c r="EU263" s="270"/>
      <c r="EV263" s="267"/>
      <c r="FC263" s="267"/>
      <c r="FD263" s="267"/>
      <c r="FE263" s="267"/>
      <c r="FF263" s="267"/>
      <c r="FG263" s="267"/>
      <c r="FL263" s="267"/>
      <c r="FM263" s="267"/>
      <c r="FN263" s="267"/>
      <c r="FO263" s="267"/>
      <c r="FP263" s="267"/>
      <c r="FQ263" s="264"/>
      <c r="FR263" s="264"/>
      <c r="FS263" s="264"/>
      <c r="FT263" s="264"/>
      <c r="FU263" s="267"/>
      <c r="FV263" s="267"/>
      <c r="FW263" s="267"/>
      <c r="FX263" s="267"/>
      <c r="FY263" s="267"/>
      <c r="GD263" s="267"/>
      <c r="GE263" s="267"/>
      <c r="GF263" s="267"/>
      <c r="GG263" s="267"/>
      <c r="GH263" s="267"/>
      <c r="GI263" s="264"/>
      <c r="GJ263" s="264"/>
      <c r="GK263" s="264"/>
      <c r="GL263" s="264"/>
      <c r="HD263" s="267"/>
      <c r="HE263" s="267"/>
      <c r="HF263" s="267"/>
      <c r="HG263" s="267"/>
      <c r="HH263" s="267"/>
      <c r="HI263" s="267"/>
      <c r="HJ263" s="267"/>
      <c r="HK263" s="267"/>
      <c r="HL263" s="267"/>
      <c r="HM263" s="267"/>
      <c r="HN263" s="267"/>
      <c r="HO263" s="267"/>
      <c r="HP263" s="267"/>
      <c r="HQ263" s="267"/>
      <c r="HR263" s="267"/>
      <c r="HS263" s="267"/>
      <c r="HT263" s="267"/>
      <c r="HU263" s="267"/>
      <c r="IH263" s="267"/>
      <c r="IK263" s="267"/>
      <c r="IN263" s="267"/>
      <c r="IQ263" s="267"/>
      <c r="IR263" s="267"/>
      <c r="IS263" s="267"/>
      <c r="IT263" s="274"/>
      <c r="IU263" s="274"/>
      <c r="IV263" s="272"/>
      <c r="IW263" s="274"/>
      <c r="IX263" s="274"/>
      <c r="IY263" s="272"/>
    </row>
    <row r="264" spans="10:259">
      <c r="J264" s="267"/>
      <c r="K264" s="267"/>
      <c r="L264" s="267"/>
      <c r="M264" s="267"/>
      <c r="N264" s="267"/>
      <c r="O264" s="267"/>
      <c r="P264" s="267"/>
      <c r="Q264" s="267"/>
      <c r="S264" s="267"/>
      <c r="T264" s="267"/>
      <c r="U264" s="267"/>
      <c r="V264" s="267"/>
      <c r="W264" s="264"/>
      <c r="Y264" s="267"/>
      <c r="Z264" s="267"/>
      <c r="AA264" s="267"/>
      <c r="AB264" s="267"/>
      <c r="AE264" s="267"/>
      <c r="AF264" s="267"/>
      <c r="AG264" s="267"/>
      <c r="AH264" s="267"/>
      <c r="AK264" s="267"/>
      <c r="AL264" s="267"/>
      <c r="AM264" s="267"/>
      <c r="AN264" s="267"/>
      <c r="AQ264" s="267"/>
      <c r="AR264" s="267"/>
      <c r="AS264" s="267"/>
      <c r="AT264" s="267"/>
      <c r="AW264" s="267"/>
      <c r="AX264" s="267"/>
      <c r="AY264" s="267"/>
      <c r="AZ264" s="267"/>
      <c r="BG264" s="269"/>
      <c r="BM264" s="269"/>
      <c r="BS264" s="269"/>
      <c r="BU264" s="267"/>
      <c r="BY264" s="267"/>
      <c r="CC264" s="267"/>
      <c r="CG264" s="267"/>
      <c r="CS264" s="267"/>
      <c r="CW264" s="270"/>
      <c r="CX264" s="267"/>
      <c r="DC264" s="267"/>
      <c r="DH264" s="267"/>
      <c r="DM264" s="267"/>
      <c r="DR264" s="267"/>
      <c r="DW264" s="267"/>
      <c r="EB264" s="267"/>
      <c r="EG264" s="267"/>
      <c r="EL264" s="267"/>
      <c r="EQ264" s="267"/>
      <c r="EU264" s="270"/>
      <c r="EV264" s="267"/>
      <c r="FC264" s="267"/>
      <c r="FD264" s="267"/>
      <c r="FE264" s="267"/>
      <c r="FF264" s="267"/>
      <c r="FG264" s="267"/>
      <c r="FL264" s="267"/>
      <c r="FM264" s="267"/>
      <c r="FN264" s="267"/>
      <c r="FO264" s="267"/>
      <c r="FP264" s="267"/>
      <c r="FQ264" s="264"/>
      <c r="FR264" s="264"/>
      <c r="FS264" s="264"/>
      <c r="FT264" s="264"/>
      <c r="FU264" s="267"/>
      <c r="FV264" s="267"/>
      <c r="FW264" s="267"/>
      <c r="FX264" s="267"/>
      <c r="FY264" s="267"/>
      <c r="GD264" s="267"/>
      <c r="GE264" s="267"/>
      <c r="GF264" s="267"/>
      <c r="GG264" s="267"/>
      <c r="GH264" s="267"/>
      <c r="GI264" s="264"/>
      <c r="GJ264" s="264"/>
      <c r="GK264" s="264"/>
      <c r="GL264" s="264"/>
      <c r="HD264" s="267"/>
      <c r="HE264" s="267"/>
      <c r="HF264" s="267"/>
      <c r="HG264" s="267"/>
      <c r="HH264" s="267"/>
      <c r="HI264" s="267"/>
      <c r="HJ264" s="267"/>
      <c r="HK264" s="267"/>
      <c r="HL264" s="267"/>
      <c r="HM264" s="267"/>
      <c r="HN264" s="267"/>
      <c r="HO264" s="267"/>
      <c r="HP264" s="267"/>
      <c r="HQ264" s="267"/>
      <c r="HR264" s="267"/>
      <c r="HS264" s="267"/>
      <c r="HT264" s="267"/>
      <c r="HU264" s="267"/>
      <c r="IH264" s="267"/>
      <c r="IK264" s="267"/>
      <c r="IN264" s="267"/>
      <c r="IQ264" s="267"/>
      <c r="IR264" s="267"/>
      <c r="IS264" s="267"/>
      <c r="IT264" s="274"/>
      <c r="IU264" s="274"/>
      <c r="IV264" s="272"/>
      <c r="IW264" s="274"/>
      <c r="IX264" s="274"/>
      <c r="IY264" s="272"/>
    </row>
    <row r="265" spans="10:259">
      <c r="J265" s="267"/>
      <c r="K265" s="267"/>
      <c r="L265" s="267"/>
      <c r="M265" s="267"/>
      <c r="N265" s="267"/>
      <c r="O265" s="267"/>
      <c r="P265" s="267"/>
      <c r="Q265" s="267"/>
      <c r="S265" s="267"/>
      <c r="T265" s="267"/>
      <c r="U265" s="267"/>
      <c r="V265" s="267"/>
      <c r="W265" s="264"/>
      <c r="Y265" s="267"/>
      <c r="Z265" s="267"/>
      <c r="AA265" s="267"/>
      <c r="AB265" s="267"/>
      <c r="AE265" s="267"/>
      <c r="AF265" s="267"/>
      <c r="AG265" s="267"/>
      <c r="AH265" s="267"/>
      <c r="AK265" s="267"/>
      <c r="AL265" s="267"/>
      <c r="AM265" s="267"/>
      <c r="AN265" s="267"/>
      <c r="AQ265" s="267"/>
      <c r="AR265" s="267"/>
      <c r="AS265" s="267"/>
      <c r="AT265" s="267"/>
      <c r="AW265" s="267"/>
      <c r="AX265" s="267"/>
      <c r="AY265" s="267"/>
      <c r="AZ265" s="267"/>
      <c r="BG265" s="269"/>
      <c r="BM265" s="269"/>
      <c r="BS265" s="269"/>
      <c r="BU265" s="267"/>
      <c r="BY265" s="267"/>
      <c r="CC265" s="267"/>
      <c r="CG265" s="267"/>
      <c r="CS265" s="267"/>
      <c r="CW265" s="270"/>
      <c r="CX265" s="267"/>
      <c r="DC265" s="267"/>
      <c r="DH265" s="267"/>
      <c r="DM265" s="267"/>
      <c r="DR265" s="267"/>
      <c r="DW265" s="267"/>
      <c r="EB265" s="267"/>
      <c r="EG265" s="267"/>
      <c r="EL265" s="267"/>
      <c r="EQ265" s="267"/>
      <c r="EU265" s="270"/>
      <c r="EV265" s="267"/>
      <c r="FC265" s="267"/>
      <c r="FD265" s="267"/>
      <c r="FE265" s="267"/>
      <c r="FF265" s="267"/>
      <c r="FG265" s="267"/>
      <c r="FL265" s="267"/>
      <c r="FM265" s="267"/>
      <c r="FN265" s="267"/>
      <c r="FO265" s="267"/>
      <c r="FP265" s="267"/>
      <c r="FQ265" s="264"/>
      <c r="FR265" s="264"/>
      <c r="FS265" s="264"/>
      <c r="FT265" s="264"/>
      <c r="FU265" s="267"/>
      <c r="FV265" s="267"/>
      <c r="FW265" s="267"/>
      <c r="FX265" s="267"/>
      <c r="FY265" s="267"/>
      <c r="GD265" s="267"/>
      <c r="GE265" s="267"/>
      <c r="GF265" s="267"/>
      <c r="GG265" s="267"/>
      <c r="GH265" s="267"/>
      <c r="GI265" s="264"/>
      <c r="GJ265" s="264"/>
      <c r="GK265" s="264"/>
      <c r="GL265" s="264"/>
      <c r="HD265" s="267"/>
      <c r="HE265" s="267"/>
      <c r="HF265" s="267"/>
      <c r="HG265" s="267"/>
      <c r="HH265" s="267"/>
      <c r="HI265" s="267"/>
      <c r="HJ265" s="267"/>
      <c r="HK265" s="267"/>
      <c r="HL265" s="267"/>
      <c r="HM265" s="267"/>
      <c r="HN265" s="267"/>
      <c r="HO265" s="267"/>
      <c r="HP265" s="267"/>
      <c r="HQ265" s="267"/>
      <c r="HR265" s="267"/>
      <c r="HS265" s="267"/>
      <c r="HT265" s="267"/>
      <c r="HU265" s="267"/>
      <c r="IH265" s="267"/>
      <c r="IK265" s="267"/>
      <c r="IN265" s="267"/>
      <c r="IQ265" s="267"/>
      <c r="IR265" s="267"/>
      <c r="IS265" s="267"/>
      <c r="IT265" s="274"/>
      <c r="IU265" s="274"/>
      <c r="IV265" s="272"/>
      <c r="IW265" s="274"/>
      <c r="IX265" s="274"/>
      <c r="IY265" s="272"/>
    </row>
    <row r="266" spans="10:259">
      <c r="J266" s="267"/>
      <c r="K266" s="267"/>
      <c r="L266" s="267"/>
      <c r="M266" s="267"/>
      <c r="N266" s="267"/>
      <c r="O266" s="267"/>
      <c r="P266" s="267"/>
      <c r="Q266" s="267"/>
      <c r="S266" s="267"/>
      <c r="T266" s="267"/>
      <c r="U266" s="267"/>
      <c r="V266" s="267"/>
      <c r="W266" s="264"/>
      <c r="Y266" s="267"/>
      <c r="Z266" s="267"/>
      <c r="AA266" s="267"/>
      <c r="AB266" s="267"/>
      <c r="AE266" s="267"/>
      <c r="AF266" s="267"/>
      <c r="AG266" s="267"/>
      <c r="AH266" s="267"/>
      <c r="AK266" s="267"/>
      <c r="AL266" s="267"/>
      <c r="AM266" s="267"/>
      <c r="AN266" s="267"/>
      <c r="AQ266" s="267"/>
      <c r="AR266" s="267"/>
      <c r="AS266" s="267"/>
      <c r="AT266" s="267"/>
      <c r="AW266" s="267"/>
      <c r="AX266" s="267"/>
      <c r="AY266" s="267"/>
      <c r="AZ266" s="267"/>
      <c r="BG266" s="269"/>
      <c r="BM266" s="269"/>
      <c r="BS266" s="269"/>
      <c r="BU266" s="267"/>
      <c r="BY266" s="267"/>
      <c r="CC266" s="267"/>
      <c r="CG266" s="267"/>
      <c r="CS266" s="267"/>
      <c r="CW266" s="270"/>
      <c r="CX266" s="267"/>
      <c r="DC266" s="267"/>
      <c r="DH266" s="267"/>
      <c r="DM266" s="267"/>
      <c r="DR266" s="267"/>
      <c r="DW266" s="267"/>
      <c r="EB266" s="267"/>
      <c r="EG266" s="267"/>
      <c r="EL266" s="267"/>
      <c r="EQ266" s="267"/>
      <c r="EU266" s="270"/>
      <c r="EV266" s="267"/>
      <c r="FC266" s="267"/>
      <c r="FD266" s="267"/>
      <c r="FE266" s="267"/>
      <c r="FF266" s="267"/>
      <c r="FG266" s="267"/>
      <c r="FL266" s="267"/>
      <c r="FM266" s="267"/>
      <c r="FN266" s="267"/>
      <c r="FO266" s="267"/>
      <c r="FP266" s="267"/>
      <c r="FQ266" s="264"/>
      <c r="FR266" s="264"/>
      <c r="FS266" s="264"/>
      <c r="FT266" s="264"/>
      <c r="FU266" s="267"/>
      <c r="FV266" s="267"/>
      <c r="FW266" s="267"/>
      <c r="FX266" s="267"/>
      <c r="FY266" s="267"/>
      <c r="GD266" s="267"/>
      <c r="GE266" s="267"/>
      <c r="GF266" s="267"/>
      <c r="GG266" s="267"/>
      <c r="GH266" s="267"/>
      <c r="GI266" s="264"/>
      <c r="GJ266" s="264"/>
      <c r="GK266" s="264"/>
      <c r="GL266" s="264"/>
      <c r="HD266" s="267"/>
      <c r="HE266" s="267"/>
      <c r="HF266" s="267"/>
      <c r="HG266" s="267"/>
      <c r="HH266" s="267"/>
      <c r="HI266" s="267"/>
      <c r="HJ266" s="267"/>
      <c r="HK266" s="267"/>
      <c r="HL266" s="267"/>
      <c r="HM266" s="267"/>
      <c r="HN266" s="267"/>
      <c r="HO266" s="267"/>
      <c r="HP266" s="267"/>
      <c r="HQ266" s="267"/>
      <c r="HR266" s="267"/>
      <c r="HS266" s="267"/>
      <c r="HT266" s="267"/>
      <c r="HU266" s="267"/>
      <c r="IH266" s="267"/>
      <c r="IK266" s="267"/>
      <c r="IN266" s="267"/>
      <c r="IQ266" s="267"/>
      <c r="IR266" s="267"/>
      <c r="IS266" s="267"/>
      <c r="IT266" s="274"/>
      <c r="IU266" s="274"/>
      <c r="IV266" s="272"/>
      <c r="IW266" s="274"/>
      <c r="IX266" s="274"/>
      <c r="IY266" s="272"/>
    </row>
    <row r="267" spans="10:259">
      <c r="J267" s="267"/>
      <c r="K267" s="267"/>
      <c r="L267" s="267"/>
      <c r="M267" s="267"/>
      <c r="N267" s="267"/>
      <c r="O267" s="267"/>
      <c r="P267" s="267"/>
      <c r="Q267" s="267"/>
      <c r="S267" s="267"/>
      <c r="T267" s="267"/>
      <c r="U267" s="267"/>
      <c r="V267" s="267"/>
      <c r="W267" s="264"/>
      <c r="Y267" s="267"/>
      <c r="Z267" s="267"/>
      <c r="AA267" s="267"/>
      <c r="AB267" s="267"/>
      <c r="AE267" s="267"/>
      <c r="AF267" s="267"/>
      <c r="AG267" s="267"/>
      <c r="AH267" s="267"/>
      <c r="AK267" s="267"/>
      <c r="AL267" s="267"/>
      <c r="AM267" s="267"/>
      <c r="AN267" s="267"/>
      <c r="AQ267" s="267"/>
      <c r="AR267" s="267"/>
      <c r="AS267" s="267"/>
      <c r="AT267" s="267"/>
      <c r="AW267" s="267"/>
      <c r="AX267" s="267"/>
      <c r="AY267" s="267"/>
      <c r="AZ267" s="267"/>
      <c r="BG267" s="269"/>
      <c r="BM267" s="269"/>
      <c r="BS267" s="269"/>
      <c r="BU267" s="267"/>
      <c r="BY267" s="267"/>
      <c r="CC267" s="267"/>
      <c r="CG267" s="267"/>
      <c r="CS267" s="267"/>
      <c r="CW267" s="270"/>
      <c r="CX267" s="267"/>
      <c r="DC267" s="267"/>
      <c r="DH267" s="267"/>
      <c r="DM267" s="267"/>
      <c r="DR267" s="267"/>
      <c r="DW267" s="267"/>
      <c r="EB267" s="267"/>
      <c r="EG267" s="267"/>
      <c r="EL267" s="267"/>
      <c r="EQ267" s="267"/>
      <c r="EU267" s="270"/>
      <c r="EV267" s="267"/>
      <c r="FC267" s="267"/>
      <c r="FD267" s="267"/>
      <c r="FE267" s="267"/>
      <c r="FF267" s="267"/>
      <c r="FG267" s="267"/>
      <c r="FL267" s="267"/>
      <c r="FM267" s="267"/>
      <c r="FN267" s="267"/>
      <c r="FO267" s="267"/>
      <c r="FP267" s="267"/>
      <c r="FQ267" s="264"/>
      <c r="FR267" s="264"/>
      <c r="FS267" s="264"/>
      <c r="FT267" s="264"/>
      <c r="FU267" s="267"/>
      <c r="FV267" s="267"/>
      <c r="FW267" s="267"/>
      <c r="FX267" s="267"/>
      <c r="FY267" s="267"/>
      <c r="GD267" s="267"/>
      <c r="GE267" s="267"/>
      <c r="GF267" s="267"/>
      <c r="GG267" s="267"/>
      <c r="GH267" s="267"/>
      <c r="GI267" s="264"/>
      <c r="GJ267" s="264"/>
      <c r="GK267" s="264"/>
      <c r="GL267" s="264"/>
      <c r="HD267" s="267"/>
      <c r="HE267" s="267"/>
      <c r="HF267" s="267"/>
      <c r="HG267" s="267"/>
      <c r="HH267" s="267"/>
      <c r="HI267" s="267"/>
      <c r="HJ267" s="267"/>
      <c r="HK267" s="267"/>
      <c r="HL267" s="267"/>
      <c r="HM267" s="267"/>
      <c r="HN267" s="267"/>
      <c r="HO267" s="267"/>
      <c r="HP267" s="267"/>
      <c r="HQ267" s="267"/>
      <c r="HR267" s="267"/>
      <c r="HS267" s="267"/>
      <c r="HT267" s="267"/>
      <c r="HU267" s="267"/>
      <c r="IH267" s="267"/>
      <c r="IK267" s="267"/>
      <c r="IN267" s="267"/>
      <c r="IQ267" s="267"/>
      <c r="IR267" s="267"/>
      <c r="IS267" s="267"/>
      <c r="IT267" s="274"/>
      <c r="IU267" s="274"/>
      <c r="IV267" s="272"/>
      <c r="IW267" s="274"/>
      <c r="IX267" s="274"/>
      <c r="IY267" s="272"/>
    </row>
    <row r="268" spans="10:259">
      <c r="J268" s="267"/>
      <c r="K268" s="267"/>
      <c r="L268" s="267"/>
      <c r="M268" s="267"/>
      <c r="N268" s="267"/>
      <c r="O268" s="267"/>
      <c r="P268" s="267"/>
      <c r="Q268" s="267"/>
      <c r="S268" s="267"/>
      <c r="T268" s="267"/>
      <c r="U268" s="267"/>
      <c r="V268" s="267"/>
      <c r="W268" s="264"/>
      <c r="Y268" s="267"/>
      <c r="Z268" s="267"/>
      <c r="AA268" s="267"/>
      <c r="AB268" s="267"/>
      <c r="AE268" s="267"/>
      <c r="AF268" s="267"/>
      <c r="AG268" s="267"/>
      <c r="AH268" s="267"/>
      <c r="AK268" s="267"/>
      <c r="AL268" s="267"/>
      <c r="AM268" s="267"/>
      <c r="AN268" s="267"/>
      <c r="AQ268" s="267"/>
      <c r="AR268" s="267"/>
      <c r="AS268" s="267"/>
      <c r="AT268" s="267"/>
      <c r="AW268" s="267"/>
      <c r="AX268" s="267"/>
      <c r="AY268" s="267"/>
      <c r="AZ268" s="267"/>
      <c r="BG268" s="269"/>
      <c r="BM268" s="269"/>
      <c r="BS268" s="269"/>
      <c r="BU268" s="267"/>
      <c r="BY268" s="267"/>
      <c r="CC268" s="267"/>
      <c r="CG268" s="267"/>
      <c r="CS268" s="267"/>
      <c r="CW268" s="270"/>
      <c r="CX268" s="267"/>
      <c r="DC268" s="267"/>
      <c r="DH268" s="267"/>
      <c r="DM268" s="267"/>
      <c r="DR268" s="267"/>
      <c r="DW268" s="267"/>
      <c r="EB268" s="267"/>
      <c r="EG268" s="267"/>
      <c r="EL268" s="267"/>
      <c r="EQ268" s="267"/>
      <c r="EU268" s="270"/>
      <c r="EV268" s="267"/>
      <c r="FC268" s="267"/>
      <c r="FD268" s="267"/>
      <c r="FE268" s="267"/>
      <c r="FF268" s="267"/>
      <c r="FG268" s="267"/>
      <c r="FL268" s="267"/>
      <c r="FM268" s="267"/>
      <c r="FN268" s="267"/>
      <c r="FO268" s="267"/>
      <c r="FP268" s="267"/>
      <c r="FQ268" s="264"/>
      <c r="FR268" s="264"/>
      <c r="FS268" s="264"/>
      <c r="FT268" s="264"/>
      <c r="FU268" s="267"/>
      <c r="FV268" s="267"/>
      <c r="FW268" s="267"/>
      <c r="FX268" s="267"/>
      <c r="FY268" s="267"/>
      <c r="GD268" s="267"/>
      <c r="GE268" s="267"/>
      <c r="GF268" s="267"/>
      <c r="GG268" s="267"/>
      <c r="GH268" s="267"/>
      <c r="GI268" s="264"/>
      <c r="GJ268" s="264"/>
      <c r="GK268" s="264"/>
      <c r="GL268" s="264"/>
      <c r="HD268" s="267"/>
      <c r="HE268" s="267"/>
      <c r="HF268" s="267"/>
      <c r="HG268" s="267"/>
      <c r="HH268" s="267"/>
      <c r="HI268" s="267"/>
      <c r="HJ268" s="267"/>
      <c r="HK268" s="267"/>
      <c r="HL268" s="267"/>
      <c r="HM268" s="267"/>
      <c r="HN268" s="267"/>
      <c r="HO268" s="267"/>
      <c r="HP268" s="267"/>
      <c r="HQ268" s="267"/>
      <c r="HR268" s="267"/>
      <c r="HS268" s="267"/>
      <c r="HT268" s="267"/>
      <c r="HU268" s="267"/>
      <c r="IH268" s="267"/>
      <c r="IK268" s="267"/>
      <c r="IN268" s="267"/>
      <c r="IQ268" s="267"/>
      <c r="IR268" s="267"/>
      <c r="IS268" s="267"/>
      <c r="IT268" s="274"/>
      <c r="IU268" s="274"/>
      <c r="IV268" s="272"/>
      <c r="IW268" s="274"/>
      <c r="IX268" s="274"/>
      <c r="IY268" s="272"/>
    </row>
    <row r="269" spans="10:259">
      <c r="J269" s="267"/>
      <c r="K269" s="267"/>
      <c r="L269" s="267"/>
      <c r="M269" s="267"/>
      <c r="N269" s="267"/>
      <c r="O269" s="267"/>
      <c r="P269" s="267"/>
      <c r="Q269" s="267"/>
      <c r="S269" s="267"/>
      <c r="T269" s="267"/>
      <c r="U269" s="267"/>
      <c r="V269" s="267"/>
      <c r="W269" s="264"/>
      <c r="Y269" s="267"/>
      <c r="Z269" s="267"/>
      <c r="AA269" s="267"/>
      <c r="AB269" s="267"/>
      <c r="AE269" s="267"/>
      <c r="AF269" s="267"/>
      <c r="AG269" s="267"/>
      <c r="AH269" s="267"/>
      <c r="AK269" s="267"/>
      <c r="AL269" s="267"/>
      <c r="AM269" s="267"/>
      <c r="AN269" s="267"/>
      <c r="AQ269" s="267"/>
      <c r="AR269" s="267"/>
      <c r="AS269" s="267"/>
      <c r="AT269" s="267"/>
      <c r="AW269" s="267"/>
      <c r="AX269" s="267"/>
      <c r="AY269" s="267"/>
      <c r="AZ269" s="267"/>
      <c r="BG269" s="269"/>
      <c r="BM269" s="269"/>
      <c r="BS269" s="269"/>
      <c r="BU269" s="267"/>
      <c r="BY269" s="267"/>
      <c r="CC269" s="267"/>
      <c r="CG269" s="267"/>
      <c r="CS269" s="267"/>
      <c r="CW269" s="270"/>
      <c r="CX269" s="267"/>
      <c r="DC269" s="267"/>
      <c r="DH269" s="267"/>
      <c r="DM269" s="267"/>
      <c r="DR269" s="267"/>
      <c r="DW269" s="267"/>
      <c r="EB269" s="267"/>
      <c r="EG269" s="267"/>
      <c r="EL269" s="267"/>
      <c r="EQ269" s="267"/>
      <c r="EU269" s="270"/>
      <c r="EV269" s="267"/>
      <c r="FC269" s="267"/>
      <c r="FD269" s="267"/>
      <c r="FE269" s="267"/>
      <c r="FF269" s="267"/>
      <c r="FG269" s="267"/>
      <c r="FL269" s="267"/>
      <c r="FM269" s="267"/>
      <c r="FN269" s="267"/>
      <c r="FO269" s="267"/>
      <c r="FP269" s="267"/>
      <c r="FQ269" s="264"/>
      <c r="FR269" s="264"/>
      <c r="FS269" s="264"/>
      <c r="FT269" s="264"/>
      <c r="FU269" s="267"/>
      <c r="FV269" s="267"/>
      <c r="FW269" s="267"/>
      <c r="FX269" s="267"/>
      <c r="FY269" s="267"/>
      <c r="GD269" s="267"/>
      <c r="GE269" s="267"/>
      <c r="GF269" s="267"/>
      <c r="GG269" s="267"/>
      <c r="GH269" s="267"/>
      <c r="GI269" s="264"/>
      <c r="GJ269" s="264"/>
      <c r="GK269" s="264"/>
      <c r="GL269" s="264"/>
      <c r="HD269" s="267"/>
      <c r="HE269" s="267"/>
      <c r="HF269" s="267"/>
      <c r="HG269" s="267"/>
      <c r="HH269" s="267"/>
      <c r="HI269" s="267"/>
      <c r="HJ269" s="267"/>
      <c r="HK269" s="267"/>
      <c r="HL269" s="267"/>
      <c r="HM269" s="267"/>
      <c r="HN269" s="267"/>
      <c r="HO269" s="267"/>
      <c r="HP269" s="267"/>
      <c r="HQ269" s="267"/>
      <c r="HR269" s="267"/>
      <c r="HS269" s="267"/>
      <c r="HT269" s="267"/>
      <c r="HU269" s="267"/>
      <c r="IH269" s="267"/>
      <c r="IK269" s="267"/>
      <c r="IN269" s="267"/>
      <c r="IQ269" s="267"/>
      <c r="IR269" s="267"/>
      <c r="IS269" s="267"/>
      <c r="IT269" s="274"/>
      <c r="IU269" s="274"/>
      <c r="IV269" s="272"/>
      <c r="IW269" s="274"/>
      <c r="IX269" s="274"/>
      <c r="IY269" s="272"/>
    </row>
    <row r="270" spans="10:259">
      <c r="J270" s="267"/>
      <c r="K270" s="267"/>
      <c r="L270" s="267"/>
      <c r="M270" s="267"/>
      <c r="N270" s="267"/>
      <c r="O270" s="267"/>
      <c r="P270" s="267"/>
      <c r="Q270" s="267"/>
      <c r="S270" s="267"/>
      <c r="T270" s="267"/>
      <c r="U270" s="267"/>
      <c r="V270" s="267"/>
      <c r="W270" s="264"/>
      <c r="Y270" s="267"/>
      <c r="Z270" s="267"/>
      <c r="AA270" s="267"/>
      <c r="AB270" s="267"/>
      <c r="AE270" s="267"/>
      <c r="AF270" s="267"/>
      <c r="AG270" s="267"/>
      <c r="AH270" s="267"/>
      <c r="AK270" s="267"/>
      <c r="AL270" s="267"/>
      <c r="AM270" s="267"/>
      <c r="AN270" s="267"/>
      <c r="AQ270" s="267"/>
      <c r="AR270" s="267"/>
      <c r="AS270" s="267"/>
      <c r="AT270" s="267"/>
      <c r="AW270" s="267"/>
      <c r="AX270" s="267"/>
      <c r="AY270" s="267"/>
      <c r="AZ270" s="267"/>
      <c r="BG270" s="269"/>
      <c r="BM270" s="269"/>
      <c r="BS270" s="269"/>
      <c r="BU270" s="267"/>
      <c r="BY270" s="267"/>
      <c r="CC270" s="267"/>
      <c r="CG270" s="267"/>
      <c r="CS270" s="267"/>
      <c r="CW270" s="270"/>
      <c r="CX270" s="267"/>
      <c r="DC270" s="267"/>
      <c r="DH270" s="267"/>
      <c r="DM270" s="267"/>
      <c r="DR270" s="267"/>
      <c r="DW270" s="267"/>
      <c r="EB270" s="267"/>
      <c r="EG270" s="267"/>
      <c r="EL270" s="267"/>
      <c r="EQ270" s="267"/>
      <c r="EU270" s="270"/>
      <c r="EV270" s="267"/>
      <c r="FC270" s="267"/>
      <c r="FD270" s="267"/>
      <c r="FE270" s="267"/>
      <c r="FF270" s="267"/>
      <c r="FG270" s="267"/>
      <c r="FL270" s="267"/>
      <c r="FM270" s="267"/>
      <c r="FN270" s="267"/>
      <c r="FO270" s="267"/>
      <c r="FP270" s="267"/>
      <c r="FQ270" s="264"/>
      <c r="FR270" s="264"/>
      <c r="FS270" s="264"/>
      <c r="FT270" s="264"/>
      <c r="FU270" s="267"/>
      <c r="FV270" s="267"/>
      <c r="FW270" s="267"/>
      <c r="FX270" s="267"/>
      <c r="FY270" s="267"/>
      <c r="GD270" s="267"/>
      <c r="GE270" s="267"/>
      <c r="GF270" s="267"/>
      <c r="GG270" s="267"/>
      <c r="GH270" s="267"/>
      <c r="GI270" s="264"/>
      <c r="GJ270" s="264"/>
      <c r="GK270" s="264"/>
      <c r="GL270" s="264"/>
      <c r="HD270" s="267"/>
      <c r="HE270" s="267"/>
      <c r="HF270" s="267"/>
      <c r="HG270" s="267"/>
      <c r="HH270" s="267"/>
      <c r="HI270" s="267"/>
      <c r="HJ270" s="267"/>
      <c r="HK270" s="267"/>
      <c r="HL270" s="267"/>
      <c r="HM270" s="267"/>
      <c r="HN270" s="267"/>
      <c r="HO270" s="267"/>
      <c r="HP270" s="267"/>
      <c r="HQ270" s="267"/>
      <c r="HR270" s="267"/>
      <c r="HS270" s="267"/>
      <c r="HT270" s="267"/>
      <c r="HU270" s="267"/>
      <c r="IH270" s="267"/>
      <c r="IK270" s="267"/>
      <c r="IN270" s="267"/>
      <c r="IQ270" s="267"/>
      <c r="IR270" s="267"/>
      <c r="IS270" s="267"/>
      <c r="IT270" s="274"/>
      <c r="IU270" s="274"/>
      <c r="IV270" s="272"/>
      <c r="IW270" s="274"/>
      <c r="IX270" s="274"/>
      <c r="IY270" s="272"/>
    </row>
    <row r="271" spans="10:259">
      <c r="J271" s="267"/>
      <c r="K271" s="267"/>
      <c r="L271" s="267"/>
      <c r="M271" s="267"/>
      <c r="N271" s="267"/>
      <c r="O271" s="267"/>
      <c r="P271" s="267"/>
      <c r="Q271" s="267"/>
      <c r="S271" s="267"/>
      <c r="T271" s="267"/>
      <c r="U271" s="267"/>
      <c r="V271" s="267"/>
      <c r="W271" s="264"/>
      <c r="Y271" s="267"/>
      <c r="Z271" s="267"/>
      <c r="AA271" s="267"/>
      <c r="AB271" s="267"/>
      <c r="AE271" s="267"/>
      <c r="AF271" s="267"/>
      <c r="AG271" s="267"/>
      <c r="AH271" s="267"/>
      <c r="AK271" s="267"/>
      <c r="AL271" s="267"/>
      <c r="AM271" s="267"/>
      <c r="AN271" s="267"/>
      <c r="AQ271" s="267"/>
      <c r="AR271" s="267"/>
      <c r="AS271" s="267"/>
      <c r="AT271" s="267"/>
      <c r="AW271" s="267"/>
      <c r="AX271" s="267"/>
      <c r="AY271" s="267"/>
      <c r="AZ271" s="267"/>
      <c r="BG271" s="269"/>
      <c r="BM271" s="269"/>
      <c r="BS271" s="269"/>
      <c r="BU271" s="267"/>
      <c r="BY271" s="267"/>
      <c r="CC271" s="267"/>
      <c r="CG271" s="267"/>
      <c r="CS271" s="267"/>
      <c r="CW271" s="270"/>
      <c r="CX271" s="267"/>
      <c r="DC271" s="267"/>
      <c r="DH271" s="267"/>
      <c r="DM271" s="267"/>
      <c r="DR271" s="267"/>
      <c r="DW271" s="267"/>
      <c r="EB271" s="267"/>
      <c r="EG271" s="267"/>
      <c r="EL271" s="267"/>
      <c r="EQ271" s="267"/>
      <c r="EU271" s="270"/>
      <c r="EV271" s="267"/>
      <c r="FC271" s="267"/>
      <c r="FD271" s="267"/>
      <c r="FE271" s="267"/>
      <c r="FF271" s="267"/>
      <c r="FG271" s="267"/>
      <c r="FL271" s="267"/>
      <c r="FM271" s="267"/>
      <c r="FN271" s="267"/>
      <c r="FO271" s="267"/>
      <c r="FP271" s="267"/>
      <c r="FQ271" s="264"/>
      <c r="FR271" s="264"/>
      <c r="FS271" s="264"/>
      <c r="FT271" s="264"/>
      <c r="FU271" s="267"/>
      <c r="FV271" s="267"/>
      <c r="FW271" s="267"/>
      <c r="FX271" s="267"/>
      <c r="FY271" s="267"/>
      <c r="GD271" s="267"/>
      <c r="GE271" s="267"/>
      <c r="GF271" s="267"/>
      <c r="GG271" s="267"/>
      <c r="GH271" s="267"/>
      <c r="GI271" s="264"/>
      <c r="GJ271" s="264"/>
      <c r="GK271" s="264"/>
      <c r="GL271" s="264"/>
      <c r="HD271" s="267"/>
      <c r="HE271" s="267"/>
      <c r="HF271" s="267"/>
      <c r="HG271" s="267"/>
      <c r="HH271" s="267"/>
      <c r="HI271" s="267"/>
      <c r="HJ271" s="267"/>
      <c r="HK271" s="267"/>
      <c r="HL271" s="267"/>
      <c r="HM271" s="267"/>
      <c r="HN271" s="267"/>
      <c r="HO271" s="267"/>
      <c r="HP271" s="267"/>
      <c r="HQ271" s="267"/>
      <c r="HR271" s="267"/>
      <c r="HS271" s="267"/>
      <c r="HT271" s="267"/>
      <c r="HU271" s="267"/>
      <c r="IH271" s="267"/>
      <c r="IK271" s="267"/>
      <c r="IN271" s="267"/>
      <c r="IQ271" s="267"/>
      <c r="IR271" s="267"/>
      <c r="IS271" s="267"/>
      <c r="IT271" s="274"/>
      <c r="IU271" s="274"/>
      <c r="IV271" s="272"/>
      <c r="IW271" s="274"/>
      <c r="IX271" s="274"/>
      <c r="IY271" s="272"/>
    </row>
    <row r="272" spans="10:259">
      <c r="J272" s="267"/>
      <c r="K272" s="267"/>
      <c r="L272" s="267"/>
      <c r="M272" s="267"/>
      <c r="N272" s="267"/>
      <c r="O272" s="267"/>
      <c r="P272" s="267"/>
      <c r="Q272" s="267"/>
      <c r="S272" s="267"/>
      <c r="T272" s="267"/>
      <c r="U272" s="267"/>
      <c r="V272" s="267"/>
      <c r="W272" s="264"/>
      <c r="Y272" s="267"/>
      <c r="Z272" s="267"/>
      <c r="AA272" s="267"/>
      <c r="AB272" s="267"/>
      <c r="AE272" s="267"/>
      <c r="AF272" s="267"/>
      <c r="AG272" s="267"/>
      <c r="AH272" s="267"/>
      <c r="AK272" s="267"/>
      <c r="AL272" s="267"/>
      <c r="AM272" s="267"/>
      <c r="AN272" s="267"/>
      <c r="AQ272" s="267"/>
      <c r="AR272" s="267"/>
      <c r="AS272" s="267"/>
      <c r="AT272" s="267"/>
      <c r="AW272" s="267"/>
      <c r="AX272" s="267"/>
      <c r="AY272" s="267"/>
      <c r="AZ272" s="267"/>
      <c r="BG272" s="269"/>
      <c r="BM272" s="269"/>
      <c r="BS272" s="269"/>
      <c r="BU272" s="267"/>
      <c r="BY272" s="267"/>
      <c r="CC272" s="267"/>
      <c r="CG272" s="267"/>
      <c r="CS272" s="267"/>
      <c r="CW272" s="270"/>
      <c r="CX272" s="267"/>
      <c r="DC272" s="267"/>
      <c r="DH272" s="267"/>
      <c r="DM272" s="267"/>
      <c r="DR272" s="267"/>
      <c r="DW272" s="267"/>
      <c r="EB272" s="267"/>
      <c r="EG272" s="267"/>
      <c r="EL272" s="267"/>
      <c r="EQ272" s="267"/>
      <c r="EU272" s="270"/>
      <c r="EV272" s="267"/>
      <c r="FC272" s="267"/>
      <c r="FD272" s="267"/>
      <c r="FE272" s="267"/>
      <c r="FF272" s="267"/>
      <c r="FG272" s="267"/>
      <c r="FL272" s="267"/>
      <c r="FM272" s="267"/>
      <c r="FN272" s="267"/>
      <c r="FO272" s="267"/>
      <c r="FP272" s="267"/>
      <c r="FQ272" s="264"/>
      <c r="FR272" s="264"/>
      <c r="FS272" s="264"/>
      <c r="FT272" s="264"/>
      <c r="FU272" s="267"/>
      <c r="FV272" s="267"/>
      <c r="FW272" s="267"/>
      <c r="FX272" s="267"/>
      <c r="FY272" s="267"/>
      <c r="GD272" s="267"/>
      <c r="GE272" s="267"/>
      <c r="GF272" s="267"/>
      <c r="GG272" s="267"/>
      <c r="GH272" s="267"/>
      <c r="GI272" s="264"/>
      <c r="GJ272" s="264"/>
      <c r="GK272" s="264"/>
      <c r="GL272" s="264"/>
      <c r="HD272" s="267"/>
      <c r="HE272" s="267"/>
      <c r="HF272" s="267"/>
      <c r="HG272" s="267"/>
      <c r="HH272" s="267"/>
      <c r="HI272" s="267"/>
      <c r="HJ272" s="267"/>
      <c r="HK272" s="267"/>
      <c r="HL272" s="267"/>
      <c r="HM272" s="267"/>
      <c r="HN272" s="267"/>
      <c r="HO272" s="267"/>
      <c r="HP272" s="267"/>
      <c r="HQ272" s="267"/>
      <c r="HR272" s="267"/>
      <c r="HS272" s="267"/>
      <c r="HT272" s="267"/>
      <c r="HU272" s="267"/>
      <c r="IH272" s="267"/>
      <c r="IK272" s="267"/>
      <c r="IN272" s="267"/>
      <c r="IQ272" s="267"/>
      <c r="IR272" s="267"/>
      <c r="IS272" s="267"/>
      <c r="IT272" s="274"/>
      <c r="IU272" s="274"/>
      <c r="IV272" s="272"/>
      <c r="IW272" s="274"/>
      <c r="IX272" s="274"/>
      <c r="IY272" s="272"/>
    </row>
    <row r="273" spans="10:259">
      <c r="J273" s="267"/>
      <c r="K273" s="267"/>
      <c r="L273" s="267"/>
      <c r="M273" s="267"/>
      <c r="N273" s="267"/>
      <c r="O273" s="267"/>
      <c r="P273" s="267"/>
      <c r="Q273" s="267"/>
      <c r="S273" s="267"/>
      <c r="T273" s="267"/>
      <c r="U273" s="267"/>
      <c r="V273" s="267"/>
      <c r="W273" s="264"/>
      <c r="Y273" s="267"/>
      <c r="Z273" s="267"/>
      <c r="AA273" s="267"/>
      <c r="AB273" s="267"/>
      <c r="AE273" s="267"/>
      <c r="AF273" s="267"/>
      <c r="AG273" s="267"/>
      <c r="AH273" s="267"/>
      <c r="AK273" s="267"/>
      <c r="AL273" s="267"/>
      <c r="AM273" s="267"/>
      <c r="AN273" s="267"/>
      <c r="AQ273" s="267"/>
      <c r="AR273" s="267"/>
      <c r="AS273" s="267"/>
      <c r="AT273" s="267"/>
      <c r="AW273" s="267"/>
      <c r="AX273" s="267"/>
      <c r="AY273" s="267"/>
      <c r="AZ273" s="267"/>
      <c r="BG273" s="269"/>
      <c r="BM273" s="269"/>
      <c r="BS273" s="269"/>
      <c r="BU273" s="267"/>
      <c r="BY273" s="267"/>
      <c r="CC273" s="267"/>
      <c r="CG273" s="267"/>
      <c r="CS273" s="267"/>
      <c r="CW273" s="270"/>
      <c r="CX273" s="267"/>
      <c r="DC273" s="267"/>
      <c r="DH273" s="267"/>
      <c r="DM273" s="267"/>
      <c r="DR273" s="267"/>
      <c r="DW273" s="267"/>
      <c r="EB273" s="267"/>
      <c r="EG273" s="267"/>
      <c r="EL273" s="267"/>
      <c r="EQ273" s="267"/>
      <c r="EU273" s="270"/>
      <c r="EV273" s="267"/>
      <c r="FC273" s="267"/>
      <c r="FD273" s="267"/>
      <c r="FE273" s="267"/>
      <c r="FF273" s="267"/>
      <c r="FG273" s="267"/>
      <c r="FL273" s="267"/>
      <c r="FM273" s="267"/>
      <c r="FN273" s="267"/>
      <c r="FO273" s="267"/>
      <c r="FP273" s="267"/>
      <c r="FQ273" s="264"/>
      <c r="FR273" s="264"/>
      <c r="FS273" s="264"/>
      <c r="FT273" s="264"/>
      <c r="FU273" s="267"/>
      <c r="FV273" s="267"/>
      <c r="FW273" s="267"/>
      <c r="FX273" s="267"/>
      <c r="FY273" s="267"/>
      <c r="GD273" s="267"/>
      <c r="GE273" s="267"/>
      <c r="GF273" s="267"/>
      <c r="GG273" s="267"/>
      <c r="GH273" s="267"/>
      <c r="GI273" s="264"/>
      <c r="GJ273" s="264"/>
      <c r="GK273" s="264"/>
      <c r="GL273" s="264"/>
      <c r="HD273" s="267"/>
      <c r="HE273" s="267"/>
      <c r="HF273" s="267"/>
      <c r="HG273" s="267"/>
      <c r="HH273" s="267"/>
      <c r="HI273" s="267"/>
      <c r="HJ273" s="267"/>
      <c r="HK273" s="267"/>
      <c r="HL273" s="267"/>
      <c r="HM273" s="267"/>
      <c r="HN273" s="267"/>
      <c r="HO273" s="267"/>
      <c r="HP273" s="267"/>
      <c r="HQ273" s="267"/>
      <c r="HR273" s="267"/>
      <c r="HS273" s="267"/>
      <c r="HT273" s="267"/>
      <c r="HU273" s="267"/>
      <c r="IH273" s="267"/>
      <c r="IK273" s="267"/>
      <c r="IN273" s="267"/>
      <c r="IQ273" s="267"/>
      <c r="IR273" s="267"/>
      <c r="IS273" s="267"/>
      <c r="IT273" s="274"/>
      <c r="IU273" s="274"/>
      <c r="IV273" s="272"/>
      <c r="IW273" s="274"/>
      <c r="IX273" s="274"/>
      <c r="IY273" s="272"/>
    </row>
    <row r="274" spans="10:259">
      <c r="J274" s="267"/>
      <c r="K274" s="267"/>
      <c r="L274" s="267"/>
      <c r="M274" s="267"/>
      <c r="N274" s="267"/>
      <c r="O274" s="267"/>
      <c r="P274" s="267"/>
      <c r="Q274" s="267"/>
      <c r="S274" s="267"/>
      <c r="T274" s="267"/>
      <c r="U274" s="267"/>
      <c r="V274" s="267"/>
      <c r="W274" s="264"/>
      <c r="Y274" s="267"/>
      <c r="Z274" s="267"/>
      <c r="AA274" s="267"/>
      <c r="AB274" s="267"/>
      <c r="AE274" s="267"/>
      <c r="AF274" s="267"/>
      <c r="AG274" s="267"/>
      <c r="AH274" s="267"/>
      <c r="AK274" s="267"/>
      <c r="AL274" s="267"/>
      <c r="AM274" s="267"/>
      <c r="AN274" s="267"/>
      <c r="AQ274" s="267"/>
      <c r="AR274" s="267"/>
      <c r="AS274" s="267"/>
      <c r="AT274" s="267"/>
      <c r="AW274" s="267"/>
      <c r="AX274" s="267"/>
      <c r="AY274" s="267"/>
      <c r="AZ274" s="267"/>
      <c r="BG274" s="269"/>
      <c r="BM274" s="269"/>
      <c r="BS274" s="269"/>
      <c r="BU274" s="267"/>
      <c r="BY274" s="267"/>
      <c r="CC274" s="267"/>
      <c r="CG274" s="267"/>
      <c r="CS274" s="267"/>
      <c r="CW274" s="270"/>
      <c r="CX274" s="267"/>
      <c r="DC274" s="267"/>
      <c r="DH274" s="267"/>
      <c r="DM274" s="267"/>
      <c r="DR274" s="267"/>
      <c r="DW274" s="267"/>
      <c r="EB274" s="267"/>
      <c r="EG274" s="267"/>
      <c r="EL274" s="267"/>
      <c r="EQ274" s="267"/>
      <c r="EU274" s="270"/>
      <c r="EV274" s="267"/>
      <c r="FC274" s="267"/>
      <c r="FD274" s="267"/>
      <c r="FE274" s="267"/>
      <c r="FF274" s="267"/>
      <c r="FG274" s="267"/>
      <c r="FL274" s="267"/>
      <c r="FM274" s="267"/>
      <c r="FN274" s="267"/>
      <c r="FO274" s="267"/>
      <c r="FP274" s="267"/>
      <c r="FQ274" s="264"/>
      <c r="FR274" s="264"/>
      <c r="FS274" s="264"/>
      <c r="FT274" s="264"/>
      <c r="FU274" s="267"/>
      <c r="FV274" s="267"/>
      <c r="FW274" s="267"/>
      <c r="FX274" s="267"/>
      <c r="FY274" s="267"/>
      <c r="GD274" s="267"/>
      <c r="GE274" s="267"/>
      <c r="GF274" s="267"/>
      <c r="GG274" s="267"/>
      <c r="GH274" s="267"/>
      <c r="GI274" s="264"/>
      <c r="GJ274" s="264"/>
      <c r="GK274" s="264"/>
      <c r="GL274" s="264"/>
      <c r="HD274" s="267"/>
      <c r="HE274" s="267"/>
      <c r="HF274" s="267"/>
      <c r="HG274" s="267"/>
      <c r="HH274" s="267"/>
      <c r="HI274" s="267"/>
      <c r="HJ274" s="267"/>
      <c r="HK274" s="267"/>
      <c r="HL274" s="267"/>
      <c r="HM274" s="267"/>
      <c r="HN274" s="267"/>
      <c r="HO274" s="267"/>
      <c r="HP274" s="267"/>
      <c r="HQ274" s="267"/>
      <c r="HR274" s="267"/>
      <c r="HS274" s="267"/>
      <c r="HT274" s="267"/>
      <c r="HU274" s="267"/>
      <c r="IH274" s="267"/>
      <c r="IK274" s="267"/>
      <c r="IN274" s="267"/>
      <c r="IQ274" s="267"/>
      <c r="IR274" s="267"/>
      <c r="IS274" s="267"/>
      <c r="IT274" s="274"/>
      <c r="IU274" s="274"/>
      <c r="IV274" s="272"/>
      <c r="IW274" s="274"/>
      <c r="IX274" s="274"/>
      <c r="IY274" s="272"/>
    </row>
    <row r="275" spans="10:259">
      <c r="J275" s="267"/>
      <c r="K275" s="267"/>
      <c r="L275" s="267"/>
      <c r="M275" s="267"/>
      <c r="N275" s="267"/>
      <c r="O275" s="267"/>
      <c r="P275" s="267"/>
      <c r="Q275" s="267"/>
      <c r="S275" s="267"/>
      <c r="T275" s="267"/>
      <c r="U275" s="267"/>
      <c r="V275" s="267"/>
      <c r="W275" s="264"/>
      <c r="Y275" s="267"/>
      <c r="Z275" s="267"/>
      <c r="AA275" s="267"/>
      <c r="AB275" s="267"/>
      <c r="AE275" s="267"/>
      <c r="AF275" s="267"/>
      <c r="AG275" s="267"/>
      <c r="AH275" s="267"/>
      <c r="AK275" s="267"/>
      <c r="AL275" s="267"/>
      <c r="AM275" s="267"/>
      <c r="AN275" s="267"/>
      <c r="AQ275" s="267"/>
      <c r="AR275" s="267"/>
      <c r="AS275" s="267"/>
      <c r="AT275" s="267"/>
      <c r="AW275" s="267"/>
      <c r="AX275" s="267"/>
      <c r="AY275" s="267"/>
      <c r="AZ275" s="267"/>
      <c r="BG275" s="269"/>
      <c r="BM275" s="269"/>
      <c r="BS275" s="269"/>
      <c r="BU275" s="267"/>
      <c r="BY275" s="267"/>
      <c r="CC275" s="267"/>
      <c r="CG275" s="267"/>
      <c r="CS275" s="267"/>
      <c r="CW275" s="270"/>
      <c r="CX275" s="267"/>
      <c r="DC275" s="267"/>
      <c r="DH275" s="267"/>
      <c r="DM275" s="267"/>
      <c r="DR275" s="267"/>
      <c r="DW275" s="267"/>
      <c r="EB275" s="267"/>
      <c r="EG275" s="267"/>
      <c r="EL275" s="267"/>
      <c r="EQ275" s="267"/>
      <c r="EU275" s="270"/>
      <c r="EV275" s="267"/>
      <c r="FC275" s="267"/>
      <c r="FD275" s="267"/>
      <c r="FE275" s="267"/>
      <c r="FF275" s="267"/>
      <c r="FG275" s="267"/>
      <c r="FL275" s="267"/>
      <c r="FM275" s="267"/>
      <c r="FN275" s="267"/>
      <c r="FO275" s="267"/>
      <c r="FP275" s="267"/>
      <c r="FQ275" s="264"/>
      <c r="FR275" s="264"/>
      <c r="FS275" s="264"/>
      <c r="FT275" s="264"/>
      <c r="FU275" s="267"/>
      <c r="FV275" s="267"/>
      <c r="FW275" s="267"/>
      <c r="FX275" s="267"/>
      <c r="FY275" s="267"/>
      <c r="GD275" s="267"/>
      <c r="GE275" s="267"/>
      <c r="GF275" s="267"/>
      <c r="GG275" s="267"/>
      <c r="GH275" s="267"/>
      <c r="GI275" s="264"/>
      <c r="GJ275" s="264"/>
      <c r="GK275" s="264"/>
      <c r="GL275" s="264"/>
      <c r="HD275" s="267"/>
      <c r="HE275" s="267"/>
      <c r="HF275" s="267"/>
      <c r="HG275" s="267"/>
      <c r="HH275" s="267"/>
      <c r="HI275" s="267"/>
      <c r="HJ275" s="267"/>
      <c r="HK275" s="267"/>
      <c r="HL275" s="267"/>
      <c r="HM275" s="267"/>
      <c r="HN275" s="267"/>
      <c r="HO275" s="267"/>
      <c r="HP275" s="267"/>
      <c r="HQ275" s="267"/>
      <c r="HR275" s="267"/>
      <c r="HS275" s="267"/>
      <c r="HT275" s="267"/>
      <c r="HU275" s="267"/>
      <c r="IH275" s="267"/>
      <c r="IK275" s="267"/>
      <c r="IN275" s="267"/>
      <c r="IQ275" s="267"/>
      <c r="IR275" s="267"/>
      <c r="IS275" s="267"/>
      <c r="IT275" s="274"/>
      <c r="IU275" s="274"/>
      <c r="IV275" s="272"/>
      <c r="IW275" s="274"/>
      <c r="IX275" s="274"/>
      <c r="IY275" s="272"/>
    </row>
    <row r="276" spans="10:259">
      <c r="J276" s="267"/>
      <c r="K276" s="267"/>
      <c r="L276" s="267"/>
      <c r="M276" s="267"/>
      <c r="N276" s="267"/>
      <c r="O276" s="267"/>
      <c r="P276" s="267"/>
      <c r="Q276" s="267"/>
      <c r="S276" s="267"/>
      <c r="T276" s="267"/>
      <c r="U276" s="267"/>
      <c r="V276" s="267"/>
      <c r="W276" s="264"/>
      <c r="Y276" s="267"/>
      <c r="Z276" s="267"/>
      <c r="AA276" s="267"/>
      <c r="AB276" s="267"/>
      <c r="AE276" s="267"/>
      <c r="AF276" s="267"/>
      <c r="AG276" s="267"/>
      <c r="AH276" s="267"/>
      <c r="AK276" s="267"/>
      <c r="AL276" s="267"/>
      <c r="AM276" s="267"/>
      <c r="AN276" s="267"/>
      <c r="AQ276" s="267"/>
      <c r="AR276" s="267"/>
      <c r="AS276" s="267"/>
      <c r="AT276" s="267"/>
      <c r="AW276" s="267"/>
      <c r="AX276" s="267"/>
      <c r="AY276" s="267"/>
      <c r="AZ276" s="267"/>
      <c r="BG276" s="269"/>
      <c r="BM276" s="269"/>
      <c r="BS276" s="269"/>
      <c r="BU276" s="267"/>
      <c r="BY276" s="267"/>
      <c r="CC276" s="267"/>
      <c r="CG276" s="267"/>
      <c r="CS276" s="267"/>
      <c r="CW276" s="270"/>
      <c r="CX276" s="267"/>
      <c r="DC276" s="267"/>
      <c r="DH276" s="267"/>
      <c r="DM276" s="267"/>
      <c r="DR276" s="267"/>
      <c r="DW276" s="267"/>
      <c r="EB276" s="267"/>
      <c r="EG276" s="267"/>
      <c r="EL276" s="267"/>
      <c r="EQ276" s="267"/>
      <c r="EU276" s="270"/>
      <c r="EV276" s="267"/>
      <c r="FC276" s="267"/>
      <c r="FD276" s="267"/>
      <c r="FE276" s="267"/>
      <c r="FF276" s="267"/>
      <c r="FG276" s="267"/>
      <c r="FL276" s="267"/>
      <c r="FM276" s="267"/>
      <c r="FN276" s="267"/>
      <c r="FO276" s="267"/>
      <c r="FP276" s="267"/>
      <c r="FQ276" s="264"/>
      <c r="FR276" s="264"/>
      <c r="FS276" s="264"/>
      <c r="FT276" s="264"/>
      <c r="FU276" s="267"/>
      <c r="FV276" s="267"/>
      <c r="FW276" s="267"/>
      <c r="FX276" s="267"/>
      <c r="FY276" s="267"/>
      <c r="GD276" s="267"/>
      <c r="GE276" s="267"/>
      <c r="GF276" s="267"/>
      <c r="GG276" s="267"/>
      <c r="GH276" s="267"/>
      <c r="GI276" s="264"/>
      <c r="GJ276" s="264"/>
      <c r="GK276" s="264"/>
      <c r="GL276" s="264"/>
      <c r="HD276" s="267"/>
      <c r="HE276" s="267"/>
      <c r="HF276" s="267"/>
      <c r="HG276" s="267"/>
      <c r="HH276" s="267"/>
      <c r="HI276" s="267"/>
      <c r="HJ276" s="267"/>
      <c r="HK276" s="267"/>
      <c r="HL276" s="267"/>
      <c r="HM276" s="267"/>
      <c r="HN276" s="267"/>
      <c r="HO276" s="267"/>
      <c r="HP276" s="267"/>
      <c r="HQ276" s="267"/>
      <c r="HR276" s="267"/>
      <c r="HS276" s="267"/>
      <c r="HT276" s="267"/>
      <c r="HU276" s="267"/>
      <c r="IH276" s="267"/>
      <c r="IK276" s="267"/>
      <c r="IN276" s="267"/>
      <c r="IQ276" s="267"/>
      <c r="IR276" s="267"/>
      <c r="IS276" s="267"/>
      <c r="IT276" s="274"/>
      <c r="IU276" s="274"/>
      <c r="IV276" s="272"/>
      <c r="IW276" s="274"/>
      <c r="IX276" s="274"/>
      <c r="IY276" s="272"/>
    </row>
    <row r="277" spans="10:259">
      <c r="J277" s="267"/>
      <c r="K277" s="267"/>
      <c r="L277" s="267"/>
      <c r="M277" s="267"/>
      <c r="N277" s="267"/>
      <c r="O277" s="267"/>
      <c r="P277" s="267"/>
      <c r="Q277" s="267"/>
      <c r="S277" s="267"/>
      <c r="T277" s="267"/>
      <c r="U277" s="267"/>
      <c r="V277" s="267"/>
      <c r="W277" s="264"/>
      <c r="Y277" s="267"/>
      <c r="Z277" s="267"/>
      <c r="AA277" s="267"/>
      <c r="AB277" s="267"/>
      <c r="AE277" s="267"/>
      <c r="AF277" s="267"/>
      <c r="AG277" s="267"/>
      <c r="AH277" s="267"/>
      <c r="AK277" s="267"/>
      <c r="AL277" s="267"/>
      <c r="AM277" s="267"/>
      <c r="AN277" s="267"/>
      <c r="AQ277" s="267"/>
      <c r="AR277" s="267"/>
      <c r="AS277" s="267"/>
      <c r="AT277" s="267"/>
      <c r="AW277" s="267"/>
      <c r="AX277" s="267"/>
      <c r="AY277" s="267"/>
      <c r="AZ277" s="267"/>
      <c r="BG277" s="269"/>
      <c r="BM277" s="269"/>
      <c r="BS277" s="269"/>
      <c r="BU277" s="267"/>
      <c r="BY277" s="267"/>
      <c r="CC277" s="267"/>
      <c r="CG277" s="267"/>
      <c r="CS277" s="267"/>
      <c r="CW277" s="270"/>
      <c r="CX277" s="267"/>
      <c r="DC277" s="267"/>
      <c r="DH277" s="267"/>
      <c r="DM277" s="267"/>
      <c r="DR277" s="267"/>
      <c r="DW277" s="267"/>
      <c r="EB277" s="267"/>
      <c r="EG277" s="267"/>
      <c r="EL277" s="267"/>
      <c r="EQ277" s="267"/>
      <c r="EU277" s="270"/>
      <c r="EV277" s="267"/>
      <c r="FC277" s="267"/>
      <c r="FD277" s="267"/>
      <c r="FE277" s="267"/>
      <c r="FF277" s="267"/>
      <c r="FG277" s="267"/>
      <c r="FL277" s="267"/>
      <c r="FM277" s="267"/>
      <c r="FN277" s="267"/>
      <c r="FO277" s="267"/>
      <c r="FP277" s="267"/>
      <c r="FQ277" s="264"/>
      <c r="FR277" s="264"/>
      <c r="FS277" s="264"/>
      <c r="FT277" s="264"/>
      <c r="FU277" s="267"/>
      <c r="FV277" s="267"/>
      <c r="FW277" s="267"/>
      <c r="FX277" s="267"/>
      <c r="FY277" s="267"/>
      <c r="GD277" s="267"/>
      <c r="GE277" s="267"/>
      <c r="GF277" s="267"/>
      <c r="GG277" s="267"/>
      <c r="GH277" s="267"/>
      <c r="GI277" s="264"/>
      <c r="GJ277" s="264"/>
      <c r="GK277" s="264"/>
      <c r="GL277" s="264"/>
      <c r="HD277" s="267"/>
      <c r="HE277" s="267"/>
      <c r="HF277" s="267"/>
      <c r="HG277" s="267"/>
      <c r="HH277" s="267"/>
      <c r="HI277" s="267"/>
      <c r="HJ277" s="267"/>
      <c r="HK277" s="267"/>
      <c r="HL277" s="267"/>
      <c r="HM277" s="267"/>
      <c r="HN277" s="267"/>
      <c r="HO277" s="267"/>
      <c r="HP277" s="267"/>
      <c r="HQ277" s="267"/>
      <c r="HR277" s="267"/>
      <c r="HS277" s="267"/>
      <c r="HT277" s="267"/>
      <c r="HU277" s="267"/>
      <c r="IH277" s="267"/>
      <c r="IK277" s="267"/>
      <c r="IN277" s="267"/>
      <c r="IQ277" s="267"/>
      <c r="IR277" s="267"/>
      <c r="IS277" s="267"/>
      <c r="IT277" s="274"/>
      <c r="IU277" s="274"/>
      <c r="IV277" s="272"/>
      <c r="IW277" s="274"/>
      <c r="IX277" s="274"/>
      <c r="IY277" s="272"/>
    </row>
    <row r="278" spans="10:259">
      <c r="J278" s="267"/>
      <c r="K278" s="267"/>
      <c r="L278" s="267"/>
      <c r="M278" s="267"/>
      <c r="N278" s="267"/>
      <c r="O278" s="267"/>
      <c r="P278" s="267"/>
      <c r="Q278" s="267"/>
      <c r="S278" s="267"/>
      <c r="T278" s="267"/>
      <c r="U278" s="267"/>
      <c r="V278" s="267"/>
      <c r="W278" s="264"/>
      <c r="Y278" s="267"/>
      <c r="Z278" s="267"/>
      <c r="AA278" s="267"/>
      <c r="AB278" s="267"/>
      <c r="AE278" s="267"/>
      <c r="AF278" s="267"/>
      <c r="AG278" s="267"/>
      <c r="AH278" s="267"/>
      <c r="AK278" s="267"/>
      <c r="AL278" s="267"/>
      <c r="AM278" s="267"/>
      <c r="AN278" s="267"/>
      <c r="AQ278" s="267"/>
      <c r="AR278" s="267"/>
      <c r="AS278" s="267"/>
      <c r="AT278" s="267"/>
      <c r="AW278" s="267"/>
      <c r="AX278" s="267"/>
      <c r="AY278" s="267"/>
      <c r="AZ278" s="267"/>
      <c r="BG278" s="269"/>
      <c r="BM278" s="269"/>
      <c r="BS278" s="269"/>
      <c r="BU278" s="267"/>
      <c r="BY278" s="267"/>
      <c r="CC278" s="267"/>
      <c r="CG278" s="267"/>
      <c r="CS278" s="267"/>
      <c r="CW278" s="270"/>
      <c r="CX278" s="267"/>
      <c r="DC278" s="267"/>
      <c r="DH278" s="267"/>
      <c r="DM278" s="267"/>
      <c r="DR278" s="267"/>
      <c r="DW278" s="267"/>
      <c r="EB278" s="267"/>
      <c r="EG278" s="267"/>
      <c r="EL278" s="267"/>
      <c r="EQ278" s="267"/>
      <c r="EU278" s="270"/>
      <c r="EV278" s="267"/>
      <c r="FC278" s="267"/>
      <c r="FD278" s="267"/>
      <c r="FE278" s="267"/>
      <c r="FF278" s="267"/>
      <c r="FG278" s="267"/>
      <c r="FL278" s="267"/>
      <c r="FM278" s="267"/>
      <c r="FN278" s="267"/>
      <c r="FO278" s="267"/>
      <c r="FP278" s="267"/>
      <c r="FQ278" s="264"/>
      <c r="FR278" s="264"/>
      <c r="FS278" s="264"/>
      <c r="FT278" s="264"/>
      <c r="FU278" s="267"/>
      <c r="FV278" s="267"/>
      <c r="FW278" s="267"/>
      <c r="FX278" s="267"/>
      <c r="FY278" s="267"/>
      <c r="GD278" s="267"/>
      <c r="GE278" s="267"/>
      <c r="GF278" s="267"/>
      <c r="GG278" s="267"/>
      <c r="GH278" s="267"/>
      <c r="GI278" s="264"/>
      <c r="GJ278" s="264"/>
      <c r="GK278" s="264"/>
      <c r="GL278" s="264"/>
      <c r="HD278" s="267"/>
      <c r="HE278" s="267"/>
      <c r="HF278" s="267"/>
      <c r="HG278" s="267"/>
      <c r="HH278" s="267"/>
      <c r="HI278" s="267"/>
      <c r="HJ278" s="267"/>
      <c r="HK278" s="267"/>
      <c r="HL278" s="267"/>
      <c r="HM278" s="267"/>
      <c r="HN278" s="267"/>
      <c r="HO278" s="267"/>
      <c r="HP278" s="267"/>
      <c r="HQ278" s="267"/>
      <c r="HR278" s="267"/>
      <c r="HS278" s="267"/>
      <c r="HT278" s="267"/>
      <c r="HU278" s="267"/>
      <c r="IH278" s="267"/>
      <c r="IK278" s="267"/>
      <c r="IN278" s="267"/>
      <c r="IQ278" s="267"/>
      <c r="IR278" s="267"/>
      <c r="IS278" s="267"/>
      <c r="IT278" s="274"/>
      <c r="IU278" s="274"/>
      <c r="IV278" s="272"/>
      <c r="IW278" s="274"/>
      <c r="IX278" s="274"/>
      <c r="IY278" s="272"/>
    </row>
    <row r="279" spans="10:259">
      <c r="J279" s="267"/>
      <c r="K279" s="267"/>
      <c r="L279" s="267"/>
      <c r="M279" s="267"/>
      <c r="N279" s="267"/>
      <c r="O279" s="267"/>
      <c r="P279" s="267"/>
      <c r="Q279" s="267"/>
      <c r="S279" s="267"/>
      <c r="T279" s="267"/>
      <c r="U279" s="267"/>
      <c r="V279" s="267"/>
      <c r="W279" s="264"/>
      <c r="Y279" s="267"/>
      <c r="Z279" s="267"/>
      <c r="AA279" s="267"/>
      <c r="AB279" s="267"/>
      <c r="AE279" s="267"/>
      <c r="AF279" s="267"/>
      <c r="AG279" s="267"/>
      <c r="AH279" s="267"/>
      <c r="AK279" s="267"/>
      <c r="AL279" s="267"/>
      <c r="AM279" s="267"/>
      <c r="AN279" s="267"/>
      <c r="AQ279" s="267"/>
      <c r="AR279" s="267"/>
      <c r="AS279" s="267"/>
      <c r="AT279" s="267"/>
      <c r="AW279" s="267"/>
      <c r="AX279" s="267"/>
      <c r="AY279" s="267"/>
      <c r="AZ279" s="267"/>
      <c r="BG279" s="269"/>
      <c r="BM279" s="269"/>
      <c r="BS279" s="269"/>
      <c r="BU279" s="267"/>
      <c r="BY279" s="267"/>
      <c r="CC279" s="267"/>
      <c r="CG279" s="267"/>
      <c r="CS279" s="267"/>
      <c r="CW279" s="270"/>
      <c r="CX279" s="267"/>
      <c r="DC279" s="267"/>
      <c r="DH279" s="267"/>
      <c r="DM279" s="267"/>
      <c r="DR279" s="267"/>
      <c r="DW279" s="267"/>
      <c r="EB279" s="267"/>
      <c r="EG279" s="267"/>
      <c r="EL279" s="267"/>
      <c r="EQ279" s="267"/>
      <c r="EU279" s="270"/>
      <c r="EV279" s="267"/>
      <c r="FC279" s="267"/>
      <c r="FD279" s="267"/>
      <c r="FE279" s="267"/>
      <c r="FF279" s="267"/>
      <c r="FG279" s="267"/>
      <c r="FL279" s="267"/>
      <c r="FM279" s="267"/>
      <c r="FN279" s="267"/>
      <c r="FO279" s="267"/>
      <c r="FP279" s="267"/>
      <c r="FQ279" s="264"/>
      <c r="FR279" s="264"/>
      <c r="FS279" s="264"/>
      <c r="FT279" s="264"/>
      <c r="FU279" s="267"/>
      <c r="FV279" s="267"/>
      <c r="FW279" s="267"/>
      <c r="FX279" s="267"/>
      <c r="FY279" s="267"/>
      <c r="GD279" s="267"/>
      <c r="GE279" s="267"/>
      <c r="GF279" s="267"/>
      <c r="GG279" s="267"/>
      <c r="GH279" s="267"/>
      <c r="GI279" s="264"/>
      <c r="GJ279" s="264"/>
      <c r="GK279" s="264"/>
      <c r="GL279" s="264"/>
      <c r="HD279" s="267"/>
      <c r="HE279" s="267"/>
      <c r="HF279" s="267"/>
      <c r="HG279" s="267"/>
      <c r="HH279" s="267"/>
      <c r="HI279" s="267"/>
      <c r="HJ279" s="267"/>
      <c r="HK279" s="267"/>
      <c r="HL279" s="267"/>
      <c r="HM279" s="267"/>
      <c r="HN279" s="267"/>
      <c r="HO279" s="267"/>
      <c r="HP279" s="267"/>
      <c r="HQ279" s="267"/>
      <c r="HR279" s="267"/>
      <c r="HS279" s="267"/>
      <c r="HT279" s="267"/>
      <c r="HU279" s="267"/>
      <c r="IH279" s="267"/>
      <c r="IK279" s="267"/>
      <c r="IN279" s="267"/>
      <c r="IQ279" s="267"/>
      <c r="IR279" s="267"/>
      <c r="IS279" s="267"/>
      <c r="IT279" s="274"/>
      <c r="IU279" s="274"/>
      <c r="IV279" s="272"/>
      <c r="IW279" s="274"/>
      <c r="IX279" s="274"/>
      <c r="IY279" s="272"/>
    </row>
    <row r="280" spans="10:259">
      <c r="J280" s="267"/>
      <c r="K280" s="267"/>
      <c r="L280" s="267"/>
      <c r="M280" s="267"/>
      <c r="N280" s="267"/>
      <c r="O280" s="267"/>
      <c r="P280" s="267"/>
      <c r="Q280" s="267"/>
      <c r="S280" s="267"/>
      <c r="T280" s="267"/>
      <c r="U280" s="267"/>
      <c r="V280" s="267"/>
      <c r="W280" s="264"/>
      <c r="Y280" s="267"/>
      <c r="Z280" s="267"/>
      <c r="AA280" s="267"/>
      <c r="AB280" s="267"/>
      <c r="AE280" s="267"/>
      <c r="AF280" s="267"/>
      <c r="AG280" s="267"/>
      <c r="AH280" s="267"/>
      <c r="AK280" s="267"/>
      <c r="AL280" s="267"/>
      <c r="AM280" s="267"/>
      <c r="AN280" s="267"/>
      <c r="AQ280" s="267"/>
      <c r="AR280" s="267"/>
      <c r="AS280" s="267"/>
      <c r="AT280" s="267"/>
      <c r="AW280" s="267"/>
      <c r="AX280" s="267"/>
      <c r="AY280" s="267"/>
      <c r="AZ280" s="267"/>
      <c r="BG280" s="269"/>
      <c r="BM280" s="269"/>
      <c r="BS280" s="269"/>
      <c r="BU280" s="267"/>
      <c r="BY280" s="267"/>
      <c r="CC280" s="267"/>
      <c r="CG280" s="267"/>
      <c r="CS280" s="267"/>
      <c r="CW280" s="270"/>
      <c r="CX280" s="267"/>
      <c r="DC280" s="267"/>
      <c r="DH280" s="267"/>
      <c r="DM280" s="267"/>
      <c r="DR280" s="267"/>
      <c r="DW280" s="267"/>
      <c r="EB280" s="267"/>
      <c r="EG280" s="267"/>
      <c r="EL280" s="267"/>
      <c r="EQ280" s="267"/>
      <c r="EU280" s="270"/>
      <c r="EV280" s="267"/>
      <c r="FC280" s="267"/>
      <c r="FD280" s="267"/>
      <c r="FE280" s="267"/>
      <c r="FF280" s="267"/>
      <c r="FG280" s="267"/>
      <c r="FL280" s="267"/>
      <c r="FM280" s="267"/>
      <c r="FN280" s="267"/>
      <c r="FO280" s="267"/>
      <c r="FP280" s="267"/>
      <c r="FQ280" s="264"/>
      <c r="FR280" s="264"/>
      <c r="FS280" s="264"/>
      <c r="FT280" s="264"/>
      <c r="FU280" s="267"/>
      <c r="FV280" s="267"/>
      <c r="FW280" s="267"/>
      <c r="FX280" s="267"/>
      <c r="FY280" s="267"/>
      <c r="GD280" s="267"/>
      <c r="GE280" s="267"/>
      <c r="GF280" s="267"/>
      <c r="GG280" s="267"/>
      <c r="GH280" s="267"/>
      <c r="GI280" s="264"/>
      <c r="GJ280" s="264"/>
      <c r="GK280" s="264"/>
      <c r="GL280" s="264"/>
      <c r="HD280" s="267"/>
      <c r="HE280" s="267"/>
      <c r="HF280" s="267"/>
      <c r="HG280" s="267"/>
      <c r="HH280" s="267"/>
      <c r="HI280" s="267"/>
      <c r="HJ280" s="267"/>
      <c r="HK280" s="267"/>
      <c r="HL280" s="267"/>
      <c r="HM280" s="267"/>
      <c r="HN280" s="267"/>
      <c r="HO280" s="267"/>
      <c r="HP280" s="267"/>
      <c r="HQ280" s="267"/>
      <c r="HR280" s="267"/>
      <c r="HS280" s="267"/>
      <c r="HT280" s="267"/>
      <c r="HU280" s="267"/>
      <c r="IH280" s="267"/>
      <c r="IK280" s="267"/>
      <c r="IN280" s="267"/>
      <c r="IQ280" s="267"/>
      <c r="IR280" s="267"/>
      <c r="IS280" s="267"/>
      <c r="IT280" s="274"/>
      <c r="IU280" s="274"/>
      <c r="IV280" s="272"/>
      <c r="IW280" s="274"/>
      <c r="IX280" s="274"/>
      <c r="IY280" s="272"/>
    </row>
    <row r="281" spans="10:259">
      <c r="J281" s="267"/>
      <c r="K281" s="267"/>
      <c r="L281" s="267"/>
      <c r="M281" s="267"/>
      <c r="N281" s="267"/>
      <c r="O281" s="267"/>
      <c r="P281" s="267"/>
      <c r="Q281" s="267"/>
      <c r="S281" s="267"/>
      <c r="T281" s="267"/>
      <c r="U281" s="267"/>
      <c r="V281" s="267"/>
      <c r="W281" s="264"/>
      <c r="Y281" s="267"/>
      <c r="Z281" s="267"/>
      <c r="AA281" s="267"/>
      <c r="AB281" s="267"/>
      <c r="AE281" s="267"/>
      <c r="AF281" s="267"/>
      <c r="AG281" s="267"/>
      <c r="AH281" s="267"/>
      <c r="AK281" s="267"/>
      <c r="AL281" s="267"/>
      <c r="AM281" s="267"/>
      <c r="AN281" s="267"/>
      <c r="AQ281" s="267"/>
      <c r="AR281" s="267"/>
      <c r="AS281" s="267"/>
      <c r="AT281" s="267"/>
      <c r="AW281" s="267"/>
      <c r="AX281" s="267"/>
      <c r="AY281" s="267"/>
      <c r="AZ281" s="267"/>
      <c r="BG281" s="269"/>
      <c r="BM281" s="269"/>
      <c r="BS281" s="269"/>
      <c r="BU281" s="267"/>
      <c r="BY281" s="267"/>
      <c r="CC281" s="267"/>
      <c r="CG281" s="267"/>
      <c r="CS281" s="267"/>
      <c r="CW281" s="270"/>
      <c r="CX281" s="267"/>
      <c r="DC281" s="267"/>
      <c r="DH281" s="267"/>
      <c r="DM281" s="267"/>
      <c r="DR281" s="267"/>
      <c r="DW281" s="267"/>
      <c r="EB281" s="267"/>
      <c r="EG281" s="267"/>
      <c r="EL281" s="267"/>
      <c r="EQ281" s="267"/>
      <c r="EU281" s="270"/>
      <c r="EV281" s="267"/>
      <c r="FC281" s="267"/>
      <c r="FD281" s="267"/>
      <c r="FE281" s="267"/>
      <c r="FF281" s="267"/>
      <c r="FG281" s="267"/>
      <c r="FL281" s="267"/>
      <c r="FM281" s="267"/>
      <c r="FN281" s="267"/>
      <c r="FO281" s="267"/>
      <c r="FP281" s="267"/>
      <c r="FQ281" s="264"/>
      <c r="FR281" s="264"/>
      <c r="FS281" s="264"/>
      <c r="FT281" s="264"/>
      <c r="FU281" s="267"/>
      <c r="FV281" s="267"/>
      <c r="FW281" s="267"/>
      <c r="FX281" s="267"/>
      <c r="FY281" s="267"/>
      <c r="GD281" s="267"/>
      <c r="GE281" s="267"/>
      <c r="GF281" s="267"/>
      <c r="GG281" s="267"/>
      <c r="GH281" s="267"/>
      <c r="GI281" s="264"/>
      <c r="GJ281" s="264"/>
      <c r="GK281" s="264"/>
      <c r="GL281" s="264"/>
      <c r="HD281" s="267"/>
      <c r="HE281" s="267"/>
      <c r="HF281" s="267"/>
      <c r="HG281" s="267"/>
      <c r="HH281" s="267"/>
      <c r="HI281" s="267"/>
      <c r="HJ281" s="267"/>
      <c r="HK281" s="267"/>
      <c r="HL281" s="267"/>
      <c r="HM281" s="267"/>
      <c r="HN281" s="267"/>
      <c r="HO281" s="267"/>
      <c r="HP281" s="267"/>
      <c r="HQ281" s="267"/>
      <c r="HR281" s="267"/>
      <c r="HS281" s="267"/>
      <c r="HT281" s="267"/>
      <c r="HU281" s="267"/>
      <c r="IH281" s="267"/>
      <c r="IK281" s="267"/>
      <c r="IN281" s="267"/>
      <c r="IQ281" s="267"/>
      <c r="IR281" s="267"/>
      <c r="IS281" s="267"/>
      <c r="IT281" s="274"/>
      <c r="IU281" s="274"/>
      <c r="IV281" s="272"/>
      <c r="IW281" s="274"/>
      <c r="IX281" s="274"/>
      <c r="IY281" s="272"/>
    </row>
    <row r="282" spans="10:259">
      <c r="J282" s="267"/>
      <c r="K282" s="267"/>
      <c r="L282" s="267"/>
      <c r="M282" s="267"/>
      <c r="N282" s="267"/>
      <c r="O282" s="267"/>
      <c r="P282" s="267"/>
      <c r="Q282" s="267"/>
      <c r="S282" s="267"/>
      <c r="T282" s="267"/>
      <c r="U282" s="267"/>
      <c r="V282" s="267"/>
      <c r="W282" s="264"/>
      <c r="Y282" s="267"/>
      <c r="Z282" s="267"/>
      <c r="AA282" s="267"/>
      <c r="AB282" s="267"/>
      <c r="AE282" s="267"/>
      <c r="AF282" s="267"/>
      <c r="AG282" s="267"/>
      <c r="AH282" s="267"/>
      <c r="AK282" s="267"/>
      <c r="AL282" s="267"/>
      <c r="AM282" s="267"/>
      <c r="AN282" s="267"/>
      <c r="AQ282" s="267"/>
      <c r="AR282" s="267"/>
      <c r="AS282" s="267"/>
      <c r="AT282" s="267"/>
      <c r="AW282" s="267"/>
      <c r="AX282" s="267"/>
      <c r="AY282" s="267"/>
      <c r="AZ282" s="267"/>
      <c r="BG282" s="269"/>
      <c r="BM282" s="269"/>
      <c r="BS282" s="269"/>
      <c r="BU282" s="267"/>
      <c r="BY282" s="267"/>
      <c r="CC282" s="267"/>
      <c r="CG282" s="267"/>
      <c r="CS282" s="267"/>
      <c r="CW282" s="270"/>
      <c r="CX282" s="267"/>
      <c r="DC282" s="267"/>
      <c r="DH282" s="267"/>
      <c r="DM282" s="267"/>
      <c r="DR282" s="267"/>
      <c r="DW282" s="267"/>
      <c r="EB282" s="267"/>
      <c r="EG282" s="267"/>
      <c r="EL282" s="267"/>
      <c r="EQ282" s="267"/>
      <c r="EU282" s="270"/>
      <c r="EV282" s="267"/>
      <c r="FC282" s="267"/>
      <c r="FD282" s="267"/>
      <c r="FE282" s="267"/>
      <c r="FF282" s="267"/>
      <c r="FG282" s="267"/>
      <c r="FL282" s="267"/>
      <c r="FM282" s="267"/>
      <c r="FN282" s="267"/>
      <c r="FO282" s="267"/>
      <c r="FP282" s="267"/>
      <c r="FQ282" s="264"/>
      <c r="FR282" s="264"/>
      <c r="FS282" s="264"/>
      <c r="FT282" s="264"/>
      <c r="FU282" s="267"/>
      <c r="FV282" s="267"/>
      <c r="FW282" s="267"/>
      <c r="FX282" s="267"/>
      <c r="FY282" s="267"/>
      <c r="GD282" s="267"/>
      <c r="GE282" s="267"/>
      <c r="GF282" s="267"/>
      <c r="GG282" s="267"/>
      <c r="GH282" s="267"/>
      <c r="GI282" s="264"/>
      <c r="GJ282" s="264"/>
      <c r="GK282" s="264"/>
      <c r="GL282" s="264"/>
      <c r="HD282" s="267"/>
      <c r="HE282" s="267"/>
      <c r="HF282" s="267"/>
      <c r="HG282" s="267"/>
      <c r="HH282" s="267"/>
      <c r="HI282" s="267"/>
      <c r="HJ282" s="267"/>
      <c r="HK282" s="267"/>
      <c r="HL282" s="267"/>
      <c r="HM282" s="267"/>
      <c r="HN282" s="267"/>
      <c r="HO282" s="267"/>
      <c r="HP282" s="267"/>
      <c r="HQ282" s="267"/>
      <c r="HR282" s="267"/>
      <c r="HS282" s="267"/>
      <c r="HT282" s="267"/>
      <c r="HU282" s="267"/>
      <c r="IH282" s="267"/>
      <c r="IK282" s="267"/>
      <c r="IN282" s="267"/>
      <c r="IQ282" s="267"/>
      <c r="IR282" s="267"/>
      <c r="IS282" s="267"/>
      <c r="IT282" s="274"/>
      <c r="IU282" s="274"/>
      <c r="IV282" s="272"/>
      <c r="IW282" s="274"/>
      <c r="IX282" s="274"/>
      <c r="IY282" s="272"/>
    </row>
    <row r="283" spans="10:259">
      <c r="J283" s="267"/>
      <c r="K283" s="267"/>
      <c r="L283" s="267"/>
      <c r="M283" s="267"/>
      <c r="N283" s="267"/>
      <c r="O283" s="267"/>
      <c r="P283" s="267"/>
      <c r="Q283" s="267"/>
      <c r="S283" s="267"/>
      <c r="T283" s="267"/>
      <c r="U283" s="267"/>
      <c r="V283" s="267"/>
      <c r="W283" s="264"/>
      <c r="Y283" s="267"/>
      <c r="Z283" s="267"/>
      <c r="AA283" s="267"/>
      <c r="AB283" s="267"/>
      <c r="AE283" s="267"/>
      <c r="AF283" s="267"/>
      <c r="AG283" s="267"/>
      <c r="AH283" s="267"/>
      <c r="AK283" s="267"/>
      <c r="AL283" s="267"/>
      <c r="AM283" s="267"/>
      <c r="AN283" s="267"/>
      <c r="AQ283" s="267"/>
      <c r="AR283" s="267"/>
      <c r="AS283" s="267"/>
      <c r="AT283" s="267"/>
      <c r="AW283" s="267"/>
      <c r="AX283" s="267"/>
      <c r="AY283" s="267"/>
      <c r="AZ283" s="267"/>
      <c r="BG283" s="269"/>
      <c r="BM283" s="269"/>
      <c r="BS283" s="269"/>
      <c r="BU283" s="267"/>
      <c r="BY283" s="267"/>
      <c r="CC283" s="267"/>
      <c r="CG283" s="267"/>
      <c r="CS283" s="267"/>
      <c r="CW283" s="270"/>
      <c r="CX283" s="267"/>
      <c r="DC283" s="267"/>
      <c r="DH283" s="267"/>
      <c r="DM283" s="267"/>
      <c r="DR283" s="267"/>
      <c r="DW283" s="267"/>
      <c r="EB283" s="267"/>
      <c r="EG283" s="267"/>
      <c r="EL283" s="267"/>
      <c r="EQ283" s="267"/>
      <c r="EU283" s="270"/>
      <c r="EV283" s="267"/>
      <c r="FC283" s="267"/>
      <c r="FD283" s="267"/>
      <c r="FE283" s="267"/>
      <c r="FF283" s="267"/>
      <c r="FG283" s="267"/>
      <c r="FL283" s="267"/>
      <c r="FM283" s="267"/>
      <c r="FN283" s="267"/>
      <c r="FO283" s="267"/>
      <c r="FP283" s="267"/>
      <c r="FQ283" s="264"/>
      <c r="FR283" s="264"/>
      <c r="FS283" s="264"/>
      <c r="FT283" s="264"/>
      <c r="FU283" s="267"/>
      <c r="FV283" s="267"/>
      <c r="FW283" s="267"/>
      <c r="FX283" s="267"/>
      <c r="FY283" s="267"/>
      <c r="GD283" s="267"/>
      <c r="GE283" s="267"/>
      <c r="GF283" s="267"/>
      <c r="GG283" s="267"/>
      <c r="GH283" s="267"/>
      <c r="GI283" s="264"/>
      <c r="GJ283" s="264"/>
      <c r="GK283" s="264"/>
      <c r="GL283" s="264"/>
      <c r="HD283" s="267"/>
      <c r="HE283" s="267"/>
      <c r="HF283" s="267"/>
      <c r="HG283" s="267"/>
      <c r="HH283" s="267"/>
      <c r="HI283" s="267"/>
      <c r="HJ283" s="267"/>
      <c r="HK283" s="267"/>
      <c r="HL283" s="267"/>
      <c r="HM283" s="267"/>
      <c r="HN283" s="267"/>
      <c r="HO283" s="267"/>
      <c r="HP283" s="267"/>
      <c r="HQ283" s="267"/>
      <c r="HR283" s="267"/>
      <c r="HS283" s="267"/>
      <c r="HT283" s="267"/>
      <c r="HU283" s="267"/>
      <c r="IH283" s="267"/>
      <c r="IK283" s="267"/>
      <c r="IN283" s="267"/>
      <c r="IQ283" s="267"/>
      <c r="IR283" s="267"/>
      <c r="IS283" s="267"/>
      <c r="IT283" s="274"/>
      <c r="IU283" s="274"/>
      <c r="IV283" s="272"/>
      <c r="IW283" s="274"/>
      <c r="IX283" s="274"/>
      <c r="IY283" s="272"/>
    </row>
    <row r="284" spans="10:259">
      <c r="J284" s="267"/>
      <c r="K284" s="267"/>
      <c r="L284" s="267"/>
      <c r="M284" s="267"/>
      <c r="N284" s="267"/>
      <c r="O284" s="267"/>
      <c r="P284" s="267"/>
      <c r="Q284" s="267"/>
      <c r="S284" s="267"/>
      <c r="T284" s="267"/>
      <c r="U284" s="267"/>
      <c r="V284" s="267"/>
      <c r="W284" s="264"/>
      <c r="Y284" s="267"/>
      <c r="Z284" s="267"/>
      <c r="AA284" s="267"/>
      <c r="AB284" s="267"/>
      <c r="AE284" s="267"/>
      <c r="AF284" s="267"/>
      <c r="AG284" s="267"/>
      <c r="AH284" s="267"/>
      <c r="AK284" s="267"/>
      <c r="AL284" s="267"/>
      <c r="AM284" s="267"/>
      <c r="AN284" s="267"/>
      <c r="AQ284" s="267"/>
      <c r="AR284" s="267"/>
      <c r="AS284" s="267"/>
      <c r="AT284" s="267"/>
      <c r="AW284" s="267"/>
      <c r="AX284" s="267"/>
      <c r="AY284" s="267"/>
      <c r="AZ284" s="267"/>
      <c r="BG284" s="269"/>
      <c r="BM284" s="269"/>
      <c r="BS284" s="269"/>
      <c r="BU284" s="267"/>
      <c r="BY284" s="267"/>
      <c r="CC284" s="267"/>
      <c r="CG284" s="267"/>
      <c r="CS284" s="267"/>
      <c r="CW284" s="270"/>
      <c r="CX284" s="267"/>
      <c r="DC284" s="267"/>
      <c r="DH284" s="267"/>
      <c r="DM284" s="267"/>
      <c r="DR284" s="267"/>
      <c r="DW284" s="267"/>
      <c r="EB284" s="267"/>
      <c r="EG284" s="267"/>
      <c r="EL284" s="267"/>
      <c r="EQ284" s="267"/>
      <c r="EU284" s="270"/>
      <c r="EV284" s="267"/>
      <c r="FC284" s="267"/>
      <c r="FD284" s="267"/>
      <c r="FE284" s="267"/>
      <c r="FF284" s="267"/>
      <c r="FG284" s="267"/>
      <c r="FL284" s="267"/>
      <c r="FM284" s="267"/>
      <c r="FN284" s="267"/>
      <c r="FO284" s="267"/>
      <c r="FP284" s="267"/>
      <c r="FQ284" s="264"/>
      <c r="FR284" s="264"/>
      <c r="FS284" s="264"/>
      <c r="FT284" s="264"/>
      <c r="FU284" s="267"/>
      <c r="FV284" s="267"/>
      <c r="FW284" s="267"/>
      <c r="FX284" s="267"/>
      <c r="FY284" s="267"/>
      <c r="GD284" s="267"/>
      <c r="GE284" s="267"/>
      <c r="GF284" s="267"/>
      <c r="GG284" s="267"/>
      <c r="GH284" s="267"/>
      <c r="GI284" s="264"/>
      <c r="GJ284" s="264"/>
      <c r="GK284" s="264"/>
      <c r="GL284" s="264"/>
      <c r="HD284" s="267"/>
      <c r="HE284" s="267"/>
      <c r="HF284" s="267"/>
      <c r="HG284" s="267"/>
      <c r="HH284" s="267"/>
      <c r="HI284" s="267"/>
      <c r="HJ284" s="267"/>
      <c r="HK284" s="267"/>
      <c r="HL284" s="267"/>
      <c r="HM284" s="267"/>
      <c r="HN284" s="267"/>
      <c r="HO284" s="267"/>
      <c r="HP284" s="267"/>
      <c r="HQ284" s="267"/>
      <c r="HR284" s="267"/>
      <c r="HS284" s="267"/>
      <c r="HT284" s="267"/>
      <c r="HU284" s="267"/>
      <c r="IH284" s="267"/>
      <c r="IK284" s="267"/>
      <c r="IN284" s="267"/>
      <c r="IQ284" s="267"/>
      <c r="IR284" s="267"/>
      <c r="IS284" s="267"/>
      <c r="IT284" s="274"/>
      <c r="IU284" s="274"/>
      <c r="IV284" s="272"/>
      <c r="IW284" s="274"/>
      <c r="IX284" s="274"/>
      <c r="IY284" s="272"/>
    </row>
    <row r="285" spans="10:259">
      <c r="J285" s="267"/>
      <c r="K285" s="267"/>
      <c r="L285" s="267"/>
      <c r="M285" s="267"/>
      <c r="N285" s="267"/>
      <c r="O285" s="267"/>
      <c r="P285" s="267"/>
      <c r="Q285" s="267"/>
      <c r="S285" s="267"/>
      <c r="T285" s="267"/>
      <c r="U285" s="267"/>
      <c r="V285" s="267"/>
      <c r="W285" s="264"/>
      <c r="Y285" s="267"/>
      <c r="Z285" s="267"/>
      <c r="AA285" s="267"/>
      <c r="AB285" s="267"/>
      <c r="AE285" s="267"/>
      <c r="AF285" s="267"/>
      <c r="AG285" s="267"/>
      <c r="AH285" s="267"/>
      <c r="AK285" s="267"/>
      <c r="AL285" s="267"/>
      <c r="AM285" s="267"/>
      <c r="AN285" s="267"/>
      <c r="AQ285" s="267"/>
      <c r="AR285" s="267"/>
      <c r="AS285" s="267"/>
      <c r="AT285" s="267"/>
      <c r="AW285" s="267"/>
      <c r="AX285" s="267"/>
      <c r="AY285" s="267"/>
      <c r="AZ285" s="267"/>
      <c r="BG285" s="269"/>
      <c r="BM285" s="269"/>
      <c r="BS285" s="269"/>
      <c r="BU285" s="267"/>
      <c r="BY285" s="267"/>
      <c r="CC285" s="267"/>
      <c r="CG285" s="267"/>
      <c r="CS285" s="267"/>
      <c r="CW285" s="270"/>
      <c r="CX285" s="267"/>
      <c r="DC285" s="267"/>
      <c r="DH285" s="267"/>
      <c r="DM285" s="267"/>
      <c r="DR285" s="267"/>
      <c r="DW285" s="267"/>
      <c r="EB285" s="267"/>
      <c r="EG285" s="267"/>
      <c r="EL285" s="267"/>
      <c r="EQ285" s="267"/>
      <c r="EU285" s="270"/>
      <c r="EV285" s="267"/>
      <c r="FC285" s="267"/>
      <c r="FD285" s="267"/>
      <c r="FE285" s="267"/>
      <c r="FF285" s="267"/>
      <c r="FG285" s="267"/>
      <c r="FL285" s="267"/>
      <c r="FM285" s="267"/>
      <c r="FN285" s="267"/>
      <c r="FO285" s="267"/>
      <c r="FP285" s="267"/>
      <c r="FQ285" s="264"/>
      <c r="FR285" s="264"/>
      <c r="FS285" s="264"/>
      <c r="FT285" s="264"/>
      <c r="FU285" s="267"/>
      <c r="FV285" s="267"/>
      <c r="FW285" s="267"/>
      <c r="FX285" s="267"/>
      <c r="FY285" s="267"/>
      <c r="GD285" s="267"/>
      <c r="GE285" s="267"/>
      <c r="GF285" s="267"/>
      <c r="GG285" s="267"/>
      <c r="GH285" s="267"/>
      <c r="GI285" s="264"/>
      <c r="GJ285" s="264"/>
      <c r="GK285" s="264"/>
      <c r="GL285" s="264"/>
      <c r="HD285" s="267"/>
      <c r="HE285" s="267"/>
      <c r="HF285" s="267"/>
      <c r="HG285" s="267"/>
      <c r="HH285" s="267"/>
      <c r="HI285" s="267"/>
      <c r="HJ285" s="267"/>
      <c r="HK285" s="267"/>
      <c r="HL285" s="267"/>
      <c r="HM285" s="267"/>
      <c r="HN285" s="267"/>
      <c r="HO285" s="267"/>
      <c r="HP285" s="267"/>
      <c r="HQ285" s="267"/>
      <c r="HR285" s="267"/>
      <c r="HS285" s="267"/>
      <c r="HT285" s="267"/>
      <c r="HU285" s="267"/>
      <c r="IH285" s="267"/>
      <c r="IK285" s="267"/>
      <c r="IN285" s="267"/>
      <c r="IQ285" s="267"/>
      <c r="IR285" s="267"/>
      <c r="IS285" s="267"/>
      <c r="IT285" s="274"/>
      <c r="IU285" s="274"/>
      <c r="IV285" s="272"/>
      <c r="IW285" s="274"/>
      <c r="IX285" s="274"/>
      <c r="IY285" s="272"/>
    </row>
    <row r="286" spans="10:259">
      <c r="J286" s="267"/>
      <c r="K286" s="267"/>
      <c r="L286" s="267"/>
      <c r="M286" s="267"/>
      <c r="N286" s="267"/>
      <c r="O286" s="267"/>
      <c r="P286" s="267"/>
      <c r="Q286" s="267"/>
      <c r="S286" s="267"/>
      <c r="T286" s="267"/>
      <c r="U286" s="267"/>
      <c r="V286" s="267"/>
      <c r="W286" s="264"/>
      <c r="Y286" s="267"/>
      <c r="Z286" s="267"/>
      <c r="AA286" s="267"/>
      <c r="AB286" s="267"/>
      <c r="AE286" s="267"/>
      <c r="AF286" s="267"/>
      <c r="AG286" s="267"/>
      <c r="AH286" s="267"/>
      <c r="AK286" s="267"/>
      <c r="AL286" s="267"/>
      <c r="AM286" s="267"/>
      <c r="AN286" s="267"/>
      <c r="AQ286" s="267"/>
      <c r="AR286" s="267"/>
      <c r="AS286" s="267"/>
      <c r="AT286" s="267"/>
      <c r="AW286" s="267"/>
      <c r="AX286" s="267"/>
      <c r="AY286" s="267"/>
      <c r="AZ286" s="267"/>
      <c r="BG286" s="269"/>
      <c r="BM286" s="269"/>
      <c r="BS286" s="269"/>
      <c r="BU286" s="267"/>
      <c r="BY286" s="267"/>
      <c r="CC286" s="267"/>
      <c r="CG286" s="267"/>
      <c r="CS286" s="267"/>
      <c r="CW286" s="270"/>
      <c r="CX286" s="267"/>
      <c r="DC286" s="267"/>
      <c r="DH286" s="267"/>
      <c r="DM286" s="267"/>
      <c r="DR286" s="267"/>
      <c r="DW286" s="267"/>
      <c r="EB286" s="267"/>
      <c r="EG286" s="267"/>
      <c r="EL286" s="267"/>
      <c r="EQ286" s="267"/>
      <c r="EU286" s="270"/>
      <c r="EV286" s="267"/>
      <c r="FC286" s="267"/>
      <c r="FD286" s="267"/>
      <c r="FE286" s="267"/>
      <c r="FF286" s="267"/>
      <c r="FG286" s="267"/>
      <c r="FL286" s="267"/>
      <c r="FM286" s="267"/>
      <c r="FN286" s="267"/>
      <c r="FO286" s="267"/>
      <c r="FP286" s="267"/>
      <c r="FQ286" s="264"/>
      <c r="FR286" s="264"/>
      <c r="FS286" s="264"/>
      <c r="FT286" s="264"/>
      <c r="FU286" s="267"/>
      <c r="FV286" s="267"/>
      <c r="FW286" s="267"/>
      <c r="FX286" s="267"/>
      <c r="FY286" s="267"/>
      <c r="GD286" s="267"/>
      <c r="GE286" s="267"/>
      <c r="GF286" s="267"/>
      <c r="GG286" s="267"/>
      <c r="GH286" s="267"/>
      <c r="GI286" s="264"/>
      <c r="GJ286" s="264"/>
      <c r="GK286" s="264"/>
      <c r="GL286" s="264"/>
      <c r="HD286" s="267"/>
      <c r="HE286" s="267"/>
      <c r="HF286" s="267"/>
      <c r="HG286" s="267"/>
      <c r="HH286" s="267"/>
      <c r="HI286" s="267"/>
      <c r="HJ286" s="267"/>
      <c r="HK286" s="267"/>
      <c r="HL286" s="267"/>
      <c r="HM286" s="267"/>
      <c r="HN286" s="267"/>
      <c r="HO286" s="267"/>
      <c r="HP286" s="267"/>
      <c r="HQ286" s="267"/>
      <c r="HR286" s="267"/>
      <c r="HS286" s="267"/>
      <c r="HT286" s="267"/>
      <c r="HU286" s="267"/>
      <c r="IH286" s="267"/>
      <c r="IK286" s="267"/>
      <c r="IN286" s="267"/>
      <c r="IQ286" s="267"/>
      <c r="IR286" s="267"/>
      <c r="IS286" s="267"/>
      <c r="IT286" s="274"/>
      <c r="IU286" s="274"/>
      <c r="IV286" s="272"/>
      <c r="IW286" s="274"/>
      <c r="IX286" s="274"/>
      <c r="IY286" s="272"/>
    </row>
    <row r="287" spans="10:259">
      <c r="J287" s="267"/>
      <c r="K287" s="267"/>
      <c r="L287" s="267"/>
      <c r="M287" s="267"/>
      <c r="N287" s="267"/>
      <c r="O287" s="267"/>
      <c r="P287" s="267"/>
      <c r="Q287" s="267"/>
      <c r="S287" s="267"/>
      <c r="T287" s="267"/>
      <c r="U287" s="267"/>
      <c r="V287" s="267"/>
      <c r="W287" s="264"/>
      <c r="Y287" s="267"/>
      <c r="Z287" s="267"/>
      <c r="AA287" s="267"/>
      <c r="AB287" s="267"/>
      <c r="AE287" s="267"/>
      <c r="AF287" s="267"/>
      <c r="AG287" s="267"/>
      <c r="AH287" s="267"/>
      <c r="AK287" s="267"/>
      <c r="AL287" s="267"/>
      <c r="AM287" s="267"/>
      <c r="AN287" s="267"/>
      <c r="AQ287" s="267"/>
      <c r="AR287" s="267"/>
      <c r="AS287" s="267"/>
      <c r="AT287" s="267"/>
      <c r="AW287" s="267"/>
      <c r="AX287" s="267"/>
      <c r="AY287" s="267"/>
      <c r="AZ287" s="267"/>
      <c r="BG287" s="269"/>
      <c r="BM287" s="269"/>
      <c r="BS287" s="269"/>
      <c r="BU287" s="267"/>
      <c r="BY287" s="267"/>
      <c r="CC287" s="267"/>
      <c r="CG287" s="267"/>
      <c r="CS287" s="267"/>
      <c r="CW287" s="270"/>
      <c r="CX287" s="267"/>
      <c r="DC287" s="267"/>
      <c r="DH287" s="267"/>
      <c r="DM287" s="267"/>
      <c r="DR287" s="267"/>
      <c r="DW287" s="267"/>
      <c r="EB287" s="267"/>
      <c r="EG287" s="267"/>
      <c r="EL287" s="267"/>
      <c r="EQ287" s="267"/>
      <c r="EU287" s="270"/>
      <c r="EV287" s="267"/>
      <c r="FC287" s="267"/>
      <c r="FD287" s="267"/>
      <c r="FE287" s="267"/>
      <c r="FF287" s="267"/>
      <c r="FG287" s="267"/>
      <c r="FL287" s="267"/>
      <c r="FM287" s="267"/>
      <c r="FN287" s="267"/>
      <c r="FO287" s="267"/>
      <c r="FP287" s="267"/>
      <c r="FQ287" s="264"/>
      <c r="FR287" s="264"/>
      <c r="FS287" s="264"/>
      <c r="FT287" s="264"/>
      <c r="FU287" s="267"/>
      <c r="FV287" s="267"/>
      <c r="FW287" s="267"/>
      <c r="FX287" s="267"/>
      <c r="FY287" s="267"/>
      <c r="GD287" s="267"/>
      <c r="GE287" s="267"/>
      <c r="GF287" s="267"/>
      <c r="GG287" s="267"/>
      <c r="GH287" s="267"/>
      <c r="GI287" s="264"/>
      <c r="GJ287" s="264"/>
      <c r="GK287" s="264"/>
      <c r="GL287" s="264"/>
      <c r="HD287" s="267"/>
      <c r="HE287" s="267"/>
      <c r="HF287" s="267"/>
      <c r="HG287" s="267"/>
      <c r="HH287" s="267"/>
      <c r="HI287" s="267"/>
      <c r="HJ287" s="267"/>
      <c r="HK287" s="267"/>
      <c r="HL287" s="267"/>
      <c r="HM287" s="267"/>
      <c r="HN287" s="267"/>
      <c r="HO287" s="267"/>
      <c r="HP287" s="267"/>
      <c r="HQ287" s="267"/>
      <c r="HR287" s="267"/>
      <c r="HS287" s="267"/>
      <c r="HT287" s="267"/>
      <c r="HU287" s="267"/>
      <c r="IH287" s="267"/>
      <c r="IK287" s="267"/>
      <c r="IN287" s="267"/>
      <c r="IQ287" s="267"/>
      <c r="IR287" s="267"/>
      <c r="IS287" s="267"/>
      <c r="IT287" s="274"/>
      <c r="IU287" s="274"/>
      <c r="IV287" s="272"/>
      <c r="IW287" s="274"/>
      <c r="IX287" s="274"/>
      <c r="IY287" s="272"/>
    </row>
    <row r="288" spans="10:259">
      <c r="J288" s="267"/>
      <c r="K288" s="267"/>
      <c r="L288" s="267"/>
      <c r="M288" s="267"/>
      <c r="N288" s="267"/>
      <c r="O288" s="267"/>
      <c r="P288" s="267"/>
      <c r="Q288" s="267"/>
      <c r="S288" s="267"/>
      <c r="T288" s="267"/>
      <c r="U288" s="267"/>
      <c r="V288" s="267"/>
      <c r="W288" s="264"/>
      <c r="Y288" s="267"/>
      <c r="Z288" s="267"/>
      <c r="AA288" s="267"/>
      <c r="AB288" s="267"/>
      <c r="AE288" s="267"/>
      <c r="AF288" s="267"/>
      <c r="AG288" s="267"/>
      <c r="AH288" s="267"/>
      <c r="AK288" s="267"/>
      <c r="AL288" s="267"/>
      <c r="AM288" s="267"/>
      <c r="AN288" s="267"/>
      <c r="AQ288" s="267"/>
      <c r="AR288" s="267"/>
      <c r="AS288" s="267"/>
      <c r="AT288" s="267"/>
      <c r="AW288" s="267"/>
      <c r="AX288" s="267"/>
      <c r="AY288" s="267"/>
      <c r="AZ288" s="267"/>
      <c r="BG288" s="269"/>
      <c r="BM288" s="269"/>
      <c r="BS288" s="269"/>
      <c r="BU288" s="267"/>
      <c r="BY288" s="267"/>
      <c r="CC288" s="267"/>
      <c r="CG288" s="267"/>
      <c r="CS288" s="267"/>
      <c r="CW288" s="270"/>
      <c r="CX288" s="267"/>
      <c r="DC288" s="267"/>
      <c r="DH288" s="267"/>
      <c r="DM288" s="267"/>
      <c r="DR288" s="267"/>
      <c r="DW288" s="267"/>
      <c r="EB288" s="267"/>
      <c r="EG288" s="267"/>
      <c r="EL288" s="267"/>
      <c r="EQ288" s="267"/>
      <c r="EU288" s="270"/>
      <c r="EV288" s="267"/>
      <c r="FC288" s="267"/>
      <c r="FD288" s="267"/>
      <c r="FE288" s="267"/>
      <c r="FF288" s="267"/>
      <c r="FG288" s="267"/>
      <c r="FL288" s="267"/>
      <c r="FM288" s="267"/>
      <c r="FN288" s="267"/>
      <c r="FO288" s="267"/>
      <c r="FP288" s="267"/>
      <c r="FQ288" s="264"/>
      <c r="FR288" s="264"/>
      <c r="FS288" s="264"/>
      <c r="FT288" s="264"/>
      <c r="FU288" s="267"/>
      <c r="FV288" s="267"/>
      <c r="FW288" s="267"/>
      <c r="FX288" s="267"/>
      <c r="FY288" s="267"/>
      <c r="GD288" s="267"/>
      <c r="GE288" s="267"/>
      <c r="GF288" s="267"/>
      <c r="GG288" s="267"/>
      <c r="GH288" s="267"/>
      <c r="GI288" s="264"/>
      <c r="GJ288" s="264"/>
      <c r="GK288" s="264"/>
      <c r="GL288" s="264"/>
      <c r="HD288" s="267"/>
      <c r="HE288" s="267"/>
      <c r="HF288" s="267"/>
      <c r="HG288" s="267"/>
      <c r="HH288" s="267"/>
      <c r="HI288" s="267"/>
      <c r="HJ288" s="267"/>
      <c r="HK288" s="267"/>
      <c r="HL288" s="267"/>
      <c r="HM288" s="267"/>
      <c r="HN288" s="267"/>
      <c r="HO288" s="267"/>
      <c r="HP288" s="267"/>
      <c r="HQ288" s="267"/>
      <c r="HR288" s="267"/>
      <c r="HS288" s="267"/>
      <c r="HT288" s="267"/>
      <c r="HU288" s="267"/>
      <c r="IH288" s="267"/>
      <c r="IK288" s="267"/>
      <c r="IN288" s="267"/>
      <c r="IQ288" s="267"/>
      <c r="IR288" s="267"/>
      <c r="IS288" s="267"/>
      <c r="IT288" s="274"/>
      <c r="IU288" s="274"/>
      <c r="IV288" s="272"/>
      <c r="IW288" s="274"/>
      <c r="IX288" s="274"/>
      <c r="IY288" s="272"/>
    </row>
    <row r="289" spans="10:259">
      <c r="J289" s="267"/>
      <c r="K289" s="267"/>
      <c r="L289" s="267"/>
      <c r="M289" s="267"/>
      <c r="N289" s="267"/>
      <c r="O289" s="267"/>
      <c r="P289" s="267"/>
      <c r="Q289" s="267"/>
      <c r="S289" s="267"/>
      <c r="T289" s="267"/>
      <c r="U289" s="267"/>
      <c r="V289" s="267"/>
      <c r="W289" s="264"/>
      <c r="Y289" s="267"/>
      <c r="Z289" s="267"/>
      <c r="AA289" s="267"/>
      <c r="AB289" s="267"/>
      <c r="AE289" s="267"/>
      <c r="AF289" s="267"/>
      <c r="AG289" s="267"/>
      <c r="AH289" s="267"/>
      <c r="AK289" s="267"/>
      <c r="AL289" s="267"/>
      <c r="AM289" s="267"/>
      <c r="AN289" s="267"/>
      <c r="AQ289" s="267"/>
      <c r="AR289" s="267"/>
      <c r="AS289" s="267"/>
      <c r="AT289" s="267"/>
      <c r="AW289" s="267"/>
      <c r="AX289" s="267"/>
      <c r="AY289" s="267"/>
      <c r="AZ289" s="267"/>
      <c r="BG289" s="269"/>
      <c r="BM289" s="269"/>
      <c r="BS289" s="269"/>
      <c r="BU289" s="267"/>
      <c r="BY289" s="267"/>
      <c r="CC289" s="267"/>
      <c r="CG289" s="267"/>
      <c r="CS289" s="267"/>
      <c r="CW289" s="270"/>
      <c r="CX289" s="267"/>
      <c r="DC289" s="267"/>
      <c r="DH289" s="267"/>
      <c r="DM289" s="267"/>
      <c r="DR289" s="267"/>
      <c r="DW289" s="267"/>
      <c r="EB289" s="267"/>
      <c r="EG289" s="267"/>
      <c r="EL289" s="267"/>
      <c r="EQ289" s="267"/>
      <c r="EU289" s="270"/>
      <c r="EV289" s="267"/>
      <c r="FC289" s="267"/>
      <c r="FD289" s="267"/>
      <c r="FE289" s="267"/>
      <c r="FF289" s="267"/>
      <c r="FG289" s="267"/>
      <c r="FL289" s="267"/>
      <c r="FM289" s="267"/>
      <c r="FN289" s="267"/>
      <c r="FO289" s="267"/>
      <c r="FP289" s="267"/>
      <c r="FQ289" s="264"/>
      <c r="FR289" s="264"/>
      <c r="FS289" s="264"/>
      <c r="FT289" s="264"/>
      <c r="FU289" s="267"/>
      <c r="FV289" s="267"/>
      <c r="FW289" s="267"/>
      <c r="FX289" s="267"/>
      <c r="FY289" s="267"/>
      <c r="GD289" s="267"/>
      <c r="GE289" s="267"/>
      <c r="GF289" s="267"/>
      <c r="GG289" s="267"/>
      <c r="GH289" s="267"/>
      <c r="GI289" s="264"/>
      <c r="GJ289" s="264"/>
      <c r="GK289" s="264"/>
      <c r="GL289" s="264"/>
      <c r="HD289" s="267"/>
      <c r="HE289" s="267"/>
      <c r="HF289" s="267"/>
      <c r="HG289" s="267"/>
      <c r="HH289" s="267"/>
      <c r="HI289" s="267"/>
      <c r="HJ289" s="267"/>
      <c r="HK289" s="267"/>
      <c r="HL289" s="267"/>
      <c r="HM289" s="267"/>
      <c r="HN289" s="267"/>
      <c r="HO289" s="267"/>
      <c r="HP289" s="267"/>
      <c r="HQ289" s="267"/>
      <c r="HR289" s="267"/>
      <c r="HS289" s="267"/>
      <c r="HT289" s="267"/>
      <c r="HU289" s="267"/>
      <c r="IH289" s="267"/>
      <c r="IK289" s="267"/>
      <c r="IN289" s="267"/>
      <c r="IQ289" s="267"/>
      <c r="IR289" s="267"/>
      <c r="IS289" s="267"/>
      <c r="IT289" s="274"/>
      <c r="IU289" s="274"/>
      <c r="IV289" s="272"/>
      <c r="IW289" s="274"/>
      <c r="IX289" s="274"/>
      <c r="IY289" s="272"/>
    </row>
    <row r="290" spans="10:259">
      <c r="J290" s="267"/>
      <c r="K290" s="267"/>
      <c r="L290" s="267"/>
      <c r="M290" s="267"/>
      <c r="N290" s="267"/>
      <c r="O290" s="267"/>
      <c r="P290" s="267"/>
      <c r="Q290" s="267"/>
      <c r="S290" s="267"/>
      <c r="T290" s="267"/>
      <c r="U290" s="267"/>
      <c r="V290" s="267"/>
      <c r="W290" s="264"/>
      <c r="Y290" s="267"/>
      <c r="Z290" s="267"/>
      <c r="AA290" s="267"/>
      <c r="AB290" s="267"/>
      <c r="AE290" s="267"/>
      <c r="AF290" s="267"/>
      <c r="AG290" s="267"/>
      <c r="AH290" s="267"/>
      <c r="AK290" s="267"/>
      <c r="AL290" s="267"/>
      <c r="AM290" s="267"/>
      <c r="AN290" s="267"/>
      <c r="AQ290" s="267"/>
      <c r="AR290" s="267"/>
      <c r="AS290" s="267"/>
      <c r="AT290" s="267"/>
      <c r="AW290" s="267"/>
      <c r="AX290" s="267"/>
      <c r="AY290" s="267"/>
      <c r="AZ290" s="267"/>
      <c r="BG290" s="269"/>
      <c r="BM290" s="269"/>
      <c r="BS290" s="269"/>
      <c r="BU290" s="267"/>
      <c r="BY290" s="267"/>
      <c r="CC290" s="267"/>
      <c r="CG290" s="267"/>
      <c r="CS290" s="267"/>
      <c r="CW290" s="270"/>
      <c r="CX290" s="267"/>
      <c r="DC290" s="267"/>
      <c r="DH290" s="267"/>
      <c r="DM290" s="267"/>
      <c r="DR290" s="267"/>
      <c r="DW290" s="267"/>
      <c r="EB290" s="267"/>
      <c r="EG290" s="267"/>
      <c r="EL290" s="267"/>
      <c r="EQ290" s="267"/>
      <c r="EU290" s="270"/>
      <c r="EV290" s="267"/>
      <c r="FC290" s="267"/>
      <c r="FD290" s="267"/>
      <c r="FE290" s="267"/>
      <c r="FF290" s="267"/>
      <c r="FG290" s="267"/>
      <c r="FL290" s="267"/>
      <c r="FM290" s="267"/>
      <c r="FN290" s="267"/>
      <c r="FO290" s="267"/>
      <c r="FP290" s="267"/>
      <c r="FQ290" s="264"/>
      <c r="FR290" s="264"/>
      <c r="FS290" s="264"/>
      <c r="FT290" s="264"/>
      <c r="FU290" s="267"/>
      <c r="FV290" s="267"/>
      <c r="FW290" s="267"/>
      <c r="FX290" s="267"/>
      <c r="FY290" s="267"/>
      <c r="GD290" s="267"/>
      <c r="GE290" s="267"/>
      <c r="GF290" s="267"/>
      <c r="GG290" s="267"/>
      <c r="GH290" s="267"/>
      <c r="GI290" s="264"/>
      <c r="GJ290" s="264"/>
      <c r="GK290" s="264"/>
      <c r="GL290" s="264"/>
      <c r="HD290" s="267"/>
      <c r="HE290" s="267"/>
      <c r="HF290" s="267"/>
      <c r="HG290" s="267"/>
      <c r="HH290" s="267"/>
      <c r="HI290" s="267"/>
      <c r="HJ290" s="267"/>
      <c r="HK290" s="267"/>
      <c r="HL290" s="267"/>
      <c r="HM290" s="267"/>
      <c r="HN290" s="267"/>
      <c r="HO290" s="267"/>
      <c r="HP290" s="267"/>
      <c r="HQ290" s="267"/>
      <c r="HR290" s="267"/>
      <c r="HS290" s="267"/>
      <c r="HT290" s="267"/>
      <c r="HU290" s="267"/>
      <c r="IH290" s="267"/>
      <c r="IK290" s="267"/>
      <c r="IN290" s="267"/>
      <c r="IQ290" s="267"/>
      <c r="IR290" s="267"/>
      <c r="IS290" s="267"/>
      <c r="IT290" s="274"/>
      <c r="IU290" s="274"/>
      <c r="IV290" s="272"/>
      <c r="IW290" s="274"/>
      <c r="IX290" s="274"/>
      <c r="IY290" s="272"/>
    </row>
    <row r="291" spans="10:259">
      <c r="J291" s="267"/>
      <c r="K291" s="267"/>
      <c r="L291" s="267"/>
      <c r="M291" s="267"/>
      <c r="N291" s="267"/>
      <c r="O291" s="267"/>
      <c r="P291" s="267"/>
      <c r="Q291" s="267"/>
      <c r="S291" s="267"/>
      <c r="T291" s="267"/>
      <c r="U291" s="267"/>
      <c r="V291" s="267"/>
      <c r="W291" s="264"/>
      <c r="Y291" s="267"/>
      <c r="Z291" s="267"/>
      <c r="AA291" s="267"/>
      <c r="AB291" s="267"/>
      <c r="AE291" s="267"/>
      <c r="AF291" s="267"/>
      <c r="AG291" s="267"/>
      <c r="AH291" s="267"/>
      <c r="AK291" s="267"/>
      <c r="AL291" s="267"/>
      <c r="AM291" s="267"/>
      <c r="AN291" s="267"/>
      <c r="AQ291" s="267"/>
      <c r="AR291" s="267"/>
      <c r="AS291" s="267"/>
      <c r="AT291" s="267"/>
      <c r="AW291" s="267"/>
      <c r="AX291" s="267"/>
      <c r="AY291" s="267"/>
      <c r="AZ291" s="267"/>
      <c r="BG291" s="269"/>
      <c r="BM291" s="269"/>
      <c r="BS291" s="269"/>
      <c r="BU291" s="267"/>
      <c r="BY291" s="267"/>
      <c r="CC291" s="267"/>
      <c r="CG291" s="267"/>
      <c r="CS291" s="267"/>
      <c r="CW291" s="270"/>
      <c r="CX291" s="267"/>
      <c r="DC291" s="267"/>
      <c r="DH291" s="267"/>
      <c r="DM291" s="267"/>
      <c r="DR291" s="267"/>
      <c r="DW291" s="267"/>
      <c r="EB291" s="267"/>
      <c r="EG291" s="267"/>
      <c r="EL291" s="267"/>
      <c r="EQ291" s="267"/>
      <c r="EU291" s="270"/>
      <c r="EV291" s="267"/>
      <c r="FC291" s="267"/>
      <c r="FD291" s="267"/>
      <c r="FE291" s="267"/>
      <c r="FF291" s="267"/>
      <c r="FG291" s="267"/>
      <c r="FL291" s="267"/>
      <c r="FM291" s="267"/>
      <c r="FN291" s="267"/>
      <c r="FO291" s="267"/>
      <c r="FP291" s="267"/>
      <c r="FQ291" s="264"/>
      <c r="FR291" s="264"/>
      <c r="FS291" s="264"/>
      <c r="FT291" s="264"/>
      <c r="FU291" s="267"/>
      <c r="FV291" s="267"/>
      <c r="FW291" s="267"/>
      <c r="FX291" s="267"/>
      <c r="FY291" s="267"/>
      <c r="GD291" s="267"/>
      <c r="GE291" s="267"/>
      <c r="GF291" s="267"/>
      <c r="GG291" s="267"/>
      <c r="GH291" s="267"/>
      <c r="GI291" s="264"/>
      <c r="GJ291" s="264"/>
      <c r="GK291" s="264"/>
      <c r="GL291" s="264"/>
      <c r="HD291" s="267"/>
      <c r="HE291" s="267"/>
      <c r="HF291" s="267"/>
      <c r="HG291" s="267"/>
      <c r="HH291" s="267"/>
      <c r="HI291" s="267"/>
      <c r="HJ291" s="267"/>
      <c r="HK291" s="267"/>
      <c r="HL291" s="267"/>
      <c r="HM291" s="267"/>
      <c r="HN291" s="267"/>
      <c r="HO291" s="267"/>
      <c r="HP291" s="267"/>
      <c r="HQ291" s="267"/>
      <c r="HR291" s="267"/>
      <c r="HS291" s="267"/>
      <c r="HT291" s="267"/>
      <c r="HU291" s="267"/>
      <c r="IH291" s="267"/>
      <c r="IK291" s="267"/>
      <c r="IN291" s="267"/>
      <c r="IQ291" s="267"/>
      <c r="IR291" s="267"/>
      <c r="IS291" s="267"/>
      <c r="IT291" s="274"/>
      <c r="IU291" s="274"/>
      <c r="IV291" s="272"/>
      <c r="IW291" s="274"/>
      <c r="IX291" s="274"/>
      <c r="IY291" s="272"/>
    </row>
    <row r="292" spans="10:259">
      <c r="J292" s="267"/>
      <c r="K292" s="267"/>
      <c r="L292" s="267"/>
      <c r="M292" s="267"/>
      <c r="N292" s="267"/>
      <c r="O292" s="267"/>
      <c r="P292" s="267"/>
      <c r="Q292" s="267"/>
      <c r="S292" s="267"/>
      <c r="T292" s="267"/>
      <c r="U292" s="267"/>
      <c r="V292" s="267"/>
      <c r="W292" s="264"/>
      <c r="Y292" s="267"/>
      <c r="Z292" s="267"/>
      <c r="AA292" s="267"/>
      <c r="AB292" s="267"/>
      <c r="AE292" s="267"/>
      <c r="AF292" s="267"/>
      <c r="AG292" s="267"/>
      <c r="AH292" s="267"/>
      <c r="AK292" s="267"/>
      <c r="AL292" s="267"/>
      <c r="AM292" s="267"/>
      <c r="AN292" s="267"/>
      <c r="AQ292" s="267"/>
      <c r="AR292" s="267"/>
      <c r="AS292" s="267"/>
      <c r="AT292" s="267"/>
      <c r="AW292" s="267"/>
      <c r="AX292" s="267"/>
      <c r="AY292" s="267"/>
      <c r="AZ292" s="267"/>
      <c r="BG292" s="269"/>
      <c r="BM292" s="269"/>
      <c r="BS292" s="269"/>
      <c r="BU292" s="267"/>
      <c r="BY292" s="267"/>
      <c r="CC292" s="267"/>
      <c r="CG292" s="267"/>
      <c r="CS292" s="267"/>
      <c r="CW292" s="270"/>
      <c r="CX292" s="267"/>
      <c r="DC292" s="267"/>
      <c r="DH292" s="267"/>
      <c r="DM292" s="267"/>
      <c r="DR292" s="267"/>
      <c r="DW292" s="267"/>
      <c r="EB292" s="267"/>
      <c r="EG292" s="267"/>
      <c r="EL292" s="267"/>
      <c r="EQ292" s="267"/>
      <c r="EU292" s="270"/>
      <c r="EV292" s="267"/>
      <c r="FC292" s="267"/>
      <c r="FD292" s="267"/>
      <c r="FE292" s="267"/>
      <c r="FF292" s="267"/>
      <c r="FG292" s="267"/>
      <c r="FL292" s="267"/>
      <c r="FM292" s="267"/>
      <c r="FN292" s="267"/>
      <c r="FO292" s="267"/>
      <c r="FP292" s="267"/>
      <c r="FQ292" s="264"/>
      <c r="FR292" s="264"/>
      <c r="FS292" s="264"/>
      <c r="FT292" s="264"/>
      <c r="FU292" s="267"/>
      <c r="FV292" s="267"/>
      <c r="FW292" s="267"/>
      <c r="FX292" s="267"/>
      <c r="FY292" s="267"/>
      <c r="GD292" s="267"/>
      <c r="GE292" s="267"/>
      <c r="GF292" s="267"/>
      <c r="GG292" s="267"/>
      <c r="GH292" s="267"/>
      <c r="GI292" s="264"/>
      <c r="GJ292" s="264"/>
      <c r="GK292" s="264"/>
      <c r="GL292" s="264"/>
      <c r="HD292" s="267"/>
      <c r="HE292" s="267"/>
      <c r="HF292" s="267"/>
      <c r="HG292" s="267"/>
      <c r="HH292" s="267"/>
      <c r="HI292" s="267"/>
      <c r="HJ292" s="267"/>
      <c r="HK292" s="267"/>
      <c r="HL292" s="267"/>
      <c r="HM292" s="267"/>
      <c r="HN292" s="267"/>
      <c r="HO292" s="267"/>
      <c r="HP292" s="267"/>
      <c r="HQ292" s="267"/>
      <c r="HR292" s="267"/>
      <c r="HS292" s="267"/>
      <c r="HT292" s="267"/>
      <c r="HU292" s="267"/>
      <c r="IH292" s="267"/>
      <c r="IK292" s="267"/>
      <c r="IN292" s="267"/>
      <c r="IQ292" s="267"/>
      <c r="IR292" s="267"/>
      <c r="IS292" s="267"/>
      <c r="IT292" s="274"/>
      <c r="IU292" s="274"/>
      <c r="IV292" s="272"/>
      <c r="IW292" s="274"/>
      <c r="IX292" s="274"/>
      <c r="IY292" s="272"/>
    </row>
    <row r="293" spans="10:259">
      <c r="J293" s="267"/>
      <c r="K293" s="267"/>
      <c r="L293" s="267"/>
      <c r="M293" s="267"/>
      <c r="N293" s="267"/>
      <c r="O293" s="267"/>
      <c r="P293" s="267"/>
      <c r="Q293" s="267"/>
      <c r="S293" s="267"/>
      <c r="T293" s="267"/>
      <c r="U293" s="267"/>
      <c r="V293" s="267"/>
      <c r="W293" s="264"/>
      <c r="Y293" s="267"/>
      <c r="Z293" s="267"/>
      <c r="AA293" s="267"/>
      <c r="AB293" s="267"/>
      <c r="AE293" s="267"/>
      <c r="AF293" s="267"/>
      <c r="AG293" s="267"/>
      <c r="AH293" s="267"/>
      <c r="AK293" s="267"/>
      <c r="AL293" s="267"/>
      <c r="AM293" s="267"/>
      <c r="AN293" s="267"/>
      <c r="AQ293" s="267"/>
      <c r="AR293" s="267"/>
      <c r="AS293" s="267"/>
      <c r="AT293" s="267"/>
      <c r="AW293" s="267"/>
      <c r="AX293" s="267"/>
      <c r="AY293" s="267"/>
      <c r="AZ293" s="267"/>
      <c r="BG293" s="269"/>
      <c r="BM293" s="269"/>
      <c r="BS293" s="269"/>
      <c r="BU293" s="267"/>
      <c r="BY293" s="267"/>
      <c r="CC293" s="267"/>
      <c r="CG293" s="267"/>
      <c r="CS293" s="267"/>
      <c r="CW293" s="270"/>
      <c r="CX293" s="267"/>
      <c r="DC293" s="267"/>
      <c r="DH293" s="267"/>
      <c r="DM293" s="267"/>
      <c r="DR293" s="267"/>
      <c r="DW293" s="267"/>
      <c r="EB293" s="267"/>
      <c r="EG293" s="267"/>
      <c r="EL293" s="267"/>
      <c r="EQ293" s="267"/>
      <c r="EU293" s="270"/>
      <c r="EV293" s="267"/>
      <c r="FC293" s="267"/>
      <c r="FD293" s="267"/>
      <c r="FE293" s="267"/>
      <c r="FF293" s="267"/>
      <c r="FG293" s="267"/>
      <c r="FL293" s="267"/>
      <c r="FM293" s="267"/>
      <c r="FN293" s="267"/>
      <c r="FO293" s="267"/>
      <c r="FP293" s="267"/>
      <c r="FQ293" s="264"/>
      <c r="FR293" s="264"/>
      <c r="FS293" s="264"/>
      <c r="FT293" s="264"/>
      <c r="FU293" s="267"/>
      <c r="FV293" s="267"/>
      <c r="FW293" s="267"/>
      <c r="FX293" s="267"/>
      <c r="FY293" s="267"/>
      <c r="GD293" s="267"/>
      <c r="GE293" s="267"/>
      <c r="GF293" s="267"/>
      <c r="GG293" s="267"/>
      <c r="GH293" s="267"/>
      <c r="GI293" s="264"/>
      <c r="GJ293" s="264"/>
      <c r="GK293" s="264"/>
      <c r="GL293" s="264"/>
      <c r="HD293" s="267"/>
      <c r="HE293" s="267"/>
      <c r="HF293" s="267"/>
      <c r="HG293" s="267"/>
      <c r="HH293" s="267"/>
      <c r="HI293" s="267"/>
      <c r="HJ293" s="267"/>
      <c r="HK293" s="267"/>
      <c r="HL293" s="267"/>
      <c r="HM293" s="267"/>
      <c r="HN293" s="267"/>
      <c r="HO293" s="267"/>
      <c r="HP293" s="267"/>
      <c r="HQ293" s="267"/>
      <c r="HR293" s="267"/>
      <c r="HS293" s="267"/>
      <c r="HT293" s="267"/>
      <c r="HU293" s="267"/>
      <c r="IH293" s="267"/>
      <c r="IK293" s="267"/>
      <c r="IN293" s="267"/>
      <c r="IQ293" s="267"/>
      <c r="IR293" s="267"/>
      <c r="IS293" s="267"/>
      <c r="IT293" s="274"/>
      <c r="IU293" s="274"/>
      <c r="IV293" s="272"/>
      <c r="IW293" s="274"/>
      <c r="IX293" s="274"/>
      <c r="IY293" s="272"/>
    </row>
    <row r="294" spans="10:259">
      <c r="J294" s="267"/>
      <c r="K294" s="267"/>
      <c r="L294" s="267"/>
      <c r="M294" s="267"/>
      <c r="N294" s="267"/>
      <c r="O294" s="267"/>
      <c r="P294" s="267"/>
      <c r="Q294" s="267"/>
      <c r="S294" s="267"/>
      <c r="T294" s="267"/>
      <c r="U294" s="267"/>
      <c r="V294" s="267"/>
      <c r="W294" s="264"/>
      <c r="Y294" s="267"/>
      <c r="Z294" s="267"/>
      <c r="AA294" s="267"/>
      <c r="AB294" s="267"/>
      <c r="AE294" s="267"/>
      <c r="AF294" s="267"/>
      <c r="AG294" s="267"/>
      <c r="AH294" s="267"/>
      <c r="AK294" s="267"/>
      <c r="AL294" s="267"/>
      <c r="AM294" s="267"/>
      <c r="AN294" s="267"/>
      <c r="AQ294" s="267"/>
      <c r="AR294" s="267"/>
      <c r="AS294" s="267"/>
      <c r="AT294" s="267"/>
      <c r="AW294" s="267"/>
      <c r="AX294" s="267"/>
      <c r="AY294" s="267"/>
      <c r="AZ294" s="267"/>
      <c r="BG294" s="269"/>
      <c r="BM294" s="269"/>
      <c r="BS294" s="269"/>
      <c r="BU294" s="267"/>
      <c r="BY294" s="267"/>
      <c r="CC294" s="267"/>
      <c r="CG294" s="267"/>
      <c r="CS294" s="267"/>
      <c r="CW294" s="270"/>
      <c r="CX294" s="267"/>
      <c r="DC294" s="267"/>
      <c r="DH294" s="267"/>
      <c r="DM294" s="267"/>
      <c r="DR294" s="267"/>
      <c r="DW294" s="267"/>
      <c r="EB294" s="267"/>
      <c r="EG294" s="267"/>
      <c r="EL294" s="267"/>
      <c r="EQ294" s="267"/>
      <c r="EU294" s="270"/>
      <c r="EV294" s="267"/>
      <c r="FC294" s="267"/>
      <c r="FD294" s="267"/>
      <c r="FE294" s="267"/>
      <c r="FF294" s="267"/>
      <c r="FG294" s="267"/>
      <c r="FL294" s="267"/>
      <c r="FM294" s="267"/>
      <c r="FN294" s="267"/>
      <c r="FO294" s="267"/>
      <c r="FP294" s="267"/>
      <c r="FQ294" s="264"/>
      <c r="FR294" s="264"/>
      <c r="FS294" s="264"/>
      <c r="FT294" s="264"/>
      <c r="FU294" s="267"/>
      <c r="FV294" s="267"/>
      <c r="FW294" s="267"/>
      <c r="FX294" s="267"/>
      <c r="FY294" s="267"/>
      <c r="GD294" s="267"/>
      <c r="GE294" s="267"/>
      <c r="GF294" s="267"/>
      <c r="GG294" s="267"/>
      <c r="GH294" s="267"/>
      <c r="GI294" s="264"/>
      <c r="GJ294" s="264"/>
      <c r="GK294" s="264"/>
      <c r="GL294" s="264"/>
      <c r="HD294" s="267"/>
      <c r="HE294" s="267"/>
      <c r="HF294" s="267"/>
      <c r="HG294" s="267"/>
      <c r="HH294" s="267"/>
      <c r="HI294" s="267"/>
      <c r="HJ294" s="267"/>
      <c r="HK294" s="267"/>
      <c r="HL294" s="267"/>
      <c r="HM294" s="267"/>
      <c r="HN294" s="267"/>
      <c r="HO294" s="267"/>
      <c r="HP294" s="267"/>
      <c r="HQ294" s="267"/>
      <c r="HR294" s="267"/>
      <c r="HS294" s="267"/>
      <c r="HT294" s="267"/>
      <c r="HU294" s="267"/>
      <c r="IH294" s="267"/>
      <c r="IK294" s="267"/>
      <c r="IN294" s="267"/>
      <c r="IQ294" s="267"/>
      <c r="IR294" s="267"/>
      <c r="IS294" s="267"/>
      <c r="IT294" s="274"/>
      <c r="IU294" s="274"/>
      <c r="IV294" s="272"/>
      <c r="IW294" s="274"/>
      <c r="IX294" s="274"/>
      <c r="IY294" s="272"/>
    </row>
    <row r="295" spans="10:259">
      <c r="J295" s="267"/>
      <c r="K295" s="267"/>
      <c r="L295" s="267"/>
      <c r="M295" s="267"/>
      <c r="N295" s="267"/>
      <c r="O295" s="267"/>
      <c r="P295" s="267"/>
      <c r="Q295" s="267"/>
      <c r="S295" s="267"/>
      <c r="T295" s="267"/>
      <c r="U295" s="267"/>
      <c r="V295" s="267"/>
      <c r="W295" s="264"/>
      <c r="Y295" s="267"/>
      <c r="Z295" s="267"/>
      <c r="AA295" s="267"/>
      <c r="AB295" s="267"/>
      <c r="AE295" s="267"/>
      <c r="AF295" s="267"/>
      <c r="AG295" s="267"/>
      <c r="AH295" s="267"/>
      <c r="AK295" s="267"/>
      <c r="AL295" s="267"/>
      <c r="AM295" s="267"/>
      <c r="AN295" s="267"/>
      <c r="AQ295" s="267"/>
      <c r="AR295" s="267"/>
      <c r="AS295" s="267"/>
      <c r="AT295" s="267"/>
      <c r="AW295" s="267"/>
      <c r="AX295" s="267"/>
      <c r="AY295" s="267"/>
      <c r="AZ295" s="267"/>
      <c r="BG295" s="269"/>
      <c r="BM295" s="269"/>
      <c r="BS295" s="269"/>
      <c r="BU295" s="267"/>
      <c r="BY295" s="267"/>
      <c r="CC295" s="267"/>
      <c r="CG295" s="267"/>
      <c r="CS295" s="267"/>
      <c r="CW295" s="270"/>
      <c r="CX295" s="267"/>
      <c r="DC295" s="267"/>
      <c r="DH295" s="267"/>
      <c r="DM295" s="267"/>
      <c r="DR295" s="267"/>
      <c r="DW295" s="267"/>
      <c r="EB295" s="267"/>
      <c r="EG295" s="267"/>
      <c r="EL295" s="267"/>
      <c r="EQ295" s="267"/>
      <c r="EU295" s="270"/>
      <c r="EV295" s="267"/>
      <c r="FC295" s="267"/>
      <c r="FD295" s="267"/>
      <c r="FE295" s="267"/>
      <c r="FF295" s="267"/>
      <c r="FG295" s="267"/>
      <c r="FL295" s="267"/>
      <c r="FM295" s="267"/>
      <c r="FN295" s="267"/>
      <c r="FO295" s="267"/>
      <c r="FP295" s="267"/>
      <c r="FQ295" s="264"/>
      <c r="FR295" s="264"/>
      <c r="FS295" s="264"/>
      <c r="FT295" s="264"/>
      <c r="FU295" s="267"/>
      <c r="FV295" s="267"/>
      <c r="FW295" s="267"/>
      <c r="FX295" s="267"/>
      <c r="FY295" s="267"/>
      <c r="GD295" s="267"/>
      <c r="GE295" s="267"/>
      <c r="GF295" s="267"/>
      <c r="GG295" s="267"/>
      <c r="GH295" s="267"/>
      <c r="GI295" s="264"/>
      <c r="GJ295" s="264"/>
      <c r="GK295" s="264"/>
      <c r="GL295" s="264"/>
      <c r="HD295" s="267"/>
      <c r="HE295" s="267"/>
      <c r="HF295" s="267"/>
      <c r="HG295" s="267"/>
      <c r="HH295" s="267"/>
      <c r="HI295" s="267"/>
      <c r="HJ295" s="267"/>
      <c r="HK295" s="267"/>
      <c r="HL295" s="267"/>
      <c r="HM295" s="267"/>
      <c r="HN295" s="267"/>
      <c r="HO295" s="267"/>
      <c r="HP295" s="267"/>
      <c r="HQ295" s="267"/>
      <c r="HR295" s="267"/>
      <c r="HS295" s="267"/>
      <c r="HT295" s="267"/>
      <c r="HU295" s="267"/>
      <c r="IH295" s="267"/>
      <c r="IK295" s="267"/>
      <c r="IN295" s="267"/>
      <c r="IQ295" s="267"/>
      <c r="IR295" s="267"/>
      <c r="IS295" s="267"/>
      <c r="IT295" s="274"/>
      <c r="IU295" s="274"/>
      <c r="IV295" s="272"/>
      <c r="IW295" s="274"/>
      <c r="IX295" s="274"/>
      <c r="IY295" s="272"/>
    </row>
    <row r="296" spans="10:259">
      <c r="J296" s="267"/>
      <c r="K296" s="267"/>
      <c r="L296" s="267"/>
      <c r="M296" s="267"/>
      <c r="N296" s="267"/>
      <c r="O296" s="267"/>
      <c r="P296" s="267"/>
      <c r="Q296" s="267"/>
      <c r="S296" s="267"/>
      <c r="T296" s="267"/>
      <c r="U296" s="267"/>
      <c r="V296" s="267"/>
      <c r="W296" s="264"/>
      <c r="Y296" s="267"/>
      <c r="Z296" s="267"/>
      <c r="AA296" s="267"/>
      <c r="AB296" s="267"/>
      <c r="AE296" s="267"/>
      <c r="AF296" s="267"/>
      <c r="AG296" s="267"/>
      <c r="AH296" s="267"/>
      <c r="AK296" s="267"/>
      <c r="AL296" s="267"/>
      <c r="AM296" s="267"/>
      <c r="AN296" s="267"/>
      <c r="AQ296" s="267"/>
      <c r="AR296" s="267"/>
      <c r="AS296" s="267"/>
      <c r="AT296" s="267"/>
      <c r="AW296" s="267"/>
      <c r="AX296" s="267"/>
      <c r="AY296" s="267"/>
      <c r="AZ296" s="267"/>
      <c r="BG296" s="269"/>
      <c r="BM296" s="269"/>
      <c r="BS296" s="269"/>
      <c r="BU296" s="267"/>
      <c r="BY296" s="267"/>
      <c r="CC296" s="267"/>
      <c r="CG296" s="267"/>
      <c r="CS296" s="267"/>
      <c r="CW296" s="270"/>
      <c r="CX296" s="267"/>
      <c r="DC296" s="267"/>
      <c r="DH296" s="267"/>
      <c r="DM296" s="267"/>
      <c r="DR296" s="267"/>
      <c r="DW296" s="267"/>
      <c r="EB296" s="267"/>
      <c r="EG296" s="267"/>
      <c r="EL296" s="267"/>
      <c r="EQ296" s="267"/>
      <c r="EU296" s="270"/>
      <c r="EV296" s="267"/>
      <c r="FC296" s="267"/>
      <c r="FD296" s="267"/>
      <c r="FE296" s="267"/>
      <c r="FF296" s="267"/>
      <c r="FG296" s="267"/>
      <c r="FL296" s="267"/>
      <c r="FM296" s="267"/>
      <c r="FN296" s="267"/>
      <c r="FO296" s="267"/>
      <c r="FP296" s="267"/>
      <c r="FQ296" s="264"/>
      <c r="FR296" s="264"/>
      <c r="FS296" s="264"/>
      <c r="FT296" s="264"/>
      <c r="FU296" s="267"/>
      <c r="FV296" s="267"/>
      <c r="FW296" s="267"/>
      <c r="FX296" s="267"/>
      <c r="FY296" s="267"/>
      <c r="GD296" s="267"/>
      <c r="GE296" s="267"/>
      <c r="GF296" s="267"/>
      <c r="GG296" s="267"/>
      <c r="GH296" s="267"/>
      <c r="GI296" s="264"/>
      <c r="GJ296" s="264"/>
      <c r="GK296" s="264"/>
      <c r="GL296" s="264"/>
      <c r="HD296" s="267"/>
      <c r="HE296" s="267"/>
      <c r="HF296" s="267"/>
      <c r="HG296" s="267"/>
      <c r="HH296" s="267"/>
      <c r="HI296" s="267"/>
      <c r="HJ296" s="267"/>
      <c r="HK296" s="267"/>
      <c r="HL296" s="267"/>
      <c r="HM296" s="267"/>
      <c r="HN296" s="267"/>
      <c r="HO296" s="267"/>
      <c r="HP296" s="267"/>
      <c r="HQ296" s="267"/>
      <c r="HR296" s="267"/>
      <c r="HS296" s="267"/>
      <c r="HT296" s="267"/>
      <c r="HU296" s="267"/>
      <c r="IH296" s="267"/>
      <c r="IK296" s="267"/>
      <c r="IN296" s="267"/>
      <c r="IQ296" s="267"/>
      <c r="IR296" s="267"/>
      <c r="IS296" s="267"/>
      <c r="IT296" s="274"/>
      <c r="IU296" s="274"/>
      <c r="IV296" s="272"/>
      <c r="IW296" s="274"/>
      <c r="IX296" s="274"/>
      <c r="IY296" s="272"/>
    </row>
    <row r="297" spans="10:259">
      <c r="J297" s="267"/>
      <c r="K297" s="267"/>
      <c r="L297" s="267"/>
      <c r="M297" s="267"/>
      <c r="N297" s="267"/>
      <c r="O297" s="267"/>
      <c r="P297" s="267"/>
      <c r="Q297" s="267"/>
      <c r="S297" s="267"/>
      <c r="T297" s="267"/>
      <c r="U297" s="267"/>
      <c r="V297" s="267"/>
      <c r="W297" s="264"/>
      <c r="Y297" s="267"/>
      <c r="Z297" s="267"/>
      <c r="AA297" s="267"/>
      <c r="AB297" s="267"/>
      <c r="AE297" s="267"/>
      <c r="AF297" s="267"/>
      <c r="AG297" s="267"/>
      <c r="AH297" s="267"/>
      <c r="AK297" s="267"/>
      <c r="AL297" s="267"/>
      <c r="AM297" s="267"/>
      <c r="AN297" s="267"/>
      <c r="AQ297" s="267"/>
      <c r="AR297" s="267"/>
      <c r="AS297" s="267"/>
      <c r="AT297" s="267"/>
      <c r="AW297" s="267"/>
      <c r="AX297" s="267"/>
      <c r="AY297" s="267"/>
      <c r="AZ297" s="267"/>
      <c r="BG297" s="269"/>
      <c r="BM297" s="269"/>
      <c r="BS297" s="269"/>
      <c r="BU297" s="267"/>
      <c r="BY297" s="267"/>
      <c r="CC297" s="267"/>
      <c r="CG297" s="267"/>
      <c r="CS297" s="267"/>
      <c r="CW297" s="270"/>
      <c r="CX297" s="267"/>
      <c r="DC297" s="267"/>
      <c r="DH297" s="267"/>
      <c r="DM297" s="267"/>
      <c r="DR297" s="267"/>
      <c r="DW297" s="267"/>
      <c r="EB297" s="267"/>
      <c r="EG297" s="267"/>
      <c r="EL297" s="267"/>
      <c r="EQ297" s="267"/>
      <c r="EU297" s="270"/>
      <c r="EV297" s="267"/>
      <c r="FC297" s="267"/>
      <c r="FD297" s="267"/>
      <c r="FE297" s="267"/>
      <c r="FF297" s="267"/>
      <c r="FG297" s="267"/>
      <c r="FL297" s="267"/>
      <c r="FM297" s="267"/>
      <c r="FN297" s="267"/>
      <c r="FO297" s="267"/>
      <c r="FP297" s="267"/>
      <c r="FQ297" s="264"/>
      <c r="FR297" s="264"/>
      <c r="FS297" s="264"/>
      <c r="FT297" s="264"/>
      <c r="FU297" s="267"/>
      <c r="FV297" s="267"/>
      <c r="FW297" s="267"/>
      <c r="FX297" s="267"/>
      <c r="FY297" s="267"/>
      <c r="GD297" s="267"/>
      <c r="GE297" s="267"/>
      <c r="GF297" s="267"/>
      <c r="GG297" s="267"/>
      <c r="GH297" s="267"/>
      <c r="GI297" s="264"/>
      <c r="GJ297" s="264"/>
      <c r="GK297" s="264"/>
      <c r="GL297" s="264"/>
      <c r="HD297" s="267"/>
      <c r="HE297" s="267"/>
      <c r="HF297" s="267"/>
      <c r="HG297" s="267"/>
      <c r="HH297" s="267"/>
      <c r="HI297" s="267"/>
      <c r="HJ297" s="267"/>
      <c r="HK297" s="267"/>
      <c r="HL297" s="267"/>
      <c r="HM297" s="267"/>
      <c r="HN297" s="267"/>
      <c r="HO297" s="267"/>
      <c r="HP297" s="267"/>
      <c r="HQ297" s="267"/>
      <c r="HR297" s="267"/>
      <c r="HS297" s="267"/>
      <c r="HT297" s="267"/>
      <c r="HU297" s="267"/>
      <c r="IH297" s="267"/>
      <c r="IK297" s="267"/>
      <c r="IN297" s="267"/>
      <c r="IQ297" s="267"/>
      <c r="IR297" s="267"/>
      <c r="IS297" s="267"/>
      <c r="IT297" s="274"/>
      <c r="IU297" s="274"/>
      <c r="IV297" s="272"/>
      <c r="IW297" s="274"/>
      <c r="IX297" s="274"/>
      <c r="IY297" s="272"/>
    </row>
    <row r="298" spans="10:259">
      <c r="J298" s="267"/>
      <c r="K298" s="267"/>
      <c r="L298" s="267"/>
      <c r="M298" s="267"/>
      <c r="N298" s="267"/>
      <c r="O298" s="267"/>
      <c r="P298" s="267"/>
      <c r="Q298" s="267"/>
      <c r="S298" s="267"/>
      <c r="T298" s="267"/>
      <c r="U298" s="267"/>
      <c r="V298" s="267"/>
      <c r="W298" s="264"/>
      <c r="Y298" s="267"/>
      <c r="Z298" s="267"/>
      <c r="AA298" s="267"/>
      <c r="AB298" s="267"/>
      <c r="AE298" s="267"/>
      <c r="AF298" s="267"/>
      <c r="AG298" s="267"/>
      <c r="AH298" s="267"/>
      <c r="AK298" s="267"/>
      <c r="AL298" s="267"/>
      <c r="AM298" s="267"/>
      <c r="AN298" s="267"/>
      <c r="AQ298" s="267"/>
      <c r="AR298" s="267"/>
      <c r="AS298" s="267"/>
      <c r="AT298" s="267"/>
      <c r="AW298" s="267"/>
      <c r="AX298" s="267"/>
      <c r="AY298" s="267"/>
      <c r="AZ298" s="267"/>
      <c r="BG298" s="269"/>
      <c r="BM298" s="269"/>
      <c r="BS298" s="269"/>
      <c r="BU298" s="267"/>
      <c r="BY298" s="267"/>
      <c r="CC298" s="267"/>
      <c r="CG298" s="267"/>
      <c r="CS298" s="267"/>
      <c r="CW298" s="270"/>
      <c r="CX298" s="267"/>
      <c r="DC298" s="267"/>
      <c r="DH298" s="267"/>
      <c r="DM298" s="267"/>
      <c r="DR298" s="267"/>
      <c r="DW298" s="267"/>
      <c r="EB298" s="267"/>
      <c r="EG298" s="267"/>
      <c r="EL298" s="267"/>
      <c r="EQ298" s="267"/>
      <c r="EU298" s="270"/>
      <c r="EV298" s="267"/>
      <c r="FC298" s="267"/>
      <c r="FD298" s="267"/>
      <c r="FE298" s="267"/>
      <c r="FF298" s="267"/>
      <c r="FG298" s="267"/>
      <c r="FL298" s="267"/>
      <c r="FM298" s="267"/>
      <c r="FN298" s="267"/>
      <c r="FO298" s="267"/>
      <c r="FP298" s="267"/>
      <c r="FQ298" s="264"/>
      <c r="FR298" s="264"/>
      <c r="FS298" s="264"/>
      <c r="FT298" s="264"/>
      <c r="FU298" s="267"/>
      <c r="FV298" s="267"/>
      <c r="FW298" s="267"/>
      <c r="FX298" s="267"/>
      <c r="FY298" s="267"/>
      <c r="GD298" s="267"/>
      <c r="GE298" s="267"/>
      <c r="GF298" s="267"/>
      <c r="GG298" s="267"/>
      <c r="GH298" s="267"/>
      <c r="GI298" s="264"/>
      <c r="GJ298" s="264"/>
      <c r="GK298" s="264"/>
      <c r="GL298" s="264"/>
      <c r="HD298" s="267"/>
      <c r="HE298" s="267"/>
      <c r="HF298" s="267"/>
      <c r="HG298" s="267"/>
      <c r="HH298" s="267"/>
      <c r="HI298" s="267"/>
      <c r="HJ298" s="267"/>
      <c r="HK298" s="267"/>
      <c r="HL298" s="267"/>
      <c r="HM298" s="267"/>
      <c r="HN298" s="267"/>
      <c r="HO298" s="267"/>
      <c r="HP298" s="267"/>
      <c r="HQ298" s="267"/>
      <c r="HR298" s="267"/>
      <c r="HS298" s="267"/>
      <c r="HT298" s="267"/>
      <c r="HU298" s="267"/>
      <c r="IH298" s="267"/>
      <c r="IK298" s="267"/>
      <c r="IN298" s="267"/>
      <c r="IQ298" s="267"/>
      <c r="IR298" s="267"/>
      <c r="IS298" s="267"/>
      <c r="IT298" s="274"/>
      <c r="IU298" s="274"/>
      <c r="IV298" s="272"/>
      <c r="IW298" s="274"/>
      <c r="IX298" s="274"/>
      <c r="IY298" s="272"/>
    </row>
    <row r="299" spans="10:259">
      <c r="J299" s="267"/>
      <c r="K299" s="267"/>
      <c r="L299" s="267"/>
      <c r="M299" s="267"/>
      <c r="N299" s="267"/>
      <c r="O299" s="267"/>
      <c r="P299" s="267"/>
      <c r="Q299" s="267"/>
      <c r="S299" s="267"/>
      <c r="T299" s="267"/>
      <c r="U299" s="267"/>
      <c r="V299" s="267"/>
      <c r="W299" s="264"/>
      <c r="Y299" s="267"/>
      <c r="Z299" s="267"/>
      <c r="AA299" s="267"/>
      <c r="AB299" s="267"/>
      <c r="AE299" s="267"/>
      <c r="AF299" s="267"/>
      <c r="AG299" s="267"/>
      <c r="AH299" s="267"/>
      <c r="AK299" s="267"/>
      <c r="AL299" s="267"/>
      <c r="AM299" s="267"/>
      <c r="AN299" s="267"/>
      <c r="AQ299" s="267"/>
      <c r="AR299" s="267"/>
      <c r="AS299" s="267"/>
      <c r="AT299" s="267"/>
      <c r="AW299" s="267"/>
      <c r="AX299" s="267"/>
      <c r="AY299" s="267"/>
      <c r="AZ299" s="267"/>
      <c r="BG299" s="269"/>
      <c r="BM299" s="269"/>
      <c r="BS299" s="269"/>
      <c r="BU299" s="267"/>
      <c r="BY299" s="267"/>
      <c r="CC299" s="267"/>
      <c r="CG299" s="267"/>
      <c r="CS299" s="267"/>
      <c r="CW299" s="270"/>
      <c r="CX299" s="267"/>
      <c r="DC299" s="267"/>
      <c r="DH299" s="267"/>
      <c r="DM299" s="267"/>
      <c r="DR299" s="267"/>
      <c r="DW299" s="267"/>
      <c r="EB299" s="267"/>
      <c r="EG299" s="267"/>
      <c r="EL299" s="267"/>
      <c r="EQ299" s="267"/>
      <c r="EU299" s="270"/>
      <c r="EV299" s="267"/>
      <c r="FC299" s="267"/>
      <c r="FD299" s="267"/>
      <c r="FE299" s="267"/>
      <c r="FF299" s="267"/>
      <c r="FG299" s="267"/>
      <c r="FL299" s="267"/>
      <c r="FM299" s="267"/>
      <c r="FN299" s="267"/>
      <c r="FO299" s="267"/>
      <c r="FP299" s="267"/>
      <c r="FQ299" s="264"/>
      <c r="FR299" s="264"/>
      <c r="FS299" s="264"/>
      <c r="FT299" s="264"/>
      <c r="FU299" s="267"/>
      <c r="FV299" s="267"/>
      <c r="FW299" s="267"/>
      <c r="FX299" s="267"/>
      <c r="FY299" s="267"/>
      <c r="GD299" s="267"/>
      <c r="GE299" s="267"/>
      <c r="GF299" s="267"/>
      <c r="GG299" s="267"/>
      <c r="GH299" s="267"/>
      <c r="GI299" s="264"/>
      <c r="GJ299" s="264"/>
      <c r="GK299" s="264"/>
      <c r="GL299" s="264"/>
      <c r="HD299" s="267"/>
      <c r="HE299" s="267"/>
      <c r="HF299" s="267"/>
      <c r="HG299" s="267"/>
      <c r="HH299" s="267"/>
      <c r="HI299" s="267"/>
      <c r="HJ299" s="267"/>
      <c r="HK299" s="267"/>
      <c r="HL299" s="267"/>
      <c r="HM299" s="267"/>
      <c r="HN299" s="267"/>
      <c r="HO299" s="267"/>
      <c r="HP299" s="267"/>
      <c r="HQ299" s="267"/>
      <c r="HR299" s="267"/>
      <c r="HS299" s="267"/>
      <c r="HT299" s="267"/>
      <c r="HU299" s="267"/>
      <c r="IH299" s="267"/>
      <c r="IK299" s="267"/>
      <c r="IN299" s="267"/>
      <c r="IQ299" s="267"/>
      <c r="IR299" s="267"/>
      <c r="IS299" s="267"/>
      <c r="IT299" s="274"/>
      <c r="IU299" s="274"/>
      <c r="IV299" s="272"/>
      <c r="IW299" s="274"/>
      <c r="IX299" s="274"/>
      <c r="IY299" s="272"/>
    </row>
    <row r="300" spans="10:259">
      <c r="J300" s="267"/>
      <c r="K300" s="267"/>
      <c r="L300" s="267"/>
      <c r="M300" s="267"/>
      <c r="N300" s="267"/>
      <c r="O300" s="267"/>
      <c r="P300" s="267"/>
      <c r="Q300" s="267"/>
      <c r="S300" s="267"/>
      <c r="T300" s="267"/>
      <c r="U300" s="267"/>
      <c r="V300" s="267"/>
      <c r="W300" s="264"/>
      <c r="Y300" s="267"/>
      <c r="Z300" s="267"/>
      <c r="AA300" s="267"/>
      <c r="AB300" s="267"/>
      <c r="AE300" s="267"/>
      <c r="AF300" s="267"/>
      <c r="AG300" s="267"/>
      <c r="AH300" s="267"/>
      <c r="AK300" s="267"/>
      <c r="AL300" s="267"/>
      <c r="AM300" s="267"/>
      <c r="AN300" s="267"/>
      <c r="AQ300" s="267"/>
      <c r="AR300" s="267"/>
      <c r="AS300" s="267"/>
      <c r="AT300" s="267"/>
      <c r="AW300" s="267"/>
      <c r="AX300" s="267"/>
      <c r="AY300" s="267"/>
      <c r="AZ300" s="267"/>
      <c r="BG300" s="269"/>
      <c r="BM300" s="269"/>
      <c r="BS300" s="269"/>
      <c r="BU300" s="267"/>
      <c r="BY300" s="267"/>
      <c r="CC300" s="267"/>
      <c r="CG300" s="267"/>
      <c r="CS300" s="267"/>
      <c r="CW300" s="270"/>
      <c r="CX300" s="267"/>
      <c r="DC300" s="267"/>
      <c r="DH300" s="267"/>
      <c r="DM300" s="267"/>
      <c r="DR300" s="267"/>
      <c r="DW300" s="267"/>
      <c r="EB300" s="267"/>
      <c r="EG300" s="267"/>
      <c r="EL300" s="267"/>
      <c r="EQ300" s="267"/>
      <c r="EU300" s="270"/>
      <c r="EV300" s="267"/>
      <c r="FC300" s="267"/>
      <c r="FD300" s="267"/>
      <c r="FE300" s="267"/>
      <c r="FF300" s="267"/>
      <c r="FG300" s="267"/>
      <c r="FL300" s="267"/>
      <c r="FM300" s="267"/>
      <c r="FN300" s="267"/>
      <c r="FO300" s="267"/>
      <c r="FP300" s="267"/>
      <c r="FQ300" s="264"/>
      <c r="FR300" s="264"/>
      <c r="FS300" s="264"/>
      <c r="FT300" s="264"/>
      <c r="FU300" s="267"/>
      <c r="FV300" s="267"/>
      <c r="FW300" s="267"/>
      <c r="FX300" s="267"/>
      <c r="FY300" s="267"/>
      <c r="GD300" s="267"/>
      <c r="GE300" s="267"/>
      <c r="GF300" s="267"/>
      <c r="GG300" s="267"/>
      <c r="GH300" s="267"/>
      <c r="GI300" s="264"/>
      <c r="GJ300" s="264"/>
      <c r="GK300" s="264"/>
      <c r="GL300" s="264"/>
      <c r="HD300" s="267"/>
      <c r="HE300" s="267"/>
      <c r="HF300" s="267"/>
      <c r="HG300" s="267"/>
      <c r="HH300" s="267"/>
      <c r="HI300" s="267"/>
      <c r="HJ300" s="267"/>
      <c r="HK300" s="267"/>
      <c r="HL300" s="267"/>
      <c r="HM300" s="267"/>
      <c r="HN300" s="267"/>
      <c r="HO300" s="267"/>
      <c r="HP300" s="267"/>
      <c r="HQ300" s="267"/>
      <c r="HR300" s="267"/>
      <c r="HS300" s="267"/>
      <c r="HT300" s="267"/>
      <c r="HU300" s="267"/>
      <c r="IH300" s="267"/>
      <c r="IK300" s="267"/>
      <c r="IN300" s="267"/>
      <c r="IQ300" s="267"/>
      <c r="IR300" s="267"/>
      <c r="IS300" s="267"/>
      <c r="IT300" s="274"/>
      <c r="IU300" s="274"/>
      <c r="IV300" s="272"/>
      <c r="IW300" s="274"/>
      <c r="IX300" s="274"/>
      <c r="IY300" s="272"/>
    </row>
    <row r="301" spans="10:259">
      <c r="J301" s="267"/>
      <c r="K301" s="267"/>
      <c r="L301" s="267"/>
      <c r="M301" s="267"/>
      <c r="N301" s="267"/>
      <c r="O301" s="267"/>
      <c r="P301" s="267"/>
      <c r="Q301" s="267"/>
      <c r="S301" s="267"/>
      <c r="T301" s="267"/>
      <c r="U301" s="267"/>
      <c r="V301" s="267"/>
      <c r="W301" s="264"/>
      <c r="Y301" s="267"/>
      <c r="Z301" s="267"/>
      <c r="AA301" s="267"/>
      <c r="AB301" s="267"/>
      <c r="AE301" s="267"/>
      <c r="AF301" s="267"/>
      <c r="AG301" s="267"/>
      <c r="AH301" s="267"/>
      <c r="AK301" s="267"/>
      <c r="AL301" s="267"/>
      <c r="AM301" s="267"/>
      <c r="AN301" s="267"/>
      <c r="AQ301" s="267"/>
      <c r="AR301" s="267"/>
      <c r="AS301" s="267"/>
      <c r="AT301" s="267"/>
      <c r="AW301" s="267"/>
      <c r="AX301" s="267"/>
      <c r="AY301" s="267"/>
      <c r="AZ301" s="267"/>
      <c r="BG301" s="269"/>
      <c r="BM301" s="269"/>
      <c r="BS301" s="269"/>
      <c r="BU301" s="267"/>
      <c r="BY301" s="267"/>
      <c r="CC301" s="267"/>
      <c r="CG301" s="267"/>
      <c r="CS301" s="267"/>
      <c r="CW301" s="270"/>
      <c r="CX301" s="267"/>
      <c r="DC301" s="267"/>
      <c r="DH301" s="267"/>
      <c r="DM301" s="267"/>
      <c r="DR301" s="267"/>
      <c r="DW301" s="267"/>
      <c r="EB301" s="267"/>
      <c r="EG301" s="267"/>
      <c r="EL301" s="267"/>
      <c r="EQ301" s="267"/>
      <c r="EU301" s="270"/>
      <c r="EV301" s="267"/>
      <c r="FC301" s="267"/>
      <c r="FD301" s="267"/>
      <c r="FE301" s="267"/>
      <c r="FF301" s="267"/>
      <c r="FG301" s="267"/>
      <c r="FL301" s="267"/>
      <c r="FM301" s="267"/>
      <c r="FN301" s="267"/>
      <c r="FO301" s="267"/>
      <c r="FP301" s="267"/>
      <c r="FQ301" s="264"/>
      <c r="FR301" s="264"/>
      <c r="FS301" s="264"/>
      <c r="FT301" s="264"/>
      <c r="FU301" s="267"/>
      <c r="FV301" s="267"/>
      <c r="FW301" s="267"/>
      <c r="FX301" s="267"/>
      <c r="FY301" s="267"/>
      <c r="GD301" s="267"/>
      <c r="GE301" s="267"/>
      <c r="GF301" s="267"/>
      <c r="GG301" s="267"/>
      <c r="GH301" s="267"/>
      <c r="GI301" s="264"/>
      <c r="GJ301" s="264"/>
      <c r="GK301" s="264"/>
      <c r="GL301" s="264"/>
      <c r="HD301" s="267"/>
      <c r="HE301" s="267"/>
      <c r="HF301" s="267"/>
      <c r="HG301" s="267"/>
      <c r="HH301" s="267"/>
      <c r="HI301" s="267"/>
      <c r="HJ301" s="267"/>
      <c r="HK301" s="267"/>
      <c r="HL301" s="267"/>
      <c r="HM301" s="267"/>
      <c r="HN301" s="267"/>
      <c r="HO301" s="267"/>
      <c r="HP301" s="267"/>
      <c r="HQ301" s="267"/>
      <c r="HR301" s="267"/>
      <c r="HS301" s="267"/>
      <c r="HT301" s="267"/>
      <c r="HU301" s="267"/>
      <c r="IH301" s="267"/>
      <c r="IK301" s="267"/>
      <c r="IN301" s="267"/>
      <c r="IQ301" s="267"/>
      <c r="IR301" s="267"/>
      <c r="IS301" s="267"/>
      <c r="IT301" s="274"/>
      <c r="IU301" s="274"/>
      <c r="IV301" s="272"/>
      <c r="IW301" s="274"/>
      <c r="IX301" s="274"/>
      <c r="IY301" s="272"/>
    </row>
    <row r="302" spans="10:259">
      <c r="J302" s="267"/>
      <c r="K302" s="267"/>
      <c r="L302" s="267"/>
      <c r="M302" s="267"/>
      <c r="N302" s="267"/>
      <c r="O302" s="267"/>
      <c r="P302" s="267"/>
      <c r="Q302" s="267"/>
      <c r="S302" s="267"/>
      <c r="T302" s="267"/>
      <c r="U302" s="267"/>
      <c r="V302" s="267"/>
      <c r="W302" s="264"/>
      <c r="Y302" s="267"/>
      <c r="Z302" s="267"/>
      <c r="AA302" s="267"/>
      <c r="AB302" s="267"/>
      <c r="AE302" s="267"/>
      <c r="AF302" s="267"/>
      <c r="AG302" s="267"/>
      <c r="AH302" s="267"/>
      <c r="AK302" s="267"/>
      <c r="AL302" s="267"/>
      <c r="AM302" s="267"/>
      <c r="AN302" s="267"/>
      <c r="AQ302" s="267"/>
      <c r="AR302" s="267"/>
      <c r="AS302" s="267"/>
      <c r="AT302" s="267"/>
      <c r="AW302" s="267"/>
      <c r="AX302" s="267"/>
      <c r="AY302" s="267"/>
      <c r="AZ302" s="267"/>
      <c r="BG302" s="269"/>
      <c r="BM302" s="269"/>
      <c r="BS302" s="269"/>
      <c r="BU302" s="267"/>
      <c r="BY302" s="267"/>
      <c r="CC302" s="267"/>
      <c r="CG302" s="267"/>
      <c r="CS302" s="267"/>
      <c r="CW302" s="270"/>
      <c r="CX302" s="267"/>
      <c r="DC302" s="267"/>
      <c r="DH302" s="267"/>
      <c r="DM302" s="267"/>
      <c r="DR302" s="267"/>
      <c r="DW302" s="267"/>
      <c r="EB302" s="267"/>
      <c r="EG302" s="267"/>
      <c r="EL302" s="267"/>
      <c r="EQ302" s="267"/>
      <c r="EU302" s="270"/>
      <c r="EV302" s="267"/>
      <c r="FC302" s="267"/>
      <c r="FD302" s="267"/>
      <c r="FE302" s="267"/>
      <c r="FF302" s="267"/>
      <c r="FG302" s="267"/>
      <c r="FL302" s="267"/>
      <c r="FM302" s="267"/>
      <c r="FN302" s="267"/>
      <c r="FO302" s="267"/>
      <c r="FP302" s="267"/>
      <c r="FQ302" s="264"/>
      <c r="FR302" s="264"/>
      <c r="FS302" s="264"/>
      <c r="FT302" s="264"/>
      <c r="FU302" s="267"/>
      <c r="FV302" s="267"/>
      <c r="FW302" s="267"/>
      <c r="FX302" s="267"/>
      <c r="FY302" s="267"/>
      <c r="GD302" s="267"/>
      <c r="GE302" s="267"/>
      <c r="GF302" s="267"/>
      <c r="GG302" s="267"/>
      <c r="GH302" s="267"/>
      <c r="GI302" s="264"/>
      <c r="GJ302" s="264"/>
      <c r="GK302" s="264"/>
      <c r="GL302" s="264"/>
      <c r="HD302" s="267"/>
      <c r="HE302" s="267"/>
      <c r="HF302" s="267"/>
      <c r="HG302" s="267"/>
      <c r="HH302" s="267"/>
      <c r="HI302" s="267"/>
      <c r="HJ302" s="267"/>
      <c r="HK302" s="267"/>
      <c r="HL302" s="267"/>
      <c r="HM302" s="267"/>
      <c r="HN302" s="267"/>
      <c r="HO302" s="267"/>
      <c r="HP302" s="267"/>
      <c r="HQ302" s="267"/>
      <c r="HR302" s="267"/>
      <c r="HS302" s="267"/>
      <c r="HT302" s="267"/>
      <c r="HU302" s="267"/>
      <c r="IH302" s="267"/>
      <c r="IK302" s="267"/>
      <c r="IN302" s="267"/>
      <c r="IQ302" s="267"/>
      <c r="IR302" s="267"/>
      <c r="IS302" s="267"/>
      <c r="IT302" s="274"/>
      <c r="IU302" s="274"/>
      <c r="IV302" s="272"/>
      <c r="IW302" s="274"/>
      <c r="IX302" s="274"/>
      <c r="IY302" s="272"/>
    </row>
    <row r="303" spans="10:259">
      <c r="J303" s="267"/>
      <c r="K303" s="267"/>
      <c r="L303" s="267"/>
      <c r="M303" s="267"/>
      <c r="N303" s="267"/>
      <c r="O303" s="267"/>
      <c r="P303" s="267"/>
      <c r="Q303" s="267"/>
      <c r="S303" s="267"/>
      <c r="T303" s="267"/>
      <c r="U303" s="267"/>
      <c r="V303" s="267"/>
      <c r="W303" s="264"/>
      <c r="Y303" s="267"/>
      <c r="Z303" s="267"/>
      <c r="AA303" s="267"/>
      <c r="AB303" s="267"/>
      <c r="AE303" s="267"/>
      <c r="AF303" s="267"/>
      <c r="AG303" s="267"/>
      <c r="AH303" s="267"/>
      <c r="AK303" s="267"/>
      <c r="AL303" s="267"/>
      <c r="AM303" s="267"/>
      <c r="AN303" s="267"/>
      <c r="AQ303" s="267"/>
      <c r="AR303" s="267"/>
      <c r="AS303" s="267"/>
      <c r="AT303" s="267"/>
      <c r="AW303" s="267"/>
      <c r="AX303" s="267"/>
      <c r="AY303" s="267"/>
      <c r="AZ303" s="267"/>
      <c r="BG303" s="269"/>
      <c r="BM303" s="269"/>
      <c r="BS303" s="269"/>
      <c r="BU303" s="267"/>
      <c r="BY303" s="267"/>
      <c r="CC303" s="267"/>
      <c r="CG303" s="267"/>
      <c r="CS303" s="267"/>
      <c r="CW303" s="270"/>
      <c r="CX303" s="267"/>
      <c r="DC303" s="267"/>
      <c r="DH303" s="267"/>
      <c r="DM303" s="267"/>
      <c r="DR303" s="267"/>
      <c r="DW303" s="267"/>
      <c r="EB303" s="267"/>
      <c r="EG303" s="267"/>
      <c r="EL303" s="267"/>
      <c r="EQ303" s="267"/>
      <c r="EU303" s="270"/>
      <c r="EV303" s="267"/>
      <c r="FC303" s="267"/>
      <c r="FD303" s="267"/>
      <c r="FE303" s="267"/>
      <c r="FF303" s="267"/>
      <c r="FG303" s="267"/>
      <c r="FL303" s="267"/>
      <c r="FM303" s="267"/>
      <c r="FN303" s="267"/>
      <c r="FO303" s="267"/>
      <c r="FP303" s="267"/>
      <c r="FQ303" s="264"/>
      <c r="FR303" s="264"/>
      <c r="FS303" s="264"/>
      <c r="FT303" s="264"/>
      <c r="FU303" s="267"/>
      <c r="FV303" s="267"/>
      <c r="FW303" s="267"/>
      <c r="FX303" s="267"/>
      <c r="FY303" s="267"/>
      <c r="GD303" s="267"/>
      <c r="GE303" s="267"/>
      <c r="GF303" s="267"/>
      <c r="GG303" s="267"/>
      <c r="GH303" s="267"/>
      <c r="GI303" s="264"/>
      <c r="GJ303" s="264"/>
      <c r="GK303" s="264"/>
      <c r="GL303" s="264"/>
      <c r="HD303" s="267"/>
      <c r="HE303" s="267"/>
      <c r="HF303" s="267"/>
      <c r="HG303" s="267"/>
      <c r="HH303" s="267"/>
      <c r="HI303" s="267"/>
      <c r="HJ303" s="267"/>
      <c r="HK303" s="267"/>
      <c r="HL303" s="267"/>
      <c r="HM303" s="267"/>
      <c r="HN303" s="267"/>
      <c r="HO303" s="267"/>
      <c r="HP303" s="267"/>
      <c r="HQ303" s="267"/>
      <c r="HR303" s="267"/>
      <c r="HS303" s="267"/>
      <c r="HT303" s="267"/>
      <c r="HU303" s="267"/>
      <c r="IH303" s="267"/>
      <c r="IK303" s="267"/>
      <c r="IN303" s="267"/>
      <c r="IQ303" s="267"/>
      <c r="IR303" s="267"/>
      <c r="IS303" s="267"/>
      <c r="IT303" s="274"/>
      <c r="IU303" s="274"/>
      <c r="IV303" s="272"/>
      <c r="IW303" s="274"/>
      <c r="IX303" s="274"/>
      <c r="IY303" s="272"/>
    </row>
    <row r="304" spans="10:259">
      <c r="J304" s="267"/>
      <c r="K304" s="267"/>
      <c r="L304" s="267"/>
      <c r="M304" s="267"/>
      <c r="N304" s="267"/>
      <c r="O304" s="267"/>
      <c r="P304" s="267"/>
      <c r="Q304" s="267"/>
      <c r="S304" s="267"/>
      <c r="T304" s="267"/>
      <c r="U304" s="267"/>
      <c r="V304" s="267"/>
      <c r="W304" s="264"/>
      <c r="Y304" s="267"/>
      <c r="Z304" s="267"/>
      <c r="AA304" s="267"/>
      <c r="AB304" s="267"/>
      <c r="AE304" s="267"/>
      <c r="AF304" s="267"/>
      <c r="AG304" s="267"/>
      <c r="AH304" s="267"/>
      <c r="AK304" s="267"/>
      <c r="AL304" s="267"/>
      <c r="AM304" s="267"/>
      <c r="AN304" s="267"/>
      <c r="AQ304" s="267"/>
      <c r="AR304" s="267"/>
      <c r="AS304" s="267"/>
      <c r="AT304" s="267"/>
      <c r="AW304" s="267"/>
      <c r="AX304" s="267"/>
      <c r="AY304" s="267"/>
      <c r="AZ304" s="267"/>
      <c r="BG304" s="269"/>
      <c r="BM304" s="269"/>
      <c r="BS304" s="269"/>
      <c r="BU304" s="267"/>
      <c r="BY304" s="267"/>
      <c r="CC304" s="267"/>
      <c r="CG304" s="267"/>
      <c r="CS304" s="267"/>
      <c r="CW304" s="270"/>
      <c r="CX304" s="267"/>
      <c r="DC304" s="267"/>
      <c r="DH304" s="267"/>
      <c r="DM304" s="267"/>
      <c r="DR304" s="267"/>
      <c r="DW304" s="267"/>
      <c r="EB304" s="267"/>
      <c r="EG304" s="267"/>
      <c r="EL304" s="267"/>
      <c r="EQ304" s="267"/>
      <c r="EU304" s="270"/>
      <c r="EV304" s="267"/>
      <c r="FC304" s="267"/>
      <c r="FD304" s="267"/>
      <c r="FE304" s="267"/>
      <c r="FF304" s="267"/>
      <c r="FG304" s="267"/>
      <c r="FL304" s="267"/>
      <c r="FM304" s="267"/>
      <c r="FN304" s="267"/>
      <c r="FO304" s="267"/>
      <c r="FP304" s="267"/>
      <c r="FQ304" s="264"/>
      <c r="FR304" s="264"/>
      <c r="FS304" s="264"/>
      <c r="FT304" s="264"/>
      <c r="FU304" s="267"/>
      <c r="FV304" s="267"/>
      <c r="FW304" s="267"/>
      <c r="FX304" s="267"/>
      <c r="FY304" s="267"/>
      <c r="GD304" s="267"/>
      <c r="GE304" s="267"/>
      <c r="GF304" s="267"/>
      <c r="GG304" s="267"/>
      <c r="GH304" s="267"/>
      <c r="GI304" s="264"/>
      <c r="GJ304" s="264"/>
      <c r="GK304" s="264"/>
      <c r="GL304" s="264"/>
      <c r="HD304" s="267"/>
      <c r="HE304" s="267"/>
      <c r="HF304" s="267"/>
      <c r="HG304" s="267"/>
      <c r="HH304" s="267"/>
      <c r="HI304" s="267"/>
      <c r="HJ304" s="267"/>
      <c r="HK304" s="267"/>
      <c r="HL304" s="267"/>
      <c r="HM304" s="267"/>
      <c r="HN304" s="267"/>
      <c r="HO304" s="267"/>
      <c r="HP304" s="267"/>
      <c r="HQ304" s="267"/>
      <c r="HR304" s="267"/>
      <c r="HS304" s="267"/>
      <c r="HT304" s="267"/>
      <c r="HU304" s="267"/>
      <c r="IH304" s="267"/>
      <c r="IK304" s="267"/>
      <c r="IN304" s="267"/>
      <c r="IQ304" s="267"/>
      <c r="IR304" s="267"/>
      <c r="IS304" s="267"/>
      <c r="IT304" s="274"/>
      <c r="IU304" s="274"/>
      <c r="IV304" s="272"/>
      <c r="IW304" s="274"/>
      <c r="IX304" s="274"/>
      <c r="IY304" s="272"/>
    </row>
    <row r="305" spans="10:259">
      <c r="J305" s="267"/>
      <c r="K305" s="267"/>
      <c r="L305" s="267"/>
      <c r="M305" s="267"/>
      <c r="N305" s="267"/>
      <c r="O305" s="267"/>
      <c r="P305" s="267"/>
      <c r="Q305" s="267"/>
      <c r="S305" s="267"/>
      <c r="T305" s="267"/>
      <c r="U305" s="267"/>
      <c r="V305" s="267"/>
      <c r="W305" s="264"/>
      <c r="Y305" s="267"/>
      <c r="Z305" s="267"/>
      <c r="AA305" s="267"/>
      <c r="AB305" s="267"/>
      <c r="AE305" s="267"/>
      <c r="AF305" s="267"/>
      <c r="AG305" s="267"/>
      <c r="AH305" s="267"/>
      <c r="AK305" s="267"/>
      <c r="AL305" s="267"/>
      <c r="AM305" s="267"/>
      <c r="AN305" s="267"/>
      <c r="AQ305" s="267"/>
      <c r="AR305" s="267"/>
      <c r="AS305" s="267"/>
      <c r="AT305" s="267"/>
      <c r="AW305" s="267"/>
      <c r="AX305" s="267"/>
      <c r="AY305" s="267"/>
      <c r="AZ305" s="267"/>
      <c r="BG305" s="269"/>
      <c r="BM305" s="269"/>
      <c r="BS305" s="269"/>
      <c r="BU305" s="267"/>
      <c r="BY305" s="267"/>
      <c r="CC305" s="267"/>
      <c r="CG305" s="267"/>
      <c r="CS305" s="267"/>
      <c r="CW305" s="270"/>
      <c r="CX305" s="267"/>
      <c r="DC305" s="267"/>
      <c r="DH305" s="267"/>
      <c r="DM305" s="267"/>
      <c r="DR305" s="267"/>
      <c r="DW305" s="267"/>
      <c r="EB305" s="267"/>
      <c r="EG305" s="267"/>
      <c r="EL305" s="267"/>
      <c r="EQ305" s="267"/>
      <c r="EU305" s="270"/>
      <c r="EV305" s="267"/>
      <c r="FC305" s="267"/>
      <c r="FD305" s="267"/>
      <c r="FE305" s="267"/>
      <c r="FF305" s="267"/>
      <c r="FG305" s="267"/>
      <c r="FL305" s="267"/>
      <c r="FM305" s="267"/>
      <c r="FN305" s="267"/>
      <c r="FO305" s="267"/>
      <c r="FP305" s="267"/>
      <c r="FQ305" s="264"/>
      <c r="FR305" s="264"/>
      <c r="FS305" s="264"/>
      <c r="FT305" s="264"/>
      <c r="FU305" s="267"/>
      <c r="FV305" s="267"/>
      <c r="FW305" s="267"/>
      <c r="FX305" s="267"/>
      <c r="FY305" s="267"/>
      <c r="GD305" s="267"/>
      <c r="GE305" s="267"/>
      <c r="GF305" s="267"/>
      <c r="GG305" s="267"/>
      <c r="GH305" s="267"/>
      <c r="GI305" s="264"/>
      <c r="GJ305" s="264"/>
      <c r="GK305" s="264"/>
      <c r="GL305" s="264"/>
      <c r="HD305" s="267"/>
      <c r="HE305" s="267"/>
      <c r="HF305" s="267"/>
      <c r="HG305" s="267"/>
      <c r="HH305" s="267"/>
      <c r="HI305" s="267"/>
      <c r="HJ305" s="267"/>
      <c r="HK305" s="267"/>
      <c r="HL305" s="267"/>
      <c r="HM305" s="267"/>
      <c r="HN305" s="267"/>
      <c r="HO305" s="267"/>
      <c r="HP305" s="267"/>
      <c r="HQ305" s="267"/>
      <c r="HR305" s="267"/>
      <c r="HS305" s="267"/>
      <c r="HT305" s="267"/>
      <c r="HU305" s="267"/>
      <c r="IH305" s="267"/>
      <c r="IK305" s="267"/>
      <c r="IN305" s="267"/>
      <c r="IQ305" s="267"/>
      <c r="IR305" s="267"/>
      <c r="IS305" s="267"/>
      <c r="IT305" s="274"/>
      <c r="IU305" s="274"/>
      <c r="IV305" s="272"/>
      <c r="IW305" s="274"/>
      <c r="IX305" s="274"/>
      <c r="IY305" s="272"/>
    </row>
    <row r="306" spans="10:259">
      <c r="J306" s="267"/>
      <c r="K306" s="267"/>
      <c r="L306" s="267"/>
      <c r="M306" s="267"/>
      <c r="N306" s="267"/>
      <c r="O306" s="267"/>
      <c r="P306" s="267"/>
      <c r="Q306" s="267"/>
      <c r="S306" s="267"/>
      <c r="T306" s="267"/>
      <c r="U306" s="267"/>
      <c r="V306" s="267"/>
      <c r="W306" s="264"/>
      <c r="Y306" s="267"/>
      <c r="Z306" s="267"/>
      <c r="AA306" s="267"/>
      <c r="AB306" s="267"/>
      <c r="AE306" s="267"/>
      <c r="AF306" s="267"/>
      <c r="AG306" s="267"/>
      <c r="AH306" s="267"/>
      <c r="AK306" s="267"/>
      <c r="AL306" s="267"/>
      <c r="AM306" s="267"/>
      <c r="AN306" s="267"/>
      <c r="AQ306" s="267"/>
      <c r="AR306" s="267"/>
      <c r="AS306" s="267"/>
      <c r="AT306" s="267"/>
      <c r="AW306" s="267"/>
      <c r="AX306" s="267"/>
      <c r="AY306" s="267"/>
      <c r="AZ306" s="267"/>
      <c r="BG306" s="269"/>
      <c r="BM306" s="269"/>
      <c r="BS306" s="269"/>
      <c r="BU306" s="267"/>
      <c r="BY306" s="267"/>
      <c r="CC306" s="267"/>
      <c r="CG306" s="267"/>
      <c r="CS306" s="267"/>
      <c r="CW306" s="270"/>
      <c r="CX306" s="267"/>
      <c r="DC306" s="267"/>
      <c r="DH306" s="267"/>
      <c r="DM306" s="267"/>
      <c r="DR306" s="267"/>
      <c r="DW306" s="267"/>
      <c r="EB306" s="267"/>
      <c r="EG306" s="267"/>
      <c r="EL306" s="267"/>
      <c r="EQ306" s="267"/>
      <c r="EU306" s="270"/>
      <c r="EV306" s="267"/>
      <c r="FC306" s="267"/>
      <c r="FD306" s="267"/>
      <c r="FE306" s="267"/>
      <c r="FF306" s="267"/>
      <c r="FG306" s="267"/>
      <c r="FL306" s="267"/>
      <c r="FM306" s="267"/>
      <c r="FN306" s="267"/>
      <c r="FO306" s="267"/>
      <c r="FP306" s="267"/>
      <c r="FQ306" s="264"/>
      <c r="FR306" s="264"/>
      <c r="FS306" s="264"/>
      <c r="FT306" s="264"/>
      <c r="FU306" s="267"/>
      <c r="FV306" s="267"/>
      <c r="FW306" s="267"/>
      <c r="FX306" s="267"/>
      <c r="FY306" s="267"/>
      <c r="GD306" s="267"/>
      <c r="GE306" s="267"/>
      <c r="GF306" s="267"/>
      <c r="GG306" s="267"/>
      <c r="GH306" s="267"/>
      <c r="GI306" s="264"/>
      <c r="GJ306" s="264"/>
      <c r="GK306" s="264"/>
      <c r="GL306" s="264"/>
      <c r="HD306" s="267"/>
      <c r="HE306" s="267"/>
      <c r="HF306" s="267"/>
      <c r="HG306" s="267"/>
      <c r="HH306" s="267"/>
      <c r="HI306" s="267"/>
      <c r="HJ306" s="267"/>
      <c r="HK306" s="267"/>
      <c r="HL306" s="267"/>
      <c r="HM306" s="267"/>
      <c r="HN306" s="267"/>
      <c r="HO306" s="267"/>
      <c r="HP306" s="267"/>
      <c r="HQ306" s="267"/>
      <c r="HR306" s="267"/>
      <c r="HS306" s="267"/>
      <c r="HT306" s="267"/>
      <c r="HU306" s="267"/>
      <c r="IH306" s="267"/>
      <c r="IK306" s="267"/>
      <c r="IN306" s="267"/>
      <c r="IQ306" s="267"/>
      <c r="IR306" s="267"/>
      <c r="IS306" s="267"/>
      <c r="IT306" s="274"/>
      <c r="IU306" s="274"/>
      <c r="IV306" s="272"/>
      <c r="IW306" s="274"/>
      <c r="IX306" s="274"/>
      <c r="IY306" s="272"/>
    </row>
    <row r="307" spans="10:259">
      <c r="J307" s="267"/>
      <c r="K307" s="267"/>
      <c r="L307" s="267"/>
      <c r="M307" s="267"/>
      <c r="N307" s="267"/>
      <c r="O307" s="267"/>
      <c r="P307" s="267"/>
      <c r="Q307" s="267"/>
      <c r="S307" s="267"/>
      <c r="T307" s="267"/>
      <c r="U307" s="267"/>
      <c r="V307" s="267"/>
      <c r="W307" s="264"/>
      <c r="Y307" s="267"/>
      <c r="Z307" s="267"/>
      <c r="AA307" s="267"/>
      <c r="AB307" s="267"/>
      <c r="AE307" s="267"/>
      <c r="AF307" s="267"/>
      <c r="AG307" s="267"/>
      <c r="AH307" s="267"/>
      <c r="AK307" s="267"/>
      <c r="AL307" s="267"/>
      <c r="AM307" s="267"/>
      <c r="AN307" s="267"/>
      <c r="AQ307" s="267"/>
      <c r="AR307" s="267"/>
      <c r="AS307" s="267"/>
      <c r="AT307" s="267"/>
      <c r="AW307" s="267"/>
      <c r="AX307" s="267"/>
      <c r="AY307" s="267"/>
      <c r="AZ307" s="267"/>
      <c r="BG307" s="269"/>
      <c r="BM307" s="269"/>
      <c r="BS307" s="269"/>
      <c r="BU307" s="267"/>
      <c r="BY307" s="267"/>
      <c r="CC307" s="267"/>
      <c r="CG307" s="267"/>
      <c r="CS307" s="267"/>
      <c r="CW307" s="270"/>
      <c r="CX307" s="267"/>
      <c r="DC307" s="267"/>
      <c r="DH307" s="267"/>
      <c r="DM307" s="267"/>
      <c r="DR307" s="267"/>
      <c r="DW307" s="267"/>
      <c r="EB307" s="267"/>
      <c r="EG307" s="267"/>
      <c r="EL307" s="267"/>
      <c r="EQ307" s="267"/>
      <c r="EU307" s="270"/>
      <c r="EV307" s="267"/>
      <c r="FC307" s="267"/>
      <c r="FD307" s="267"/>
      <c r="FE307" s="267"/>
      <c r="FF307" s="267"/>
      <c r="FG307" s="267"/>
      <c r="FL307" s="267"/>
      <c r="FM307" s="267"/>
      <c r="FN307" s="267"/>
      <c r="FO307" s="267"/>
      <c r="FP307" s="267"/>
      <c r="FQ307" s="264"/>
      <c r="FR307" s="264"/>
      <c r="FS307" s="264"/>
      <c r="FT307" s="264"/>
      <c r="FU307" s="267"/>
      <c r="FV307" s="267"/>
      <c r="FW307" s="267"/>
      <c r="FX307" s="267"/>
      <c r="FY307" s="267"/>
      <c r="GD307" s="267"/>
      <c r="GE307" s="267"/>
      <c r="GF307" s="267"/>
      <c r="GG307" s="267"/>
      <c r="GH307" s="267"/>
      <c r="GI307" s="264"/>
      <c r="GJ307" s="264"/>
      <c r="GK307" s="264"/>
      <c r="GL307" s="264"/>
      <c r="HD307" s="267"/>
      <c r="HE307" s="267"/>
      <c r="HF307" s="267"/>
      <c r="HG307" s="267"/>
      <c r="HH307" s="267"/>
      <c r="HI307" s="267"/>
      <c r="HJ307" s="267"/>
      <c r="HK307" s="267"/>
      <c r="HL307" s="267"/>
      <c r="HM307" s="267"/>
      <c r="HN307" s="267"/>
      <c r="HO307" s="267"/>
      <c r="HP307" s="267"/>
      <c r="HQ307" s="267"/>
      <c r="HR307" s="267"/>
      <c r="HS307" s="267"/>
      <c r="HT307" s="267"/>
      <c r="HU307" s="267"/>
      <c r="IH307" s="267"/>
      <c r="IK307" s="267"/>
      <c r="IN307" s="267"/>
      <c r="IQ307" s="267"/>
      <c r="IR307" s="267"/>
      <c r="IS307" s="267"/>
      <c r="IT307" s="274"/>
      <c r="IU307" s="274"/>
      <c r="IV307" s="272"/>
      <c r="IW307" s="274"/>
      <c r="IX307" s="274"/>
      <c r="IY307" s="272"/>
    </row>
    <row r="308" spans="10:259">
      <c r="J308" s="267"/>
      <c r="K308" s="267"/>
      <c r="L308" s="267"/>
      <c r="M308" s="267"/>
      <c r="N308" s="267"/>
      <c r="O308" s="267"/>
      <c r="P308" s="267"/>
      <c r="Q308" s="267"/>
      <c r="S308" s="267"/>
      <c r="T308" s="267"/>
      <c r="U308" s="267"/>
      <c r="V308" s="267"/>
      <c r="W308" s="264"/>
      <c r="Y308" s="267"/>
      <c r="Z308" s="267"/>
      <c r="AA308" s="267"/>
      <c r="AB308" s="267"/>
      <c r="AE308" s="267"/>
      <c r="AF308" s="267"/>
      <c r="AG308" s="267"/>
      <c r="AH308" s="267"/>
      <c r="AK308" s="267"/>
      <c r="AL308" s="267"/>
      <c r="AM308" s="267"/>
      <c r="AN308" s="267"/>
      <c r="AQ308" s="267"/>
      <c r="AR308" s="267"/>
      <c r="AS308" s="267"/>
      <c r="AT308" s="267"/>
      <c r="AW308" s="267"/>
      <c r="AX308" s="267"/>
      <c r="AY308" s="267"/>
      <c r="AZ308" s="267"/>
      <c r="BG308" s="269"/>
      <c r="BM308" s="269"/>
      <c r="BS308" s="269"/>
      <c r="BU308" s="267"/>
      <c r="BY308" s="267"/>
      <c r="CC308" s="267"/>
      <c r="CG308" s="267"/>
      <c r="CS308" s="267"/>
      <c r="CW308" s="270"/>
      <c r="CX308" s="267"/>
      <c r="DC308" s="267"/>
      <c r="DH308" s="267"/>
      <c r="DM308" s="267"/>
      <c r="DR308" s="267"/>
      <c r="DW308" s="267"/>
      <c r="EB308" s="267"/>
      <c r="EG308" s="267"/>
      <c r="EL308" s="267"/>
      <c r="EQ308" s="267"/>
      <c r="EU308" s="270"/>
      <c r="EV308" s="267"/>
      <c r="FC308" s="267"/>
      <c r="FD308" s="267"/>
      <c r="FE308" s="267"/>
      <c r="FF308" s="267"/>
      <c r="FG308" s="267"/>
      <c r="FL308" s="267"/>
      <c r="FM308" s="267"/>
      <c r="FN308" s="267"/>
      <c r="FO308" s="267"/>
      <c r="FP308" s="267"/>
      <c r="FQ308" s="264"/>
      <c r="FR308" s="264"/>
      <c r="FS308" s="264"/>
      <c r="FT308" s="264"/>
      <c r="FU308" s="267"/>
      <c r="FV308" s="267"/>
      <c r="FW308" s="267"/>
      <c r="FX308" s="267"/>
      <c r="FY308" s="267"/>
      <c r="GD308" s="267"/>
      <c r="GE308" s="267"/>
      <c r="GF308" s="267"/>
      <c r="GG308" s="267"/>
      <c r="GH308" s="267"/>
      <c r="GI308" s="264"/>
      <c r="GJ308" s="264"/>
      <c r="GK308" s="264"/>
      <c r="GL308" s="264"/>
      <c r="HD308" s="267"/>
      <c r="HE308" s="267"/>
      <c r="HF308" s="267"/>
      <c r="HG308" s="267"/>
      <c r="HH308" s="267"/>
      <c r="HI308" s="267"/>
      <c r="HJ308" s="267"/>
      <c r="HK308" s="267"/>
      <c r="HL308" s="267"/>
      <c r="HM308" s="267"/>
      <c r="HN308" s="267"/>
      <c r="HO308" s="267"/>
      <c r="HP308" s="267"/>
      <c r="HQ308" s="267"/>
      <c r="HR308" s="267"/>
      <c r="HS308" s="267"/>
      <c r="HT308" s="267"/>
      <c r="HU308" s="267"/>
      <c r="IH308" s="267"/>
      <c r="IK308" s="267"/>
      <c r="IN308" s="267"/>
      <c r="IQ308" s="267"/>
      <c r="IR308" s="267"/>
      <c r="IS308" s="267"/>
      <c r="IT308" s="274"/>
      <c r="IU308" s="274"/>
      <c r="IV308" s="272"/>
      <c r="IW308" s="274"/>
      <c r="IX308" s="274"/>
      <c r="IY308" s="272"/>
    </row>
    <row r="309" spans="10:259">
      <c r="J309" s="267"/>
      <c r="K309" s="267"/>
      <c r="L309" s="267"/>
      <c r="M309" s="267"/>
      <c r="N309" s="267"/>
      <c r="O309" s="267"/>
      <c r="P309" s="267"/>
      <c r="Q309" s="267"/>
      <c r="S309" s="267"/>
      <c r="T309" s="267"/>
      <c r="U309" s="267"/>
      <c r="V309" s="267"/>
      <c r="W309" s="264"/>
      <c r="Y309" s="267"/>
      <c r="Z309" s="267"/>
      <c r="AA309" s="267"/>
      <c r="AB309" s="267"/>
      <c r="AE309" s="267"/>
      <c r="AF309" s="267"/>
      <c r="AG309" s="267"/>
      <c r="AH309" s="267"/>
      <c r="AK309" s="267"/>
      <c r="AL309" s="267"/>
      <c r="AM309" s="267"/>
      <c r="AN309" s="267"/>
      <c r="AQ309" s="267"/>
      <c r="AR309" s="267"/>
      <c r="AS309" s="267"/>
      <c r="AT309" s="267"/>
      <c r="AW309" s="267"/>
      <c r="AX309" s="267"/>
      <c r="AY309" s="267"/>
      <c r="AZ309" s="267"/>
      <c r="BG309" s="269"/>
      <c r="BM309" s="269"/>
      <c r="BS309" s="269"/>
      <c r="BU309" s="267"/>
      <c r="BY309" s="267"/>
      <c r="CC309" s="267"/>
      <c r="CG309" s="267"/>
      <c r="CS309" s="267"/>
      <c r="CW309" s="270"/>
      <c r="CX309" s="267"/>
      <c r="DC309" s="267"/>
      <c r="DH309" s="267"/>
      <c r="DM309" s="267"/>
      <c r="DR309" s="267"/>
      <c r="DW309" s="267"/>
      <c r="EB309" s="267"/>
      <c r="EG309" s="267"/>
      <c r="EL309" s="267"/>
      <c r="EQ309" s="267"/>
      <c r="EU309" s="270"/>
      <c r="EV309" s="267"/>
      <c r="FC309" s="267"/>
      <c r="FD309" s="267"/>
      <c r="FE309" s="267"/>
      <c r="FF309" s="267"/>
      <c r="FG309" s="267"/>
      <c r="FL309" s="267"/>
      <c r="FM309" s="267"/>
      <c r="FN309" s="267"/>
      <c r="FO309" s="267"/>
      <c r="FP309" s="267"/>
      <c r="FQ309" s="264"/>
      <c r="FR309" s="264"/>
      <c r="FS309" s="264"/>
      <c r="FT309" s="264"/>
      <c r="FU309" s="267"/>
      <c r="FV309" s="267"/>
      <c r="FW309" s="267"/>
      <c r="FX309" s="267"/>
      <c r="FY309" s="267"/>
      <c r="GD309" s="267"/>
      <c r="GE309" s="267"/>
      <c r="GF309" s="267"/>
      <c r="GG309" s="267"/>
      <c r="GH309" s="267"/>
      <c r="GI309" s="264"/>
      <c r="GJ309" s="264"/>
      <c r="GK309" s="264"/>
      <c r="GL309" s="264"/>
      <c r="HD309" s="267"/>
      <c r="HE309" s="267"/>
      <c r="HF309" s="267"/>
      <c r="HG309" s="267"/>
      <c r="HH309" s="267"/>
      <c r="HI309" s="267"/>
      <c r="HJ309" s="267"/>
      <c r="HK309" s="267"/>
      <c r="HL309" s="267"/>
      <c r="HM309" s="267"/>
      <c r="HN309" s="267"/>
      <c r="HO309" s="267"/>
      <c r="HP309" s="267"/>
      <c r="HQ309" s="267"/>
      <c r="HR309" s="267"/>
      <c r="HS309" s="267"/>
      <c r="HT309" s="267"/>
      <c r="HU309" s="267"/>
      <c r="IH309" s="267"/>
      <c r="IK309" s="267"/>
      <c r="IN309" s="267"/>
      <c r="IQ309" s="267"/>
      <c r="IR309" s="267"/>
      <c r="IS309" s="267"/>
      <c r="IT309" s="274"/>
      <c r="IU309" s="274"/>
      <c r="IV309" s="272"/>
      <c r="IW309" s="274"/>
      <c r="IX309" s="274"/>
      <c r="IY309" s="272"/>
    </row>
    <row r="310" spans="10:259">
      <c r="J310" s="267"/>
      <c r="K310" s="267"/>
      <c r="L310" s="267"/>
      <c r="M310" s="267"/>
      <c r="N310" s="267"/>
      <c r="O310" s="267"/>
      <c r="P310" s="267"/>
      <c r="Q310" s="267"/>
      <c r="S310" s="267"/>
      <c r="T310" s="267"/>
      <c r="U310" s="267"/>
      <c r="V310" s="267"/>
      <c r="W310" s="264"/>
      <c r="Y310" s="267"/>
      <c r="Z310" s="267"/>
      <c r="AA310" s="267"/>
      <c r="AB310" s="267"/>
      <c r="AE310" s="267"/>
      <c r="AF310" s="267"/>
      <c r="AG310" s="267"/>
      <c r="AH310" s="267"/>
      <c r="AK310" s="267"/>
      <c r="AL310" s="267"/>
      <c r="AM310" s="267"/>
      <c r="AN310" s="267"/>
      <c r="AQ310" s="267"/>
      <c r="AR310" s="267"/>
      <c r="AS310" s="267"/>
      <c r="AT310" s="267"/>
      <c r="AW310" s="267"/>
      <c r="AX310" s="267"/>
      <c r="AY310" s="267"/>
      <c r="AZ310" s="267"/>
      <c r="BG310" s="269"/>
      <c r="BM310" s="269"/>
      <c r="BS310" s="269"/>
      <c r="BU310" s="267"/>
      <c r="BY310" s="267"/>
      <c r="CC310" s="267"/>
      <c r="CG310" s="267"/>
      <c r="CS310" s="267"/>
      <c r="CW310" s="270"/>
      <c r="CX310" s="267"/>
      <c r="DC310" s="267"/>
      <c r="DH310" s="267"/>
      <c r="DM310" s="267"/>
      <c r="DR310" s="267"/>
      <c r="DW310" s="267"/>
      <c r="EB310" s="267"/>
      <c r="EG310" s="267"/>
      <c r="EL310" s="267"/>
      <c r="EQ310" s="267"/>
      <c r="EU310" s="270"/>
      <c r="EV310" s="267"/>
      <c r="FC310" s="267"/>
      <c r="FD310" s="267"/>
      <c r="FE310" s="267"/>
      <c r="FF310" s="267"/>
      <c r="FG310" s="267"/>
      <c r="FL310" s="267"/>
      <c r="FM310" s="267"/>
      <c r="FN310" s="267"/>
      <c r="FO310" s="267"/>
      <c r="FP310" s="267"/>
      <c r="FQ310" s="264"/>
      <c r="FR310" s="264"/>
      <c r="FS310" s="264"/>
      <c r="FT310" s="264"/>
      <c r="FU310" s="267"/>
      <c r="FV310" s="267"/>
      <c r="FW310" s="267"/>
      <c r="FX310" s="267"/>
      <c r="FY310" s="267"/>
      <c r="GD310" s="267"/>
      <c r="GE310" s="267"/>
      <c r="GF310" s="267"/>
      <c r="GG310" s="267"/>
      <c r="GH310" s="267"/>
      <c r="GI310" s="264"/>
      <c r="GJ310" s="264"/>
      <c r="GK310" s="264"/>
      <c r="GL310" s="264"/>
      <c r="HD310" s="267"/>
      <c r="HE310" s="267"/>
      <c r="HF310" s="267"/>
      <c r="HG310" s="267"/>
      <c r="HH310" s="267"/>
      <c r="HI310" s="267"/>
      <c r="HJ310" s="267"/>
      <c r="HK310" s="267"/>
      <c r="HL310" s="267"/>
      <c r="HM310" s="267"/>
      <c r="HN310" s="267"/>
      <c r="HO310" s="267"/>
      <c r="HP310" s="267"/>
      <c r="HQ310" s="267"/>
      <c r="HR310" s="267"/>
      <c r="HS310" s="267"/>
      <c r="HT310" s="267"/>
      <c r="HU310" s="267"/>
      <c r="IH310" s="267"/>
      <c r="IK310" s="267"/>
      <c r="IN310" s="267"/>
      <c r="IQ310" s="267"/>
      <c r="IR310" s="267"/>
      <c r="IS310" s="267"/>
      <c r="IT310" s="274"/>
      <c r="IU310" s="274"/>
      <c r="IV310" s="272"/>
      <c r="IW310" s="274"/>
      <c r="IX310" s="274"/>
      <c r="IY310" s="272"/>
    </row>
    <row r="311" spans="10:259">
      <c r="J311" s="267"/>
      <c r="K311" s="267"/>
      <c r="L311" s="267"/>
      <c r="M311" s="267"/>
      <c r="N311" s="267"/>
      <c r="O311" s="267"/>
      <c r="P311" s="267"/>
      <c r="Q311" s="267"/>
      <c r="S311" s="267"/>
      <c r="T311" s="267"/>
      <c r="U311" s="267"/>
      <c r="V311" s="267"/>
      <c r="W311" s="264"/>
      <c r="Y311" s="267"/>
      <c r="Z311" s="267"/>
      <c r="AA311" s="267"/>
      <c r="AB311" s="267"/>
      <c r="AE311" s="267"/>
      <c r="AF311" s="267"/>
      <c r="AG311" s="267"/>
      <c r="AH311" s="267"/>
      <c r="AK311" s="267"/>
      <c r="AL311" s="267"/>
      <c r="AM311" s="267"/>
      <c r="AN311" s="267"/>
      <c r="AQ311" s="267"/>
      <c r="AR311" s="267"/>
      <c r="AS311" s="267"/>
      <c r="AT311" s="267"/>
      <c r="AW311" s="267"/>
      <c r="AX311" s="267"/>
      <c r="AY311" s="267"/>
      <c r="AZ311" s="267"/>
      <c r="BG311" s="269"/>
      <c r="BM311" s="269"/>
      <c r="BS311" s="269"/>
      <c r="BU311" s="267"/>
      <c r="BY311" s="267"/>
      <c r="CC311" s="267"/>
      <c r="CG311" s="267"/>
      <c r="CS311" s="267"/>
      <c r="CW311" s="270"/>
      <c r="CX311" s="267"/>
      <c r="DC311" s="267"/>
      <c r="DH311" s="267"/>
      <c r="DM311" s="267"/>
      <c r="DR311" s="267"/>
      <c r="DW311" s="267"/>
      <c r="EB311" s="267"/>
      <c r="EG311" s="267"/>
      <c r="EL311" s="267"/>
      <c r="EQ311" s="267"/>
      <c r="EU311" s="270"/>
      <c r="EV311" s="267"/>
      <c r="FC311" s="267"/>
      <c r="FD311" s="267"/>
      <c r="FE311" s="267"/>
      <c r="FF311" s="267"/>
      <c r="FG311" s="267"/>
      <c r="FL311" s="267"/>
      <c r="FM311" s="267"/>
      <c r="FN311" s="267"/>
      <c r="FO311" s="267"/>
      <c r="FP311" s="267"/>
      <c r="FQ311" s="264"/>
      <c r="FR311" s="264"/>
      <c r="FS311" s="264"/>
      <c r="FT311" s="264"/>
      <c r="FU311" s="267"/>
      <c r="FV311" s="267"/>
      <c r="FW311" s="267"/>
      <c r="FX311" s="267"/>
      <c r="FY311" s="267"/>
      <c r="GD311" s="267"/>
      <c r="GE311" s="267"/>
      <c r="GF311" s="267"/>
      <c r="GG311" s="267"/>
      <c r="GH311" s="267"/>
      <c r="GI311" s="264"/>
      <c r="GJ311" s="264"/>
      <c r="GK311" s="264"/>
      <c r="GL311" s="264"/>
      <c r="HD311" s="267"/>
      <c r="HE311" s="267"/>
      <c r="HF311" s="267"/>
      <c r="HG311" s="267"/>
      <c r="HH311" s="267"/>
      <c r="HI311" s="267"/>
      <c r="HJ311" s="267"/>
      <c r="HK311" s="267"/>
      <c r="HL311" s="267"/>
      <c r="HM311" s="267"/>
      <c r="HN311" s="267"/>
      <c r="HO311" s="267"/>
      <c r="HP311" s="267"/>
      <c r="HQ311" s="267"/>
      <c r="HR311" s="267"/>
      <c r="HS311" s="267"/>
      <c r="HT311" s="267"/>
      <c r="HU311" s="267"/>
      <c r="IH311" s="267"/>
      <c r="IK311" s="267"/>
      <c r="IN311" s="267"/>
      <c r="IQ311" s="267"/>
      <c r="IR311" s="267"/>
      <c r="IS311" s="267"/>
      <c r="IT311" s="274"/>
      <c r="IU311" s="274"/>
      <c r="IV311" s="272"/>
      <c r="IW311" s="274"/>
      <c r="IX311" s="274"/>
      <c r="IY311" s="272"/>
    </row>
    <row r="312" spans="10:259">
      <c r="J312" s="267"/>
      <c r="K312" s="267"/>
      <c r="L312" s="267"/>
      <c r="M312" s="267"/>
      <c r="N312" s="267"/>
      <c r="O312" s="267"/>
      <c r="P312" s="267"/>
      <c r="Q312" s="267"/>
      <c r="S312" s="267"/>
      <c r="T312" s="267"/>
      <c r="U312" s="267"/>
      <c r="V312" s="267"/>
      <c r="W312" s="264"/>
      <c r="Y312" s="267"/>
      <c r="Z312" s="267"/>
      <c r="AA312" s="267"/>
      <c r="AB312" s="267"/>
      <c r="AE312" s="267"/>
      <c r="AF312" s="267"/>
      <c r="AG312" s="267"/>
      <c r="AH312" s="267"/>
      <c r="AK312" s="267"/>
      <c r="AL312" s="267"/>
      <c r="AM312" s="267"/>
      <c r="AN312" s="267"/>
      <c r="AQ312" s="267"/>
      <c r="AR312" s="267"/>
      <c r="AS312" s="267"/>
      <c r="AT312" s="267"/>
      <c r="AW312" s="267"/>
      <c r="AX312" s="267"/>
      <c r="AY312" s="267"/>
      <c r="AZ312" s="267"/>
      <c r="BG312" s="269"/>
      <c r="BM312" s="269"/>
      <c r="BS312" s="269"/>
      <c r="BU312" s="267"/>
      <c r="BY312" s="267"/>
      <c r="CC312" s="267"/>
      <c r="CG312" s="267"/>
      <c r="CS312" s="267"/>
      <c r="CW312" s="270"/>
      <c r="CX312" s="267"/>
      <c r="DC312" s="267"/>
      <c r="DH312" s="267"/>
      <c r="DM312" s="267"/>
      <c r="DR312" s="267"/>
      <c r="DW312" s="267"/>
      <c r="EB312" s="267"/>
      <c r="EG312" s="267"/>
      <c r="EL312" s="267"/>
      <c r="EQ312" s="267"/>
      <c r="EU312" s="270"/>
      <c r="EV312" s="267"/>
      <c r="FC312" s="267"/>
      <c r="FD312" s="267"/>
      <c r="FE312" s="267"/>
      <c r="FF312" s="267"/>
      <c r="FG312" s="267"/>
      <c r="FL312" s="267"/>
      <c r="FM312" s="267"/>
      <c r="FN312" s="267"/>
      <c r="FO312" s="267"/>
      <c r="FP312" s="267"/>
      <c r="FQ312" s="264"/>
      <c r="FR312" s="264"/>
      <c r="FS312" s="264"/>
      <c r="FT312" s="264"/>
      <c r="FU312" s="267"/>
      <c r="FV312" s="267"/>
      <c r="FW312" s="267"/>
      <c r="FX312" s="267"/>
      <c r="FY312" s="267"/>
      <c r="GD312" s="267"/>
      <c r="GE312" s="267"/>
      <c r="GF312" s="267"/>
      <c r="GG312" s="267"/>
      <c r="GH312" s="267"/>
      <c r="GI312" s="264"/>
      <c r="GJ312" s="264"/>
      <c r="GK312" s="264"/>
      <c r="GL312" s="264"/>
      <c r="HD312" s="267"/>
      <c r="HE312" s="267"/>
      <c r="HF312" s="267"/>
      <c r="HG312" s="267"/>
      <c r="HH312" s="267"/>
      <c r="HI312" s="267"/>
      <c r="HJ312" s="267"/>
      <c r="HK312" s="267"/>
      <c r="HL312" s="267"/>
      <c r="HM312" s="267"/>
      <c r="HN312" s="267"/>
      <c r="HO312" s="267"/>
      <c r="HP312" s="267"/>
      <c r="HQ312" s="267"/>
      <c r="HR312" s="267"/>
      <c r="HS312" s="267"/>
      <c r="HT312" s="267"/>
      <c r="HU312" s="267"/>
      <c r="IH312" s="267"/>
      <c r="IK312" s="267"/>
      <c r="IN312" s="267"/>
      <c r="IQ312" s="267"/>
      <c r="IR312" s="267"/>
      <c r="IS312" s="267"/>
      <c r="IT312" s="274"/>
      <c r="IU312" s="274"/>
      <c r="IV312" s="272"/>
      <c r="IW312" s="274"/>
      <c r="IX312" s="274"/>
      <c r="IY312" s="272"/>
    </row>
    <row r="313" spans="10:259">
      <c r="J313" s="267"/>
      <c r="K313" s="267"/>
      <c r="L313" s="267"/>
      <c r="M313" s="267"/>
      <c r="N313" s="267"/>
      <c r="O313" s="267"/>
      <c r="P313" s="267"/>
      <c r="Q313" s="267"/>
      <c r="S313" s="267"/>
      <c r="T313" s="267"/>
      <c r="U313" s="267"/>
      <c r="V313" s="267"/>
      <c r="W313" s="264"/>
      <c r="Y313" s="267"/>
      <c r="Z313" s="267"/>
      <c r="AA313" s="267"/>
      <c r="AB313" s="267"/>
      <c r="AE313" s="267"/>
      <c r="AF313" s="267"/>
      <c r="AG313" s="267"/>
      <c r="AH313" s="267"/>
      <c r="AK313" s="267"/>
      <c r="AL313" s="267"/>
      <c r="AM313" s="267"/>
      <c r="AN313" s="267"/>
      <c r="AQ313" s="267"/>
      <c r="AR313" s="267"/>
      <c r="AS313" s="267"/>
      <c r="AT313" s="267"/>
      <c r="AW313" s="267"/>
      <c r="AX313" s="267"/>
      <c r="AY313" s="267"/>
      <c r="AZ313" s="267"/>
      <c r="BG313" s="269"/>
      <c r="BM313" s="269"/>
      <c r="BS313" s="269"/>
      <c r="BU313" s="267"/>
      <c r="BY313" s="267"/>
      <c r="CC313" s="267"/>
      <c r="CG313" s="267"/>
      <c r="CS313" s="267"/>
      <c r="CW313" s="270"/>
      <c r="CX313" s="267"/>
      <c r="DC313" s="267"/>
      <c r="DH313" s="267"/>
      <c r="DM313" s="267"/>
      <c r="DR313" s="267"/>
      <c r="DW313" s="267"/>
      <c r="EB313" s="267"/>
      <c r="EG313" s="267"/>
      <c r="EL313" s="267"/>
      <c r="EQ313" s="267"/>
      <c r="EU313" s="270"/>
      <c r="EV313" s="267"/>
      <c r="FC313" s="267"/>
      <c r="FD313" s="267"/>
      <c r="FE313" s="267"/>
      <c r="FF313" s="267"/>
      <c r="FG313" s="267"/>
      <c r="FL313" s="267"/>
      <c r="FM313" s="267"/>
      <c r="FN313" s="267"/>
      <c r="FO313" s="267"/>
      <c r="FP313" s="267"/>
      <c r="FQ313" s="264"/>
      <c r="FR313" s="264"/>
      <c r="FS313" s="264"/>
      <c r="FT313" s="264"/>
      <c r="FU313" s="267"/>
      <c r="FV313" s="267"/>
      <c r="FW313" s="267"/>
      <c r="FX313" s="267"/>
      <c r="FY313" s="267"/>
      <c r="GD313" s="267"/>
      <c r="GE313" s="267"/>
      <c r="GF313" s="267"/>
      <c r="GG313" s="267"/>
      <c r="GH313" s="267"/>
      <c r="GI313" s="264"/>
      <c r="GJ313" s="264"/>
      <c r="GK313" s="264"/>
      <c r="GL313" s="264"/>
      <c r="HD313" s="267"/>
      <c r="HE313" s="267"/>
      <c r="HF313" s="267"/>
      <c r="HG313" s="267"/>
      <c r="HH313" s="267"/>
      <c r="HI313" s="267"/>
      <c r="HJ313" s="267"/>
      <c r="HK313" s="267"/>
      <c r="HL313" s="267"/>
      <c r="HM313" s="267"/>
      <c r="HN313" s="267"/>
      <c r="HO313" s="267"/>
      <c r="HP313" s="267"/>
      <c r="HQ313" s="267"/>
      <c r="HR313" s="267"/>
      <c r="HS313" s="267"/>
      <c r="HT313" s="267"/>
      <c r="HU313" s="267"/>
      <c r="IH313" s="267"/>
      <c r="IK313" s="267"/>
      <c r="IN313" s="267"/>
      <c r="IQ313" s="267"/>
      <c r="IR313" s="267"/>
      <c r="IS313" s="267"/>
      <c r="IT313" s="274"/>
      <c r="IU313" s="274"/>
      <c r="IV313" s="272"/>
      <c r="IW313" s="274"/>
      <c r="IX313" s="274"/>
      <c r="IY313" s="272"/>
    </row>
    <row r="314" spans="10:259">
      <c r="J314" s="267"/>
      <c r="K314" s="267"/>
      <c r="L314" s="267"/>
      <c r="M314" s="267"/>
      <c r="N314" s="267"/>
      <c r="O314" s="267"/>
      <c r="P314" s="267"/>
      <c r="Q314" s="267"/>
      <c r="S314" s="267"/>
      <c r="T314" s="267"/>
      <c r="U314" s="267"/>
      <c r="V314" s="267"/>
      <c r="W314" s="264"/>
      <c r="Y314" s="267"/>
      <c r="Z314" s="267"/>
      <c r="AA314" s="267"/>
      <c r="AB314" s="267"/>
      <c r="AE314" s="267"/>
      <c r="AF314" s="267"/>
      <c r="AG314" s="267"/>
      <c r="AH314" s="267"/>
      <c r="AK314" s="267"/>
      <c r="AL314" s="267"/>
      <c r="AM314" s="267"/>
      <c r="AN314" s="267"/>
      <c r="AQ314" s="267"/>
      <c r="AR314" s="267"/>
      <c r="AS314" s="267"/>
      <c r="AT314" s="267"/>
      <c r="AW314" s="267"/>
      <c r="AX314" s="267"/>
      <c r="AY314" s="267"/>
      <c r="AZ314" s="267"/>
      <c r="BG314" s="269"/>
      <c r="BM314" s="269"/>
      <c r="BS314" s="269"/>
      <c r="BU314" s="267"/>
      <c r="BY314" s="267"/>
      <c r="CC314" s="267"/>
      <c r="CG314" s="267"/>
      <c r="CS314" s="267"/>
      <c r="CW314" s="270"/>
      <c r="CX314" s="267"/>
      <c r="DC314" s="267"/>
      <c r="DH314" s="267"/>
      <c r="DM314" s="267"/>
      <c r="DR314" s="267"/>
      <c r="DW314" s="267"/>
      <c r="EB314" s="267"/>
      <c r="EG314" s="267"/>
      <c r="EL314" s="267"/>
      <c r="EQ314" s="267"/>
      <c r="EU314" s="270"/>
      <c r="EV314" s="267"/>
      <c r="FC314" s="267"/>
      <c r="FD314" s="267"/>
      <c r="FE314" s="267"/>
      <c r="FF314" s="267"/>
      <c r="FG314" s="267"/>
      <c r="FL314" s="267"/>
      <c r="FM314" s="267"/>
      <c r="FN314" s="267"/>
      <c r="FO314" s="267"/>
      <c r="FP314" s="267"/>
      <c r="FQ314" s="264"/>
      <c r="FR314" s="264"/>
      <c r="FS314" s="264"/>
      <c r="FT314" s="264"/>
      <c r="FU314" s="267"/>
      <c r="FV314" s="267"/>
      <c r="FW314" s="267"/>
      <c r="FX314" s="267"/>
      <c r="FY314" s="267"/>
      <c r="GD314" s="267"/>
      <c r="GE314" s="267"/>
      <c r="GF314" s="267"/>
      <c r="GG314" s="267"/>
      <c r="GH314" s="267"/>
      <c r="GI314" s="264"/>
      <c r="GJ314" s="264"/>
      <c r="GK314" s="264"/>
      <c r="GL314" s="264"/>
      <c r="HD314" s="267"/>
      <c r="HE314" s="267"/>
      <c r="HF314" s="267"/>
      <c r="HG314" s="267"/>
      <c r="HH314" s="267"/>
      <c r="HI314" s="267"/>
      <c r="HJ314" s="267"/>
      <c r="HK314" s="267"/>
      <c r="HL314" s="267"/>
      <c r="HM314" s="267"/>
      <c r="HN314" s="267"/>
      <c r="HO314" s="267"/>
      <c r="HP314" s="267"/>
      <c r="HQ314" s="267"/>
      <c r="HR314" s="267"/>
      <c r="HS314" s="267"/>
      <c r="HT314" s="267"/>
      <c r="HU314" s="267"/>
      <c r="IH314" s="267"/>
      <c r="IK314" s="267"/>
      <c r="IN314" s="267"/>
      <c r="IQ314" s="267"/>
      <c r="IR314" s="267"/>
      <c r="IS314" s="267"/>
      <c r="IT314" s="274"/>
      <c r="IU314" s="274"/>
      <c r="IV314" s="272"/>
      <c r="IW314" s="274"/>
      <c r="IX314" s="274"/>
      <c r="IY314" s="272"/>
    </row>
    <row r="315" spans="10:259">
      <c r="J315" s="267"/>
      <c r="K315" s="267"/>
      <c r="L315" s="267"/>
      <c r="M315" s="267"/>
      <c r="N315" s="267"/>
      <c r="O315" s="267"/>
      <c r="P315" s="267"/>
      <c r="Q315" s="267"/>
      <c r="S315" s="267"/>
      <c r="T315" s="267"/>
      <c r="U315" s="267"/>
      <c r="V315" s="267"/>
      <c r="W315" s="264"/>
      <c r="Y315" s="267"/>
      <c r="Z315" s="267"/>
      <c r="AA315" s="267"/>
      <c r="AB315" s="267"/>
      <c r="AE315" s="267"/>
      <c r="AF315" s="267"/>
      <c r="AG315" s="267"/>
      <c r="AH315" s="267"/>
      <c r="AK315" s="267"/>
      <c r="AL315" s="267"/>
      <c r="AM315" s="267"/>
      <c r="AN315" s="267"/>
      <c r="AQ315" s="267"/>
      <c r="AR315" s="267"/>
      <c r="AS315" s="267"/>
      <c r="AT315" s="267"/>
      <c r="AW315" s="267"/>
      <c r="AX315" s="267"/>
      <c r="AY315" s="267"/>
      <c r="AZ315" s="267"/>
      <c r="BG315" s="269"/>
      <c r="BM315" s="269"/>
      <c r="BS315" s="269"/>
      <c r="BU315" s="267"/>
      <c r="BY315" s="267"/>
      <c r="CC315" s="267"/>
      <c r="CG315" s="267"/>
      <c r="CS315" s="267"/>
      <c r="CW315" s="270"/>
      <c r="CX315" s="267"/>
      <c r="DC315" s="267"/>
      <c r="DH315" s="267"/>
      <c r="DM315" s="267"/>
      <c r="DR315" s="267"/>
      <c r="DW315" s="267"/>
      <c r="EB315" s="267"/>
      <c r="EG315" s="267"/>
      <c r="EL315" s="267"/>
      <c r="EQ315" s="267"/>
      <c r="EU315" s="270"/>
      <c r="EV315" s="267"/>
      <c r="FC315" s="267"/>
      <c r="FD315" s="267"/>
      <c r="FE315" s="267"/>
      <c r="FF315" s="267"/>
      <c r="FG315" s="267"/>
      <c r="FL315" s="267"/>
      <c r="FM315" s="267"/>
      <c r="FN315" s="267"/>
      <c r="FO315" s="267"/>
      <c r="FP315" s="267"/>
      <c r="FQ315" s="264"/>
      <c r="FR315" s="264"/>
      <c r="FS315" s="264"/>
      <c r="FT315" s="264"/>
      <c r="FU315" s="267"/>
      <c r="FV315" s="267"/>
      <c r="FW315" s="267"/>
      <c r="FX315" s="267"/>
      <c r="FY315" s="267"/>
      <c r="GD315" s="267"/>
      <c r="GE315" s="267"/>
      <c r="GF315" s="267"/>
      <c r="GG315" s="267"/>
      <c r="GH315" s="267"/>
      <c r="GI315" s="264"/>
      <c r="GJ315" s="264"/>
      <c r="GK315" s="264"/>
      <c r="GL315" s="264"/>
      <c r="HD315" s="267"/>
      <c r="HE315" s="267"/>
      <c r="HF315" s="267"/>
      <c r="HG315" s="267"/>
      <c r="HH315" s="267"/>
      <c r="HI315" s="267"/>
      <c r="HJ315" s="267"/>
      <c r="HK315" s="267"/>
      <c r="HL315" s="267"/>
      <c r="HM315" s="267"/>
      <c r="HN315" s="267"/>
      <c r="HO315" s="267"/>
      <c r="HP315" s="267"/>
      <c r="HQ315" s="267"/>
      <c r="HR315" s="267"/>
      <c r="HS315" s="267"/>
      <c r="HT315" s="267"/>
      <c r="HU315" s="267"/>
      <c r="IH315" s="267"/>
      <c r="IK315" s="267"/>
      <c r="IN315" s="267"/>
      <c r="IQ315" s="267"/>
      <c r="IR315" s="267"/>
      <c r="IS315" s="267"/>
      <c r="IT315" s="274"/>
      <c r="IU315" s="274"/>
      <c r="IV315" s="272"/>
      <c r="IW315" s="274"/>
      <c r="IX315" s="274"/>
      <c r="IY315" s="272"/>
    </row>
    <row r="316" spans="10:259">
      <c r="J316" s="267"/>
      <c r="K316" s="267"/>
      <c r="L316" s="267"/>
      <c r="M316" s="267"/>
      <c r="N316" s="267"/>
      <c r="O316" s="267"/>
      <c r="P316" s="267"/>
      <c r="Q316" s="267"/>
      <c r="S316" s="267"/>
      <c r="T316" s="267"/>
      <c r="U316" s="267"/>
      <c r="V316" s="267"/>
      <c r="W316" s="264"/>
      <c r="Y316" s="267"/>
      <c r="Z316" s="267"/>
      <c r="AA316" s="267"/>
      <c r="AB316" s="267"/>
      <c r="AE316" s="267"/>
      <c r="AF316" s="267"/>
      <c r="AG316" s="267"/>
      <c r="AH316" s="267"/>
      <c r="AK316" s="267"/>
      <c r="AL316" s="267"/>
      <c r="AM316" s="267"/>
      <c r="AN316" s="267"/>
      <c r="AQ316" s="267"/>
      <c r="AR316" s="267"/>
      <c r="AS316" s="267"/>
      <c r="AT316" s="267"/>
      <c r="AW316" s="267"/>
      <c r="AX316" s="267"/>
      <c r="AY316" s="267"/>
      <c r="AZ316" s="267"/>
      <c r="BG316" s="269"/>
      <c r="BM316" s="269"/>
      <c r="BS316" s="269"/>
      <c r="BU316" s="267"/>
      <c r="BY316" s="267"/>
      <c r="CC316" s="267"/>
      <c r="CG316" s="267"/>
      <c r="CS316" s="267"/>
      <c r="CW316" s="270"/>
      <c r="CX316" s="267"/>
      <c r="DC316" s="267"/>
      <c r="DH316" s="267"/>
      <c r="DM316" s="267"/>
      <c r="DR316" s="267"/>
      <c r="DW316" s="267"/>
      <c r="EB316" s="267"/>
      <c r="EG316" s="267"/>
      <c r="EL316" s="267"/>
      <c r="EQ316" s="267"/>
      <c r="EU316" s="270"/>
      <c r="EV316" s="267"/>
      <c r="FC316" s="267"/>
      <c r="FD316" s="267"/>
      <c r="FE316" s="267"/>
      <c r="FF316" s="267"/>
      <c r="FG316" s="267"/>
      <c r="FL316" s="267"/>
      <c r="FM316" s="267"/>
      <c r="FN316" s="267"/>
      <c r="FO316" s="267"/>
      <c r="FP316" s="267"/>
      <c r="FQ316" s="264"/>
      <c r="FR316" s="264"/>
      <c r="FS316" s="264"/>
      <c r="FT316" s="264"/>
      <c r="FU316" s="267"/>
      <c r="FV316" s="267"/>
      <c r="FW316" s="267"/>
      <c r="FX316" s="267"/>
      <c r="FY316" s="267"/>
      <c r="GD316" s="267"/>
      <c r="GE316" s="267"/>
      <c r="GF316" s="267"/>
      <c r="GG316" s="267"/>
      <c r="GH316" s="267"/>
      <c r="GI316" s="264"/>
      <c r="GJ316" s="264"/>
      <c r="GK316" s="264"/>
      <c r="GL316" s="264"/>
      <c r="HD316" s="267"/>
      <c r="HE316" s="267"/>
      <c r="HF316" s="267"/>
      <c r="HG316" s="267"/>
      <c r="HH316" s="267"/>
      <c r="HI316" s="267"/>
      <c r="HJ316" s="267"/>
      <c r="HK316" s="267"/>
      <c r="HL316" s="267"/>
      <c r="HM316" s="267"/>
      <c r="HN316" s="267"/>
      <c r="HO316" s="267"/>
      <c r="HP316" s="267"/>
      <c r="HQ316" s="267"/>
      <c r="HR316" s="267"/>
      <c r="HS316" s="267"/>
      <c r="HT316" s="267"/>
      <c r="HU316" s="267"/>
      <c r="IH316" s="267"/>
      <c r="IK316" s="267"/>
      <c r="IN316" s="267"/>
      <c r="IQ316" s="267"/>
      <c r="IR316" s="267"/>
      <c r="IS316" s="267"/>
      <c r="IT316" s="274"/>
      <c r="IU316" s="274"/>
      <c r="IV316" s="272"/>
      <c r="IW316" s="274"/>
      <c r="IX316" s="274"/>
      <c r="IY316" s="272"/>
    </row>
    <row r="317" spans="10:259">
      <c r="J317" s="267"/>
      <c r="K317" s="267"/>
      <c r="L317" s="267"/>
      <c r="M317" s="267"/>
      <c r="N317" s="267"/>
      <c r="O317" s="267"/>
      <c r="P317" s="267"/>
      <c r="Q317" s="267"/>
      <c r="S317" s="267"/>
      <c r="T317" s="267"/>
      <c r="U317" s="267"/>
      <c r="V317" s="267"/>
      <c r="W317" s="264"/>
      <c r="Y317" s="267"/>
      <c r="Z317" s="267"/>
      <c r="AA317" s="267"/>
      <c r="AB317" s="267"/>
      <c r="AE317" s="267"/>
      <c r="AF317" s="267"/>
      <c r="AG317" s="267"/>
      <c r="AH317" s="267"/>
      <c r="AK317" s="267"/>
      <c r="AL317" s="267"/>
      <c r="AM317" s="267"/>
      <c r="AN317" s="267"/>
      <c r="AQ317" s="267"/>
      <c r="AR317" s="267"/>
      <c r="AS317" s="267"/>
      <c r="AT317" s="267"/>
      <c r="AW317" s="267"/>
      <c r="AX317" s="267"/>
      <c r="AY317" s="267"/>
      <c r="AZ317" s="267"/>
      <c r="BG317" s="269"/>
      <c r="BM317" s="269"/>
      <c r="BS317" s="269"/>
      <c r="BU317" s="267"/>
      <c r="BY317" s="267"/>
      <c r="CC317" s="267"/>
      <c r="CG317" s="267"/>
      <c r="CS317" s="267"/>
      <c r="CW317" s="270"/>
      <c r="CX317" s="267"/>
      <c r="DC317" s="267"/>
      <c r="DH317" s="267"/>
      <c r="DM317" s="267"/>
      <c r="DR317" s="267"/>
      <c r="DW317" s="267"/>
      <c r="EB317" s="267"/>
      <c r="EG317" s="267"/>
      <c r="EL317" s="267"/>
      <c r="EQ317" s="267"/>
      <c r="EU317" s="270"/>
      <c r="EV317" s="267"/>
      <c r="FC317" s="267"/>
      <c r="FD317" s="267"/>
      <c r="FE317" s="267"/>
      <c r="FF317" s="267"/>
      <c r="FG317" s="267"/>
      <c r="FL317" s="267"/>
      <c r="FM317" s="267"/>
      <c r="FN317" s="267"/>
      <c r="FO317" s="267"/>
      <c r="FP317" s="267"/>
      <c r="FQ317" s="264"/>
      <c r="FR317" s="264"/>
      <c r="FS317" s="264"/>
      <c r="FT317" s="264"/>
      <c r="FU317" s="267"/>
      <c r="FV317" s="267"/>
      <c r="FW317" s="267"/>
      <c r="FX317" s="267"/>
      <c r="FY317" s="267"/>
      <c r="GD317" s="267"/>
      <c r="GE317" s="267"/>
      <c r="GF317" s="267"/>
      <c r="GG317" s="267"/>
      <c r="GH317" s="267"/>
      <c r="GI317" s="264"/>
      <c r="GJ317" s="264"/>
      <c r="GK317" s="264"/>
      <c r="GL317" s="264"/>
      <c r="HD317" s="267"/>
      <c r="HE317" s="267"/>
      <c r="HF317" s="267"/>
      <c r="HG317" s="267"/>
      <c r="HH317" s="267"/>
      <c r="HI317" s="267"/>
      <c r="HJ317" s="267"/>
      <c r="HK317" s="267"/>
      <c r="HL317" s="267"/>
      <c r="HM317" s="267"/>
      <c r="HN317" s="267"/>
      <c r="HO317" s="267"/>
      <c r="HP317" s="267"/>
      <c r="HQ317" s="267"/>
      <c r="HR317" s="267"/>
      <c r="HS317" s="267"/>
      <c r="HT317" s="267"/>
      <c r="HU317" s="267"/>
      <c r="IH317" s="267"/>
      <c r="IK317" s="267"/>
      <c r="IN317" s="267"/>
      <c r="IQ317" s="267"/>
      <c r="IR317" s="267"/>
      <c r="IS317" s="267"/>
      <c r="IT317" s="274"/>
      <c r="IU317" s="274"/>
      <c r="IV317" s="272"/>
      <c r="IW317" s="274"/>
      <c r="IX317" s="274"/>
      <c r="IY317" s="272"/>
    </row>
    <row r="318" spans="10:259">
      <c r="J318" s="267"/>
      <c r="K318" s="267"/>
      <c r="L318" s="267"/>
      <c r="M318" s="267"/>
      <c r="N318" s="267"/>
      <c r="O318" s="267"/>
      <c r="P318" s="267"/>
      <c r="Q318" s="267"/>
      <c r="S318" s="267"/>
      <c r="T318" s="267"/>
      <c r="U318" s="267"/>
      <c r="V318" s="267"/>
      <c r="W318" s="264"/>
      <c r="Y318" s="267"/>
      <c r="Z318" s="267"/>
      <c r="AA318" s="267"/>
      <c r="AB318" s="267"/>
      <c r="AE318" s="267"/>
      <c r="AF318" s="267"/>
      <c r="AG318" s="267"/>
      <c r="AH318" s="267"/>
      <c r="AK318" s="267"/>
      <c r="AL318" s="267"/>
      <c r="AM318" s="267"/>
      <c r="AN318" s="267"/>
      <c r="AQ318" s="267"/>
      <c r="AR318" s="267"/>
      <c r="AS318" s="267"/>
      <c r="AT318" s="267"/>
      <c r="AW318" s="267"/>
      <c r="AX318" s="267"/>
      <c r="AY318" s="267"/>
      <c r="AZ318" s="267"/>
      <c r="BG318" s="269"/>
      <c r="BM318" s="269"/>
      <c r="BS318" s="269"/>
      <c r="BU318" s="267"/>
      <c r="BY318" s="267"/>
      <c r="CC318" s="267"/>
      <c r="CG318" s="267"/>
      <c r="CS318" s="267"/>
      <c r="CW318" s="270"/>
      <c r="CX318" s="267"/>
      <c r="DC318" s="267"/>
      <c r="DH318" s="267"/>
      <c r="DM318" s="267"/>
      <c r="DR318" s="267"/>
      <c r="DW318" s="267"/>
      <c r="EB318" s="267"/>
      <c r="EG318" s="267"/>
      <c r="EL318" s="267"/>
      <c r="EQ318" s="267"/>
      <c r="EU318" s="270"/>
      <c r="EV318" s="267"/>
      <c r="FC318" s="267"/>
      <c r="FD318" s="267"/>
      <c r="FE318" s="267"/>
      <c r="FF318" s="267"/>
      <c r="FG318" s="267"/>
      <c r="FL318" s="267"/>
      <c r="FM318" s="267"/>
      <c r="FN318" s="267"/>
      <c r="FO318" s="267"/>
      <c r="FP318" s="267"/>
      <c r="FQ318" s="264"/>
      <c r="FR318" s="264"/>
      <c r="FS318" s="264"/>
      <c r="FT318" s="264"/>
      <c r="FU318" s="267"/>
      <c r="FV318" s="267"/>
      <c r="FW318" s="267"/>
      <c r="FX318" s="267"/>
      <c r="FY318" s="267"/>
      <c r="GD318" s="267"/>
      <c r="GE318" s="267"/>
      <c r="GF318" s="267"/>
      <c r="GG318" s="267"/>
      <c r="GH318" s="267"/>
      <c r="GI318" s="264"/>
      <c r="GJ318" s="264"/>
      <c r="GK318" s="264"/>
      <c r="GL318" s="264"/>
      <c r="HD318" s="267"/>
      <c r="HE318" s="267"/>
      <c r="HF318" s="267"/>
      <c r="HG318" s="267"/>
      <c r="HH318" s="267"/>
      <c r="HI318" s="267"/>
      <c r="HJ318" s="267"/>
      <c r="HK318" s="267"/>
      <c r="HL318" s="267"/>
      <c r="HM318" s="267"/>
      <c r="HN318" s="267"/>
      <c r="HO318" s="267"/>
      <c r="HP318" s="267"/>
      <c r="HQ318" s="267"/>
      <c r="HR318" s="267"/>
      <c r="HS318" s="267"/>
      <c r="HT318" s="267"/>
      <c r="HU318" s="267"/>
      <c r="IH318" s="267"/>
      <c r="IK318" s="267"/>
      <c r="IN318" s="267"/>
      <c r="IQ318" s="267"/>
      <c r="IR318" s="267"/>
      <c r="IS318" s="267"/>
      <c r="IT318" s="274"/>
      <c r="IU318" s="274"/>
      <c r="IV318" s="272"/>
      <c r="IW318" s="274"/>
      <c r="IX318" s="274"/>
      <c r="IY318" s="272"/>
    </row>
    <row r="319" spans="10:259">
      <c r="J319" s="267"/>
      <c r="K319" s="267"/>
      <c r="L319" s="267"/>
      <c r="M319" s="267"/>
      <c r="N319" s="267"/>
      <c r="O319" s="267"/>
      <c r="P319" s="267"/>
      <c r="Q319" s="267"/>
      <c r="S319" s="267"/>
      <c r="T319" s="267"/>
      <c r="U319" s="267"/>
      <c r="V319" s="267"/>
      <c r="W319" s="264"/>
      <c r="Y319" s="267"/>
      <c r="Z319" s="267"/>
      <c r="AA319" s="267"/>
      <c r="AB319" s="267"/>
      <c r="AE319" s="267"/>
      <c r="AF319" s="267"/>
      <c r="AG319" s="267"/>
      <c r="AH319" s="267"/>
      <c r="AK319" s="267"/>
      <c r="AL319" s="267"/>
      <c r="AM319" s="267"/>
      <c r="AN319" s="267"/>
      <c r="AQ319" s="267"/>
      <c r="AR319" s="267"/>
      <c r="AS319" s="267"/>
      <c r="AT319" s="267"/>
      <c r="AW319" s="267"/>
      <c r="AX319" s="267"/>
      <c r="AY319" s="267"/>
      <c r="AZ319" s="267"/>
      <c r="BG319" s="269"/>
      <c r="BM319" s="269"/>
      <c r="BS319" s="269"/>
      <c r="BU319" s="267"/>
      <c r="BY319" s="267"/>
      <c r="CC319" s="267"/>
      <c r="CG319" s="267"/>
      <c r="CS319" s="267"/>
      <c r="CW319" s="270"/>
      <c r="CX319" s="267"/>
      <c r="DC319" s="267"/>
      <c r="DH319" s="267"/>
      <c r="DM319" s="267"/>
      <c r="DR319" s="267"/>
      <c r="DW319" s="267"/>
      <c r="EB319" s="267"/>
      <c r="EG319" s="267"/>
      <c r="EL319" s="267"/>
      <c r="EQ319" s="267"/>
      <c r="EU319" s="270"/>
      <c r="EV319" s="267"/>
      <c r="FC319" s="267"/>
      <c r="FD319" s="267"/>
      <c r="FE319" s="267"/>
      <c r="FF319" s="267"/>
      <c r="FG319" s="267"/>
      <c r="FL319" s="267"/>
      <c r="FM319" s="267"/>
      <c r="FN319" s="267"/>
      <c r="FO319" s="267"/>
      <c r="FP319" s="267"/>
      <c r="FQ319" s="264"/>
      <c r="FR319" s="264"/>
      <c r="FS319" s="264"/>
      <c r="FT319" s="264"/>
      <c r="FU319" s="267"/>
      <c r="FV319" s="267"/>
      <c r="FW319" s="267"/>
      <c r="FX319" s="267"/>
      <c r="FY319" s="267"/>
      <c r="GD319" s="267"/>
      <c r="GE319" s="267"/>
      <c r="GF319" s="267"/>
      <c r="GG319" s="267"/>
      <c r="GH319" s="267"/>
      <c r="GI319" s="264"/>
      <c r="GJ319" s="264"/>
      <c r="GK319" s="264"/>
      <c r="GL319" s="264"/>
      <c r="HD319" s="267"/>
      <c r="HE319" s="267"/>
      <c r="HF319" s="267"/>
      <c r="HG319" s="267"/>
      <c r="HH319" s="267"/>
      <c r="HI319" s="267"/>
      <c r="HJ319" s="267"/>
      <c r="HK319" s="267"/>
      <c r="HL319" s="267"/>
      <c r="HM319" s="267"/>
      <c r="HN319" s="267"/>
      <c r="HO319" s="267"/>
      <c r="HP319" s="267"/>
      <c r="HQ319" s="267"/>
      <c r="HR319" s="267"/>
      <c r="HS319" s="267"/>
      <c r="HT319" s="267"/>
      <c r="HU319" s="267"/>
      <c r="IH319" s="267"/>
      <c r="IK319" s="267"/>
      <c r="IN319" s="267"/>
      <c r="IQ319" s="267"/>
      <c r="IR319" s="267"/>
      <c r="IS319" s="267"/>
      <c r="IT319" s="274"/>
      <c r="IU319" s="274"/>
      <c r="IV319" s="272"/>
      <c r="IW319" s="274"/>
      <c r="IX319" s="274"/>
      <c r="IY319" s="272"/>
    </row>
    <row r="320" spans="10:259">
      <c r="J320" s="267"/>
      <c r="K320" s="267"/>
      <c r="L320" s="267"/>
      <c r="M320" s="267"/>
      <c r="N320" s="267"/>
      <c r="O320" s="267"/>
      <c r="P320" s="267"/>
      <c r="Q320" s="267"/>
      <c r="S320" s="267"/>
      <c r="T320" s="267"/>
      <c r="U320" s="267"/>
      <c r="V320" s="267"/>
      <c r="W320" s="264"/>
      <c r="Y320" s="267"/>
      <c r="Z320" s="267"/>
      <c r="AA320" s="267"/>
      <c r="AB320" s="267"/>
      <c r="AE320" s="267"/>
      <c r="AF320" s="267"/>
      <c r="AG320" s="267"/>
      <c r="AH320" s="267"/>
      <c r="AK320" s="267"/>
      <c r="AL320" s="267"/>
      <c r="AM320" s="267"/>
      <c r="AN320" s="267"/>
      <c r="AQ320" s="267"/>
      <c r="AR320" s="267"/>
      <c r="AS320" s="267"/>
      <c r="AT320" s="267"/>
      <c r="AW320" s="267"/>
      <c r="AX320" s="267"/>
      <c r="AY320" s="267"/>
      <c r="AZ320" s="267"/>
      <c r="BG320" s="269"/>
      <c r="BM320" s="269"/>
      <c r="BS320" s="269"/>
      <c r="BU320" s="267"/>
      <c r="BY320" s="267"/>
      <c r="CC320" s="267"/>
      <c r="CG320" s="267"/>
      <c r="CS320" s="267"/>
      <c r="CW320" s="270"/>
      <c r="CX320" s="267"/>
      <c r="DC320" s="267"/>
      <c r="DH320" s="267"/>
      <c r="DM320" s="267"/>
      <c r="DR320" s="267"/>
      <c r="DW320" s="267"/>
      <c r="EB320" s="267"/>
      <c r="EG320" s="267"/>
      <c r="EL320" s="267"/>
      <c r="EQ320" s="267"/>
      <c r="EU320" s="270"/>
      <c r="EV320" s="267"/>
      <c r="FC320" s="267"/>
      <c r="FD320" s="267"/>
      <c r="FE320" s="267"/>
      <c r="FF320" s="267"/>
      <c r="FG320" s="267"/>
      <c r="FL320" s="267"/>
      <c r="FM320" s="267"/>
      <c r="FN320" s="267"/>
      <c r="FO320" s="267"/>
      <c r="FP320" s="267"/>
      <c r="FQ320" s="264"/>
      <c r="FR320" s="264"/>
      <c r="FS320" s="264"/>
      <c r="FT320" s="264"/>
      <c r="FU320" s="267"/>
      <c r="FV320" s="267"/>
      <c r="FW320" s="267"/>
      <c r="FX320" s="267"/>
      <c r="FY320" s="267"/>
      <c r="GD320" s="267"/>
      <c r="GE320" s="267"/>
      <c r="GF320" s="267"/>
      <c r="GG320" s="267"/>
      <c r="GH320" s="267"/>
      <c r="GI320" s="264"/>
      <c r="GJ320" s="264"/>
      <c r="GK320" s="264"/>
      <c r="GL320" s="264"/>
      <c r="HD320" s="267"/>
      <c r="HE320" s="267"/>
      <c r="HF320" s="267"/>
      <c r="HG320" s="267"/>
      <c r="HH320" s="267"/>
      <c r="HI320" s="267"/>
      <c r="HJ320" s="267"/>
      <c r="HK320" s="267"/>
      <c r="HL320" s="267"/>
      <c r="HM320" s="267"/>
      <c r="HN320" s="267"/>
      <c r="HO320" s="267"/>
      <c r="HP320" s="267"/>
      <c r="HQ320" s="267"/>
      <c r="HR320" s="267"/>
      <c r="HS320" s="267"/>
      <c r="HT320" s="267"/>
      <c r="HU320" s="267"/>
      <c r="IH320" s="267"/>
      <c r="IK320" s="267"/>
      <c r="IN320" s="267"/>
      <c r="IQ320" s="267"/>
      <c r="IR320" s="267"/>
      <c r="IS320" s="267"/>
      <c r="IT320" s="274"/>
      <c r="IU320" s="274"/>
      <c r="IV320" s="272"/>
      <c r="IW320" s="274"/>
      <c r="IX320" s="274"/>
      <c r="IY320" s="272"/>
    </row>
    <row r="321" spans="10:259">
      <c r="J321" s="267"/>
      <c r="K321" s="267"/>
      <c r="L321" s="267"/>
      <c r="M321" s="267"/>
      <c r="N321" s="267"/>
      <c r="O321" s="267"/>
      <c r="P321" s="267"/>
      <c r="Q321" s="267"/>
      <c r="S321" s="267"/>
      <c r="T321" s="267"/>
      <c r="U321" s="267"/>
      <c r="V321" s="267"/>
      <c r="W321" s="264"/>
      <c r="Y321" s="267"/>
      <c r="Z321" s="267"/>
      <c r="AA321" s="267"/>
      <c r="AB321" s="267"/>
      <c r="AE321" s="267"/>
      <c r="AF321" s="267"/>
      <c r="AG321" s="267"/>
      <c r="AH321" s="267"/>
      <c r="AK321" s="267"/>
      <c r="AL321" s="267"/>
      <c r="AM321" s="267"/>
      <c r="AN321" s="267"/>
      <c r="AQ321" s="267"/>
      <c r="AR321" s="267"/>
      <c r="AS321" s="267"/>
      <c r="AT321" s="267"/>
      <c r="AW321" s="267"/>
      <c r="AX321" s="267"/>
      <c r="AY321" s="267"/>
      <c r="AZ321" s="267"/>
      <c r="BG321" s="269"/>
      <c r="BM321" s="269"/>
      <c r="BS321" s="269"/>
      <c r="BU321" s="267"/>
      <c r="BY321" s="267"/>
      <c r="CC321" s="267"/>
      <c r="CG321" s="267"/>
      <c r="CS321" s="267"/>
      <c r="CW321" s="270"/>
      <c r="CX321" s="267"/>
      <c r="DC321" s="267"/>
      <c r="DH321" s="267"/>
      <c r="DM321" s="267"/>
      <c r="DR321" s="267"/>
      <c r="DW321" s="267"/>
      <c r="EB321" s="267"/>
      <c r="EG321" s="267"/>
      <c r="EL321" s="267"/>
      <c r="EQ321" s="267"/>
      <c r="EU321" s="270"/>
      <c r="EV321" s="267"/>
      <c r="FC321" s="267"/>
      <c r="FD321" s="267"/>
      <c r="FE321" s="267"/>
      <c r="FF321" s="267"/>
      <c r="FG321" s="267"/>
      <c r="FL321" s="267"/>
      <c r="FM321" s="267"/>
      <c r="FN321" s="267"/>
      <c r="FO321" s="267"/>
      <c r="FP321" s="267"/>
      <c r="FQ321" s="264"/>
      <c r="FR321" s="264"/>
      <c r="FS321" s="264"/>
      <c r="FT321" s="264"/>
      <c r="FU321" s="267"/>
      <c r="FV321" s="267"/>
      <c r="FW321" s="267"/>
      <c r="FX321" s="267"/>
      <c r="FY321" s="267"/>
      <c r="GD321" s="267"/>
      <c r="GE321" s="267"/>
      <c r="GF321" s="267"/>
      <c r="GG321" s="267"/>
      <c r="GH321" s="267"/>
      <c r="GI321" s="264"/>
      <c r="GJ321" s="264"/>
      <c r="GK321" s="264"/>
      <c r="GL321" s="264"/>
      <c r="HD321" s="267"/>
      <c r="HE321" s="267"/>
      <c r="HF321" s="267"/>
      <c r="HG321" s="267"/>
      <c r="HH321" s="267"/>
      <c r="HI321" s="267"/>
      <c r="HJ321" s="267"/>
      <c r="HK321" s="267"/>
      <c r="HL321" s="267"/>
      <c r="HM321" s="267"/>
      <c r="HN321" s="267"/>
      <c r="HO321" s="267"/>
      <c r="HP321" s="267"/>
      <c r="HQ321" s="267"/>
      <c r="HR321" s="267"/>
      <c r="HS321" s="267"/>
      <c r="HT321" s="267"/>
      <c r="HU321" s="267"/>
      <c r="IH321" s="267"/>
      <c r="IK321" s="267"/>
      <c r="IN321" s="267"/>
      <c r="IQ321" s="267"/>
      <c r="IR321" s="267"/>
      <c r="IS321" s="267"/>
      <c r="IT321" s="274"/>
      <c r="IU321" s="274"/>
      <c r="IV321" s="272"/>
      <c r="IW321" s="274"/>
      <c r="IX321" s="274"/>
      <c r="IY321" s="272"/>
    </row>
    <row r="322" spans="10:259">
      <c r="J322" s="267"/>
      <c r="K322" s="267"/>
      <c r="L322" s="267"/>
      <c r="M322" s="267"/>
      <c r="N322" s="267"/>
      <c r="O322" s="267"/>
      <c r="P322" s="267"/>
      <c r="Q322" s="267"/>
      <c r="S322" s="267"/>
      <c r="T322" s="267"/>
      <c r="U322" s="267"/>
      <c r="V322" s="267"/>
      <c r="W322" s="264"/>
      <c r="Y322" s="267"/>
      <c r="Z322" s="267"/>
      <c r="AA322" s="267"/>
      <c r="AB322" s="267"/>
      <c r="AE322" s="267"/>
      <c r="AF322" s="267"/>
      <c r="AG322" s="267"/>
      <c r="AH322" s="267"/>
      <c r="AK322" s="267"/>
      <c r="AL322" s="267"/>
      <c r="AM322" s="267"/>
      <c r="AN322" s="267"/>
      <c r="AQ322" s="267"/>
      <c r="AR322" s="267"/>
      <c r="AS322" s="267"/>
      <c r="AT322" s="267"/>
      <c r="AW322" s="267"/>
      <c r="AX322" s="267"/>
      <c r="AY322" s="267"/>
      <c r="AZ322" s="267"/>
      <c r="BG322" s="269"/>
      <c r="BM322" s="269"/>
      <c r="BS322" s="269"/>
      <c r="BU322" s="267"/>
      <c r="BY322" s="267"/>
      <c r="CC322" s="267"/>
      <c r="CG322" s="267"/>
      <c r="CS322" s="267"/>
      <c r="CW322" s="270"/>
      <c r="CX322" s="267"/>
      <c r="DC322" s="267"/>
      <c r="DH322" s="267"/>
      <c r="DM322" s="267"/>
      <c r="DR322" s="267"/>
      <c r="DW322" s="267"/>
      <c r="EB322" s="267"/>
      <c r="EG322" s="267"/>
      <c r="EL322" s="267"/>
      <c r="EQ322" s="267"/>
      <c r="EU322" s="270"/>
      <c r="EV322" s="267"/>
      <c r="FC322" s="267"/>
      <c r="FD322" s="267"/>
      <c r="FE322" s="267"/>
      <c r="FF322" s="267"/>
      <c r="FG322" s="267"/>
      <c r="FL322" s="267"/>
      <c r="FM322" s="267"/>
      <c r="FN322" s="267"/>
      <c r="FO322" s="267"/>
      <c r="FP322" s="267"/>
      <c r="FQ322" s="264"/>
      <c r="FR322" s="264"/>
      <c r="FS322" s="264"/>
      <c r="FT322" s="264"/>
      <c r="FU322" s="267"/>
      <c r="FV322" s="267"/>
      <c r="FW322" s="267"/>
      <c r="FX322" s="267"/>
      <c r="FY322" s="267"/>
      <c r="GD322" s="267"/>
      <c r="GE322" s="267"/>
      <c r="GF322" s="267"/>
      <c r="GG322" s="267"/>
      <c r="GH322" s="267"/>
      <c r="GI322" s="264"/>
      <c r="GJ322" s="264"/>
      <c r="GK322" s="264"/>
      <c r="GL322" s="264"/>
      <c r="HD322" s="267"/>
      <c r="HE322" s="267"/>
      <c r="HF322" s="267"/>
      <c r="HG322" s="267"/>
      <c r="HH322" s="267"/>
      <c r="HI322" s="267"/>
      <c r="HJ322" s="267"/>
      <c r="HK322" s="267"/>
      <c r="HL322" s="267"/>
      <c r="HM322" s="267"/>
      <c r="HN322" s="267"/>
      <c r="HO322" s="267"/>
      <c r="HP322" s="267"/>
      <c r="HQ322" s="267"/>
      <c r="HR322" s="267"/>
      <c r="HS322" s="267"/>
      <c r="HT322" s="267"/>
      <c r="HU322" s="267"/>
      <c r="IH322" s="267"/>
      <c r="IK322" s="267"/>
      <c r="IN322" s="267"/>
      <c r="IQ322" s="267"/>
      <c r="IR322" s="267"/>
      <c r="IS322" s="267"/>
      <c r="IT322" s="274"/>
      <c r="IU322" s="274"/>
      <c r="IV322" s="272"/>
      <c r="IW322" s="274"/>
      <c r="IX322" s="274"/>
      <c r="IY322" s="272"/>
    </row>
    <row r="323" spans="10:259">
      <c r="J323" s="267"/>
      <c r="K323" s="267"/>
      <c r="L323" s="267"/>
      <c r="M323" s="267"/>
      <c r="N323" s="267"/>
      <c r="O323" s="267"/>
      <c r="P323" s="267"/>
      <c r="Q323" s="267"/>
      <c r="S323" s="267"/>
      <c r="T323" s="267"/>
      <c r="U323" s="267"/>
      <c r="V323" s="267"/>
      <c r="W323" s="264"/>
      <c r="Y323" s="267"/>
      <c r="Z323" s="267"/>
      <c r="AA323" s="267"/>
      <c r="AB323" s="267"/>
      <c r="AE323" s="267"/>
      <c r="AF323" s="267"/>
      <c r="AG323" s="267"/>
      <c r="AH323" s="267"/>
      <c r="AK323" s="267"/>
      <c r="AL323" s="267"/>
      <c r="AM323" s="267"/>
      <c r="AN323" s="267"/>
      <c r="AQ323" s="267"/>
      <c r="AR323" s="267"/>
      <c r="AS323" s="267"/>
      <c r="AT323" s="267"/>
      <c r="AW323" s="267"/>
      <c r="AX323" s="267"/>
      <c r="AY323" s="267"/>
      <c r="AZ323" s="267"/>
      <c r="BG323" s="269"/>
      <c r="BM323" s="269"/>
      <c r="BS323" s="269"/>
      <c r="BU323" s="267"/>
      <c r="BY323" s="267"/>
      <c r="CC323" s="267"/>
      <c r="CG323" s="267"/>
      <c r="CS323" s="267"/>
      <c r="CW323" s="270"/>
      <c r="CX323" s="267"/>
      <c r="DC323" s="267"/>
      <c r="DH323" s="267"/>
      <c r="DM323" s="267"/>
      <c r="DR323" s="267"/>
      <c r="DW323" s="267"/>
      <c r="EB323" s="267"/>
      <c r="EG323" s="267"/>
      <c r="EL323" s="267"/>
      <c r="EQ323" s="267"/>
      <c r="EU323" s="270"/>
      <c r="EV323" s="267"/>
      <c r="FC323" s="267"/>
      <c r="FD323" s="267"/>
      <c r="FE323" s="267"/>
      <c r="FF323" s="267"/>
      <c r="FG323" s="267"/>
      <c r="FL323" s="267"/>
      <c r="FM323" s="267"/>
      <c r="FN323" s="267"/>
      <c r="FO323" s="267"/>
      <c r="FP323" s="267"/>
      <c r="FQ323" s="264"/>
      <c r="FR323" s="264"/>
      <c r="FS323" s="264"/>
      <c r="FT323" s="264"/>
      <c r="FU323" s="267"/>
      <c r="FV323" s="267"/>
      <c r="FW323" s="267"/>
      <c r="FX323" s="267"/>
      <c r="FY323" s="267"/>
      <c r="GD323" s="267"/>
      <c r="GE323" s="267"/>
      <c r="GF323" s="267"/>
      <c r="GG323" s="267"/>
      <c r="GH323" s="267"/>
      <c r="GI323" s="264"/>
      <c r="GJ323" s="264"/>
      <c r="GK323" s="264"/>
      <c r="GL323" s="264"/>
      <c r="HD323" s="267"/>
      <c r="HE323" s="267"/>
      <c r="HF323" s="267"/>
      <c r="HG323" s="267"/>
      <c r="HH323" s="267"/>
      <c r="HI323" s="267"/>
      <c r="HJ323" s="267"/>
      <c r="HK323" s="267"/>
      <c r="HL323" s="267"/>
      <c r="HM323" s="267"/>
      <c r="HN323" s="267"/>
      <c r="HO323" s="267"/>
      <c r="HP323" s="267"/>
      <c r="HQ323" s="267"/>
      <c r="HR323" s="267"/>
      <c r="HS323" s="267"/>
      <c r="HT323" s="267"/>
      <c r="HU323" s="267"/>
      <c r="IH323" s="267"/>
      <c r="IK323" s="267"/>
      <c r="IN323" s="267"/>
      <c r="IQ323" s="267"/>
      <c r="IR323" s="267"/>
      <c r="IS323" s="267"/>
      <c r="IT323" s="274"/>
      <c r="IU323" s="274"/>
      <c r="IV323" s="272"/>
      <c r="IW323" s="274"/>
      <c r="IX323" s="274"/>
      <c r="IY323" s="272"/>
    </row>
    <row r="324" spans="10:259">
      <c r="J324" s="267"/>
      <c r="K324" s="267"/>
      <c r="L324" s="267"/>
      <c r="M324" s="267"/>
      <c r="N324" s="267"/>
      <c r="O324" s="267"/>
      <c r="P324" s="267"/>
      <c r="Q324" s="267"/>
      <c r="S324" s="267"/>
      <c r="T324" s="267"/>
      <c r="U324" s="267"/>
      <c r="V324" s="267"/>
      <c r="W324" s="264"/>
      <c r="Y324" s="267"/>
      <c r="Z324" s="267"/>
      <c r="AA324" s="267"/>
      <c r="AB324" s="267"/>
      <c r="AE324" s="267"/>
      <c r="AF324" s="267"/>
      <c r="AG324" s="267"/>
      <c r="AH324" s="267"/>
      <c r="AK324" s="267"/>
      <c r="AL324" s="267"/>
      <c r="AM324" s="267"/>
      <c r="AN324" s="267"/>
      <c r="AQ324" s="267"/>
      <c r="AR324" s="267"/>
      <c r="AS324" s="267"/>
      <c r="AT324" s="267"/>
      <c r="AW324" s="267"/>
      <c r="AX324" s="267"/>
      <c r="AY324" s="267"/>
      <c r="AZ324" s="267"/>
      <c r="BG324" s="269"/>
      <c r="BM324" s="269"/>
      <c r="BS324" s="269"/>
      <c r="BU324" s="267"/>
      <c r="BY324" s="267"/>
      <c r="CC324" s="267"/>
      <c r="CG324" s="267"/>
      <c r="CS324" s="267"/>
      <c r="CW324" s="270"/>
      <c r="CX324" s="267"/>
      <c r="DC324" s="267"/>
      <c r="DH324" s="267"/>
      <c r="DM324" s="267"/>
      <c r="DR324" s="267"/>
      <c r="DW324" s="267"/>
      <c r="EB324" s="267"/>
      <c r="EG324" s="267"/>
      <c r="EL324" s="267"/>
      <c r="EQ324" s="267"/>
      <c r="EU324" s="270"/>
      <c r="EV324" s="267"/>
      <c r="FC324" s="267"/>
      <c r="FD324" s="267"/>
      <c r="FE324" s="267"/>
      <c r="FF324" s="267"/>
      <c r="FG324" s="267"/>
      <c r="FL324" s="267"/>
      <c r="FM324" s="267"/>
      <c r="FN324" s="267"/>
      <c r="FO324" s="267"/>
      <c r="FP324" s="267"/>
      <c r="FQ324" s="264"/>
      <c r="FR324" s="264"/>
      <c r="FS324" s="264"/>
      <c r="FT324" s="264"/>
      <c r="FU324" s="267"/>
      <c r="FV324" s="267"/>
      <c r="FW324" s="267"/>
      <c r="FX324" s="267"/>
      <c r="FY324" s="267"/>
      <c r="GD324" s="267"/>
      <c r="GE324" s="267"/>
      <c r="GF324" s="267"/>
      <c r="GG324" s="267"/>
      <c r="GH324" s="267"/>
      <c r="GI324" s="264"/>
      <c r="GJ324" s="264"/>
      <c r="GK324" s="264"/>
      <c r="GL324" s="264"/>
      <c r="HD324" s="267"/>
      <c r="HE324" s="267"/>
      <c r="HF324" s="267"/>
      <c r="HG324" s="267"/>
      <c r="HH324" s="267"/>
      <c r="HI324" s="267"/>
      <c r="HJ324" s="267"/>
      <c r="HK324" s="267"/>
      <c r="HL324" s="267"/>
      <c r="HM324" s="267"/>
      <c r="HN324" s="267"/>
      <c r="HO324" s="267"/>
      <c r="HP324" s="267"/>
      <c r="HQ324" s="267"/>
      <c r="HR324" s="267"/>
      <c r="HS324" s="267"/>
      <c r="HT324" s="267"/>
      <c r="HU324" s="267"/>
      <c r="IH324" s="267"/>
      <c r="IK324" s="267"/>
      <c r="IN324" s="267"/>
      <c r="IQ324" s="267"/>
      <c r="IR324" s="267"/>
      <c r="IS324" s="267"/>
      <c r="IT324" s="274"/>
      <c r="IU324" s="274"/>
      <c r="IV324" s="272"/>
      <c r="IW324" s="274"/>
      <c r="IX324" s="274"/>
      <c r="IY324" s="272"/>
    </row>
    <row r="325" spans="10:259">
      <c r="J325" s="267"/>
      <c r="K325" s="267"/>
      <c r="L325" s="267"/>
      <c r="M325" s="267"/>
      <c r="N325" s="267"/>
      <c r="O325" s="267"/>
      <c r="P325" s="267"/>
      <c r="Q325" s="267"/>
      <c r="S325" s="267"/>
      <c r="T325" s="267"/>
      <c r="U325" s="267"/>
      <c r="V325" s="267"/>
      <c r="W325" s="264"/>
      <c r="Y325" s="267"/>
      <c r="Z325" s="267"/>
      <c r="AA325" s="267"/>
      <c r="AB325" s="267"/>
      <c r="AE325" s="267"/>
      <c r="AF325" s="267"/>
      <c r="AG325" s="267"/>
      <c r="AH325" s="267"/>
      <c r="AK325" s="267"/>
      <c r="AL325" s="267"/>
      <c r="AM325" s="267"/>
      <c r="AN325" s="267"/>
      <c r="AQ325" s="267"/>
      <c r="AR325" s="267"/>
      <c r="AS325" s="267"/>
      <c r="AT325" s="267"/>
      <c r="AW325" s="267"/>
      <c r="AX325" s="267"/>
      <c r="AY325" s="267"/>
      <c r="AZ325" s="267"/>
      <c r="BG325" s="269"/>
      <c r="BM325" s="269"/>
      <c r="BS325" s="269"/>
      <c r="BU325" s="267"/>
      <c r="BY325" s="267"/>
      <c r="CC325" s="267"/>
      <c r="CG325" s="267"/>
      <c r="CS325" s="267"/>
      <c r="CW325" s="270"/>
      <c r="CX325" s="267"/>
      <c r="DC325" s="267"/>
      <c r="DH325" s="267"/>
      <c r="DM325" s="267"/>
      <c r="DR325" s="267"/>
      <c r="DW325" s="267"/>
      <c r="EB325" s="267"/>
      <c r="EG325" s="267"/>
      <c r="EL325" s="267"/>
      <c r="EQ325" s="267"/>
      <c r="EU325" s="270"/>
      <c r="EV325" s="267"/>
      <c r="FC325" s="267"/>
      <c r="FD325" s="267"/>
      <c r="FE325" s="267"/>
      <c r="FF325" s="267"/>
      <c r="FG325" s="267"/>
      <c r="FL325" s="267"/>
      <c r="FM325" s="267"/>
      <c r="FN325" s="267"/>
      <c r="FO325" s="267"/>
      <c r="FP325" s="267"/>
      <c r="FQ325" s="264"/>
      <c r="FR325" s="264"/>
      <c r="FS325" s="264"/>
      <c r="FT325" s="264"/>
      <c r="FU325" s="267"/>
      <c r="FV325" s="267"/>
      <c r="FW325" s="267"/>
      <c r="FX325" s="267"/>
      <c r="FY325" s="267"/>
      <c r="GD325" s="267"/>
      <c r="GE325" s="267"/>
      <c r="GF325" s="267"/>
      <c r="GG325" s="267"/>
      <c r="GH325" s="267"/>
      <c r="GI325" s="264"/>
      <c r="GJ325" s="264"/>
      <c r="GK325" s="264"/>
      <c r="GL325" s="264"/>
      <c r="HD325" s="267"/>
      <c r="HE325" s="267"/>
      <c r="HF325" s="267"/>
      <c r="HG325" s="267"/>
      <c r="HH325" s="267"/>
      <c r="HI325" s="267"/>
      <c r="HJ325" s="267"/>
      <c r="HK325" s="267"/>
      <c r="HL325" s="267"/>
      <c r="HM325" s="267"/>
      <c r="HN325" s="267"/>
      <c r="HO325" s="267"/>
      <c r="HP325" s="267"/>
      <c r="HQ325" s="267"/>
      <c r="HR325" s="267"/>
      <c r="HS325" s="267"/>
      <c r="HT325" s="267"/>
      <c r="HU325" s="267"/>
      <c r="IH325" s="267"/>
      <c r="IK325" s="267"/>
      <c r="IN325" s="267"/>
      <c r="IQ325" s="267"/>
      <c r="IR325" s="267"/>
      <c r="IS325" s="267"/>
      <c r="IT325" s="274"/>
      <c r="IU325" s="274"/>
      <c r="IV325" s="272"/>
      <c r="IW325" s="274"/>
      <c r="IX325" s="274"/>
      <c r="IY325" s="272"/>
    </row>
    <row r="326" spans="10:259">
      <c r="J326" s="267"/>
      <c r="K326" s="267"/>
      <c r="L326" s="267"/>
      <c r="M326" s="267"/>
      <c r="N326" s="267"/>
      <c r="O326" s="267"/>
      <c r="P326" s="267"/>
      <c r="Q326" s="267"/>
      <c r="S326" s="267"/>
      <c r="T326" s="267"/>
      <c r="U326" s="267"/>
      <c r="V326" s="267"/>
      <c r="W326" s="264"/>
      <c r="Y326" s="267"/>
      <c r="Z326" s="267"/>
      <c r="AA326" s="267"/>
      <c r="AB326" s="267"/>
      <c r="AE326" s="267"/>
      <c r="AF326" s="267"/>
      <c r="AG326" s="267"/>
      <c r="AH326" s="267"/>
      <c r="AK326" s="267"/>
      <c r="AL326" s="267"/>
      <c r="AM326" s="267"/>
      <c r="AN326" s="267"/>
      <c r="AQ326" s="267"/>
      <c r="AR326" s="267"/>
      <c r="AS326" s="267"/>
      <c r="AT326" s="267"/>
      <c r="AW326" s="267"/>
      <c r="AX326" s="267"/>
      <c r="AY326" s="267"/>
      <c r="AZ326" s="267"/>
      <c r="BG326" s="269"/>
      <c r="BM326" s="269"/>
      <c r="BS326" s="269"/>
      <c r="BU326" s="267"/>
      <c r="BY326" s="267"/>
      <c r="CC326" s="267"/>
      <c r="CG326" s="267"/>
      <c r="CS326" s="267"/>
      <c r="CW326" s="270"/>
      <c r="CX326" s="267"/>
      <c r="DC326" s="267"/>
      <c r="DH326" s="267"/>
      <c r="DM326" s="267"/>
      <c r="DR326" s="267"/>
      <c r="DW326" s="267"/>
      <c r="EB326" s="267"/>
      <c r="EG326" s="267"/>
      <c r="EL326" s="267"/>
      <c r="EQ326" s="267"/>
      <c r="EU326" s="270"/>
      <c r="EV326" s="267"/>
      <c r="FC326" s="267"/>
      <c r="FD326" s="267"/>
      <c r="FE326" s="267"/>
      <c r="FF326" s="267"/>
      <c r="FG326" s="267"/>
      <c r="FL326" s="267"/>
      <c r="FM326" s="267"/>
      <c r="FN326" s="267"/>
      <c r="FO326" s="267"/>
      <c r="FP326" s="267"/>
      <c r="FQ326" s="264"/>
      <c r="FR326" s="264"/>
      <c r="FS326" s="264"/>
      <c r="FT326" s="264"/>
      <c r="FU326" s="267"/>
      <c r="FV326" s="267"/>
      <c r="FW326" s="267"/>
      <c r="FX326" s="267"/>
      <c r="FY326" s="267"/>
      <c r="GD326" s="267"/>
      <c r="GE326" s="267"/>
      <c r="GF326" s="267"/>
      <c r="GG326" s="267"/>
      <c r="GH326" s="267"/>
      <c r="GI326" s="264"/>
      <c r="GJ326" s="264"/>
      <c r="GK326" s="264"/>
      <c r="GL326" s="264"/>
      <c r="HD326" s="267"/>
      <c r="HE326" s="267"/>
      <c r="HF326" s="267"/>
      <c r="HG326" s="267"/>
      <c r="HH326" s="267"/>
      <c r="HI326" s="267"/>
      <c r="HJ326" s="267"/>
      <c r="HK326" s="267"/>
      <c r="HL326" s="267"/>
      <c r="HM326" s="267"/>
      <c r="HN326" s="267"/>
      <c r="HO326" s="267"/>
      <c r="HP326" s="267"/>
      <c r="HQ326" s="267"/>
      <c r="HR326" s="267"/>
      <c r="HS326" s="267"/>
      <c r="HT326" s="267"/>
      <c r="HU326" s="267"/>
      <c r="IH326" s="267"/>
      <c r="IK326" s="267"/>
      <c r="IN326" s="267"/>
      <c r="IQ326" s="267"/>
      <c r="IR326" s="267"/>
      <c r="IS326" s="267"/>
      <c r="IT326" s="274"/>
      <c r="IU326" s="274"/>
      <c r="IV326" s="272"/>
      <c r="IW326" s="274"/>
      <c r="IX326" s="274"/>
      <c r="IY326" s="272"/>
    </row>
    <row r="327" spans="10:259">
      <c r="J327" s="267"/>
      <c r="K327" s="267"/>
      <c r="L327" s="267"/>
      <c r="M327" s="267"/>
      <c r="N327" s="267"/>
      <c r="O327" s="267"/>
      <c r="P327" s="267"/>
      <c r="Q327" s="267"/>
      <c r="S327" s="267"/>
      <c r="T327" s="267"/>
      <c r="U327" s="267"/>
      <c r="V327" s="267"/>
      <c r="W327" s="264"/>
      <c r="Y327" s="267"/>
      <c r="Z327" s="267"/>
      <c r="AA327" s="267"/>
      <c r="AB327" s="267"/>
      <c r="AE327" s="267"/>
      <c r="AF327" s="267"/>
      <c r="AG327" s="267"/>
      <c r="AH327" s="267"/>
      <c r="AK327" s="267"/>
      <c r="AL327" s="267"/>
      <c r="AM327" s="267"/>
      <c r="AN327" s="267"/>
      <c r="AQ327" s="267"/>
      <c r="AR327" s="267"/>
      <c r="AS327" s="267"/>
      <c r="AT327" s="267"/>
      <c r="AW327" s="267"/>
      <c r="AX327" s="267"/>
      <c r="AY327" s="267"/>
      <c r="AZ327" s="267"/>
      <c r="BG327" s="269"/>
      <c r="BM327" s="269"/>
      <c r="BS327" s="269"/>
      <c r="BU327" s="267"/>
      <c r="BY327" s="267"/>
      <c r="CC327" s="267"/>
      <c r="CG327" s="267"/>
      <c r="CS327" s="267"/>
      <c r="CW327" s="270"/>
      <c r="CX327" s="267"/>
      <c r="DC327" s="267"/>
      <c r="DH327" s="267"/>
      <c r="DM327" s="267"/>
      <c r="DR327" s="267"/>
      <c r="DW327" s="267"/>
      <c r="EB327" s="267"/>
      <c r="EG327" s="267"/>
      <c r="EL327" s="267"/>
      <c r="EQ327" s="267"/>
      <c r="EU327" s="270"/>
      <c r="EV327" s="267"/>
      <c r="FC327" s="267"/>
      <c r="FD327" s="267"/>
      <c r="FE327" s="267"/>
      <c r="FF327" s="267"/>
      <c r="FG327" s="267"/>
      <c r="FL327" s="267"/>
      <c r="FM327" s="267"/>
      <c r="FN327" s="267"/>
      <c r="FO327" s="267"/>
      <c r="FP327" s="267"/>
      <c r="FQ327" s="264"/>
      <c r="FR327" s="264"/>
      <c r="FS327" s="264"/>
      <c r="FT327" s="264"/>
      <c r="FU327" s="267"/>
      <c r="FV327" s="267"/>
      <c r="FW327" s="267"/>
      <c r="FX327" s="267"/>
      <c r="FY327" s="267"/>
      <c r="GD327" s="267"/>
      <c r="GE327" s="267"/>
      <c r="GF327" s="267"/>
      <c r="GG327" s="267"/>
      <c r="GH327" s="267"/>
      <c r="GI327" s="264"/>
      <c r="GJ327" s="264"/>
      <c r="GK327" s="264"/>
      <c r="GL327" s="264"/>
      <c r="HD327" s="267"/>
      <c r="HE327" s="267"/>
      <c r="HF327" s="267"/>
      <c r="HG327" s="267"/>
      <c r="HH327" s="267"/>
      <c r="HI327" s="267"/>
      <c r="HJ327" s="267"/>
      <c r="HK327" s="267"/>
      <c r="HL327" s="267"/>
      <c r="HM327" s="267"/>
      <c r="HN327" s="267"/>
      <c r="HO327" s="267"/>
      <c r="HP327" s="267"/>
      <c r="HQ327" s="267"/>
      <c r="HR327" s="267"/>
      <c r="HS327" s="267"/>
      <c r="HT327" s="267"/>
      <c r="HU327" s="267"/>
      <c r="IH327" s="267"/>
      <c r="IK327" s="267"/>
      <c r="IN327" s="267"/>
      <c r="IQ327" s="267"/>
      <c r="IR327" s="267"/>
      <c r="IS327" s="267"/>
      <c r="IT327" s="274"/>
      <c r="IU327" s="274"/>
      <c r="IV327" s="272"/>
      <c r="IW327" s="274"/>
      <c r="IX327" s="274"/>
      <c r="IY327" s="272"/>
    </row>
    <row r="328" spans="10:259">
      <c r="J328" s="267"/>
      <c r="K328" s="267"/>
      <c r="L328" s="267"/>
      <c r="M328" s="267"/>
      <c r="N328" s="267"/>
      <c r="O328" s="267"/>
      <c r="P328" s="267"/>
      <c r="Q328" s="267"/>
      <c r="S328" s="267"/>
      <c r="T328" s="267"/>
      <c r="U328" s="267"/>
      <c r="V328" s="267"/>
      <c r="W328" s="264"/>
      <c r="Y328" s="267"/>
      <c r="Z328" s="267"/>
      <c r="AA328" s="267"/>
      <c r="AB328" s="267"/>
      <c r="AE328" s="267"/>
      <c r="AF328" s="267"/>
      <c r="AG328" s="267"/>
      <c r="AH328" s="267"/>
      <c r="AK328" s="267"/>
      <c r="AL328" s="267"/>
      <c r="AM328" s="267"/>
      <c r="AN328" s="267"/>
      <c r="AQ328" s="267"/>
      <c r="AR328" s="267"/>
      <c r="AS328" s="267"/>
      <c r="AT328" s="267"/>
      <c r="AW328" s="267"/>
      <c r="AX328" s="267"/>
      <c r="AY328" s="267"/>
      <c r="AZ328" s="267"/>
      <c r="BG328" s="269"/>
      <c r="BM328" s="269"/>
      <c r="BS328" s="269"/>
      <c r="BU328" s="267"/>
      <c r="BY328" s="267"/>
      <c r="CC328" s="267"/>
      <c r="CG328" s="267"/>
      <c r="CS328" s="267"/>
      <c r="CW328" s="270"/>
      <c r="CX328" s="267"/>
      <c r="DC328" s="267"/>
      <c r="DH328" s="267"/>
      <c r="DM328" s="267"/>
      <c r="DR328" s="267"/>
      <c r="DW328" s="267"/>
      <c r="EB328" s="267"/>
      <c r="EG328" s="267"/>
      <c r="EL328" s="267"/>
      <c r="EQ328" s="267"/>
      <c r="EU328" s="270"/>
      <c r="EV328" s="267"/>
      <c r="FC328" s="267"/>
      <c r="FD328" s="267"/>
      <c r="FE328" s="267"/>
      <c r="FF328" s="267"/>
      <c r="FG328" s="267"/>
      <c r="FL328" s="267"/>
      <c r="FM328" s="267"/>
      <c r="FN328" s="267"/>
      <c r="FO328" s="267"/>
      <c r="FP328" s="267"/>
      <c r="FQ328" s="264"/>
      <c r="FR328" s="264"/>
      <c r="FS328" s="264"/>
      <c r="FT328" s="264"/>
      <c r="FU328" s="267"/>
      <c r="FV328" s="267"/>
      <c r="FW328" s="267"/>
      <c r="FX328" s="267"/>
      <c r="FY328" s="267"/>
      <c r="GD328" s="267"/>
      <c r="GE328" s="267"/>
      <c r="GF328" s="267"/>
      <c r="GG328" s="267"/>
      <c r="GH328" s="267"/>
      <c r="GI328" s="264"/>
      <c r="GJ328" s="264"/>
      <c r="GK328" s="264"/>
      <c r="GL328" s="264"/>
      <c r="HD328" s="267"/>
      <c r="HE328" s="267"/>
      <c r="HF328" s="267"/>
      <c r="HG328" s="267"/>
      <c r="HH328" s="267"/>
      <c r="HI328" s="267"/>
      <c r="HJ328" s="267"/>
      <c r="HK328" s="267"/>
      <c r="HL328" s="267"/>
      <c r="HM328" s="267"/>
      <c r="HN328" s="267"/>
      <c r="HO328" s="267"/>
      <c r="HP328" s="267"/>
      <c r="HQ328" s="267"/>
      <c r="HR328" s="267"/>
      <c r="HS328" s="267"/>
      <c r="HT328" s="267"/>
      <c r="HU328" s="267"/>
      <c r="IH328" s="267"/>
      <c r="IK328" s="267"/>
      <c r="IN328" s="267"/>
      <c r="IQ328" s="267"/>
      <c r="IR328" s="267"/>
      <c r="IS328" s="267"/>
      <c r="IT328" s="274"/>
      <c r="IU328" s="274"/>
      <c r="IV328" s="272"/>
      <c r="IW328" s="274"/>
      <c r="IX328" s="274"/>
      <c r="IY328" s="272"/>
    </row>
    <row r="329" spans="10:259">
      <c r="J329" s="267"/>
      <c r="K329" s="267"/>
      <c r="L329" s="267"/>
      <c r="M329" s="267"/>
      <c r="N329" s="267"/>
      <c r="O329" s="267"/>
      <c r="P329" s="267"/>
      <c r="Q329" s="267"/>
      <c r="S329" s="267"/>
      <c r="T329" s="267"/>
      <c r="U329" s="267"/>
      <c r="V329" s="267"/>
      <c r="W329" s="264"/>
      <c r="Y329" s="267"/>
      <c r="Z329" s="267"/>
      <c r="AA329" s="267"/>
      <c r="AB329" s="267"/>
      <c r="AE329" s="267"/>
      <c r="AF329" s="267"/>
      <c r="AG329" s="267"/>
      <c r="AH329" s="267"/>
      <c r="AK329" s="267"/>
      <c r="AL329" s="267"/>
      <c r="AM329" s="267"/>
      <c r="AN329" s="267"/>
      <c r="AQ329" s="267"/>
      <c r="AR329" s="267"/>
      <c r="AS329" s="267"/>
      <c r="AT329" s="267"/>
      <c r="AW329" s="267"/>
      <c r="AX329" s="267"/>
      <c r="AY329" s="267"/>
      <c r="AZ329" s="267"/>
      <c r="BG329" s="269"/>
      <c r="BM329" s="269"/>
      <c r="BS329" s="269"/>
      <c r="BU329" s="267"/>
      <c r="BY329" s="267"/>
      <c r="CC329" s="267"/>
      <c r="CG329" s="267"/>
      <c r="CS329" s="267"/>
      <c r="CW329" s="270"/>
      <c r="CX329" s="267"/>
      <c r="DC329" s="267"/>
      <c r="DH329" s="267"/>
      <c r="DM329" s="267"/>
      <c r="DR329" s="267"/>
      <c r="DW329" s="267"/>
      <c r="EB329" s="267"/>
      <c r="EG329" s="267"/>
      <c r="EL329" s="267"/>
      <c r="EQ329" s="267"/>
      <c r="EU329" s="270"/>
      <c r="EV329" s="267"/>
      <c r="FC329" s="267"/>
      <c r="FD329" s="267"/>
      <c r="FE329" s="267"/>
      <c r="FF329" s="267"/>
      <c r="FG329" s="267"/>
      <c r="FL329" s="267"/>
      <c r="FM329" s="267"/>
      <c r="FN329" s="267"/>
      <c r="FO329" s="267"/>
      <c r="FP329" s="267"/>
      <c r="FQ329" s="264"/>
      <c r="FR329" s="264"/>
      <c r="FS329" s="264"/>
      <c r="FT329" s="264"/>
      <c r="FU329" s="267"/>
      <c r="FV329" s="267"/>
      <c r="FW329" s="267"/>
      <c r="FX329" s="267"/>
      <c r="FY329" s="267"/>
      <c r="GD329" s="267"/>
      <c r="GE329" s="267"/>
      <c r="GF329" s="267"/>
      <c r="GG329" s="267"/>
      <c r="GH329" s="267"/>
      <c r="GI329" s="264"/>
      <c r="GJ329" s="264"/>
      <c r="GK329" s="264"/>
      <c r="GL329" s="264"/>
      <c r="HD329" s="267"/>
      <c r="HE329" s="267"/>
      <c r="HF329" s="267"/>
      <c r="HG329" s="267"/>
      <c r="HH329" s="267"/>
      <c r="HI329" s="267"/>
      <c r="HJ329" s="267"/>
      <c r="HK329" s="267"/>
      <c r="HL329" s="267"/>
      <c r="HM329" s="267"/>
      <c r="HN329" s="267"/>
      <c r="HO329" s="267"/>
      <c r="HP329" s="267"/>
      <c r="HQ329" s="267"/>
      <c r="HR329" s="267"/>
      <c r="HS329" s="267"/>
      <c r="HT329" s="267"/>
      <c r="HU329" s="267"/>
      <c r="IH329" s="267"/>
      <c r="IK329" s="267"/>
      <c r="IN329" s="267"/>
      <c r="IQ329" s="267"/>
      <c r="IR329" s="267"/>
      <c r="IS329" s="267"/>
      <c r="IT329" s="274"/>
      <c r="IU329" s="274"/>
      <c r="IV329" s="272"/>
      <c r="IW329" s="274"/>
      <c r="IX329" s="274"/>
      <c r="IY329" s="272"/>
    </row>
    <row r="330" spans="10:259">
      <c r="J330" s="267"/>
      <c r="K330" s="267"/>
      <c r="L330" s="267"/>
      <c r="M330" s="267"/>
      <c r="N330" s="267"/>
      <c r="O330" s="267"/>
      <c r="P330" s="267"/>
      <c r="Q330" s="267"/>
      <c r="S330" s="267"/>
      <c r="T330" s="267"/>
      <c r="U330" s="267"/>
      <c r="V330" s="267"/>
      <c r="W330" s="264"/>
      <c r="Y330" s="267"/>
      <c r="Z330" s="267"/>
      <c r="AA330" s="267"/>
      <c r="AB330" s="267"/>
      <c r="AE330" s="267"/>
      <c r="AF330" s="267"/>
      <c r="AG330" s="267"/>
      <c r="AH330" s="267"/>
      <c r="AK330" s="267"/>
      <c r="AL330" s="267"/>
      <c r="AM330" s="267"/>
      <c r="AN330" s="267"/>
      <c r="AQ330" s="267"/>
      <c r="AR330" s="267"/>
      <c r="AS330" s="267"/>
      <c r="AT330" s="267"/>
      <c r="AW330" s="267"/>
      <c r="AX330" s="267"/>
      <c r="AY330" s="267"/>
      <c r="AZ330" s="267"/>
      <c r="BG330" s="269"/>
      <c r="BM330" s="269"/>
      <c r="BS330" s="269"/>
      <c r="BU330" s="267"/>
      <c r="BY330" s="267"/>
      <c r="CC330" s="267"/>
      <c r="CG330" s="267"/>
      <c r="CS330" s="267"/>
      <c r="CW330" s="270"/>
      <c r="CX330" s="267"/>
      <c r="DC330" s="267"/>
      <c r="DH330" s="267"/>
      <c r="DM330" s="267"/>
      <c r="DR330" s="267"/>
      <c r="DW330" s="267"/>
      <c r="EB330" s="267"/>
      <c r="EG330" s="267"/>
      <c r="EL330" s="267"/>
      <c r="EQ330" s="267"/>
      <c r="EU330" s="270"/>
      <c r="EV330" s="267"/>
      <c r="FC330" s="267"/>
      <c r="FD330" s="267"/>
      <c r="FE330" s="267"/>
      <c r="FF330" s="267"/>
      <c r="FG330" s="267"/>
      <c r="FL330" s="267"/>
      <c r="FM330" s="267"/>
      <c r="FN330" s="267"/>
      <c r="FO330" s="267"/>
      <c r="FP330" s="267"/>
      <c r="FQ330" s="264"/>
      <c r="FR330" s="264"/>
      <c r="FS330" s="264"/>
      <c r="FT330" s="264"/>
      <c r="FU330" s="267"/>
      <c r="FV330" s="267"/>
      <c r="FW330" s="267"/>
      <c r="FX330" s="267"/>
      <c r="FY330" s="267"/>
      <c r="GD330" s="267"/>
      <c r="GE330" s="267"/>
      <c r="GF330" s="267"/>
      <c r="GG330" s="267"/>
      <c r="GH330" s="267"/>
      <c r="GI330" s="264"/>
      <c r="GJ330" s="264"/>
      <c r="GK330" s="264"/>
      <c r="GL330" s="264"/>
      <c r="HD330" s="267"/>
      <c r="HE330" s="267"/>
      <c r="HF330" s="267"/>
      <c r="HG330" s="267"/>
      <c r="HH330" s="267"/>
      <c r="HI330" s="267"/>
      <c r="HJ330" s="267"/>
      <c r="HK330" s="267"/>
      <c r="HL330" s="267"/>
      <c r="HM330" s="267"/>
      <c r="HN330" s="267"/>
      <c r="HO330" s="267"/>
      <c r="HP330" s="267"/>
      <c r="HQ330" s="267"/>
      <c r="HR330" s="267"/>
      <c r="HS330" s="267"/>
      <c r="HT330" s="267"/>
      <c r="HU330" s="267"/>
      <c r="IH330" s="267"/>
      <c r="IK330" s="267"/>
      <c r="IN330" s="267"/>
      <c r="IQ330" s="267"/>
      <c r="IR330" s="267"/>
      <c r="IS330" s="267"/>
      <c r="IV330" s="267"/>
      <c r="IY330" s="267"/>
    </row>
    <row r="331" spans="10:259">
      <c r="J331" s="267"/>
      <c r="K331" s="267"/>
      <c r="L331" s="267"/>
      <c r="M331" s="267"/>
      <c r="N331" s="267"/>
      <c r="O331" s="267"/>
      <c r="P331" s="267"/>
      <c r="Q331" s="267"/>
      <c r="S331" s="267"/>
      <c r="T331" s="267"/>
      <c r="U331" s="267"/>
      <c r="V331" s="267"/>
      <c r="W331" s="264"/>
      <c r="Y331" s="267"/>
      <c r="Z331" s="267"/>
      <c r="AA331" s="267"/>
      <c r="AB331" s="267"/>
      <c r="AE331" s="267"/>
      <c r="AF331" s="267"/>
      <c r="AG331" s="267"/>
      <c r="AH331" s="267"/>
      <c r="AK331" s="267"/>
      <c r="AL331" s="267"/>
      <c r="AM331" s="267"/>
      <c r="AN331" s="267"/>
      <c r="AQ331" s="267"/>
      <c r="AR331" s="267"/>
      <c r="AS331" s="267"/>
      <c r="AT331" s="267"/>
      <c r="AW331" s="267"/>
      <c r="AX331" s="267"/>
      <c r="AY331" s="267"/>
      <c r="AZ331" s="267"/>
      <c r="BG331" s="269"/>
      <c r="BM331" s="269"/>
      <c r="BS331" s="269"/>
      <c r="BU331" s="267"/>
      <c r="BY331" s="267"/>
      <c r="CC331" s="267"/>
      <c r="CG331" s="267"/>
      <c r="CS331" s="267"/>
      <c r="CW331" s="270"/>
      <c r="CX331" s="267"/>
      <c r="DC331" s="267"/>
      <c r="DH331" s="267"/>
      <c r="DM331" s="267"/>
      <c r="DR331" s="267"/>
      <c r="DW331" s="267"/>
      <c r="EB331" s="267"/>
      <c r="EG331" s="267"/>
      <c r="EL331" s="267"/>
      <c r="EQ331" s="267"/>
      <c r="EU331" s="270"/>
      <c r="EV331" s="267"/>
      <c r="FC331" s="267"/>
      <c r="FD331" s="267"/>
      <c r="FE331" s="267"/>
      <c r="FF331" s="267"/>
      <c r="FG331" s="267"/>
      <c r="FL331" s="267"/>
      <c r="FM331" s="267"/>
      <c r="FN331" s="267"/>
      <c r="FO331" s="267"/>
      <c r="FP331" s="267"/>
      <c r="FQ331" s="264"/>
      <c r="FR331" s="264"/>
      <c r="FS331" s="264"/>
      <c r="FT331" s="264"/>
      <c r="FU331" s="267"/>
      <c r="FV331" s="267"/>
      <c r="FW331" s="267"/>
      <c r="FX331" s="267"/>
      <c r="FY331" s="267"/>
      <c r="GD331" s="267"/>
      <c r="GE331" s="267"/>
      <c r="GF331" s="267"/>
      <c r="GG331" s="267"/>
      <c r="GH331" s="267"/>
      <c r="GI331" s="264"/>
      <c r="GJ331" s="264"/>
      <c r="GK331" s="264"/>
      <c r="GL331" s="264"/>
      <c r="HD331" s="267"/>
      <c r="HE331" s="267"/>
      <c r="HF331" s="267"/>
      <c r="HG331" s="267"/>
      <c r="HH331" s="267"/>
      <c r="HI331" s="267"/>
      <c r="HJ331" s="267"/>
      <c r="HK331" s="267"/>
      <c r="HL331" s="267"/>
      <c r="HM331" s="267"/>
      <c r="HN331" s="267"/>
      <c r="HO331" s="267"/>
      <c r="HP331" s="267"/>
      <c r="HQ331" s="267"/>
      <c r="HR331" s="267"/>
      <c r="HS331" s="267"/>
      <c r="HT331" s="267"/>
      <c r="HU331" s="267"/>
      <c r="IH331" s="267"/>
      <c r="IK331" s="267"/>
      <c r="IN331" s="267"/>
      <c r="IQ331" s="267"/>
      <c r="IR331" s="267"/>
      <c r="IS331" s="267"/>
      <c r="IV331" s="267"/>
      <c r="IY331" s="267"/>
    </row>
    <row r="332" spans="10:259">
      <c r="J332" s="267"/>
      <c r="K332" s="267"/>
      <c r="L332" s="267"/>
      <c r="M332" s="267"/>
      <c r="N332" s="267"/>
      <c r="O332" s="267"/>
      <c r="P332" s="267"/>
      <c r="Q332" s="267"/>
      <c r="S332" s="267"/>
      <c r="T332" s="267"/>
      <c r="U332" s="267"/>
      <c r="V332" s="267"/>
      <c r="W332" s="264"/>
      <c r="Y332" s="267"/>
      <c r="Z332" s="267"/>
      <c r="AA332" s="267"/>
      <c r="AB332" s="267"/>
      <c r="AE332" s="267"/>
      <c r="AF332" s="267"/>
      <c r="AG332" s="267"/>
      <c r="AH332" s="267"/>
      <c r="AK332" s="267"/>
      <c r="AL332" s="267"/>
      <c r="AM332" s="267"/>
      <c r="AN332" s="267"/>
      <c r="AQ332" s="267"/>
      <c r="AR332" s="267"/>
      <c r="AS332" s="267"/>
      <c r="AT332" s="267"/>
      <c r="AW332" s="267"/>
      <c r="AX332" s="267"/>
      <c r="AY332" s="267"/>
      <c r="AZ332" s="267"/>
      <c r="BG332" s="269"/>
      <c r="BM332" s="269"/>
      <c r="BS332" s="269"/>
      <c r="BU332" s="267"/>
      <c r="BY332" s="267"/>
      <c r="CC332" s="267"/>
      <c r="CG332" s="267"/>
      <c r="CS332" s="267"/>
      <c r="CW332" s="270"/>
      <c r="CX332" s="267"/>
      <c r="DC332" s="267"/>
      <c r="DH332" s="267"/>
      <c r="DM332" s="267"/>
      <c r="DR332" s="267"/>
      <c r="DW332" s="267"/>
      <c r="EB332" s="267"/>
      <c r="EG332" s="267"/>
      <c r="EL332" s="267"/>
      <c r="EQ332" s="267"/>
      <c r="EU332" s="270"/>
      <c r="EV332" s="267"/>
      <c r="FC332" s="267"/>
      <c r="FD332" s="267"/>
      <c r="FE332" s="267"/>
      <c r="FF332" s="267"/>
      <c r="FG332" s="267"/>
      <c r="FL332" s="267"/>
      <c r="FM332" s="267"/>
      <c r="FN332" s="267"/>
      <c r="FO332" s="267"/>
      <c r="FP332" s="267"/>
      <c r="FQ332" s="264"/>
      <c r="FR332" s="264"/>
      <c r="FS332" s="264"/>
      <c r="FT332" s="264"/>
      <c r="FU332" s="267"/>
      <c r="FV332" s="267"/>
      <c r="FW332" s="267"/>
      <c r="FX332" s="267"/>
      <c r="FY332" s="267"/>
      <c r="GD332" s="267"/>
      <c r="GE332" s="267"/>
      <c r="GF332" s="267"/>
      <c r="GG332" s="267"/>
      <c r="GH332" s="267"/>
      <c r="GI332" s="264"/>
      <c r="GJ332" s="264"/>
      <c r="GK332" s="264"/>
      <c r="GL332" s="264"/>
      <c r="HD332" s="267"/>
      <c r="HE332" s="267"/>
      <c r="HF332" s="267"/>
      <c r="HG332" s="267"/>
      <c r="HH332" s="267"/>
      <c r="HI332" s="267"/>
      <c r="HJ332" s="267"/>
      <c r="HK332" s="267"/>
      <c r="HL332" s="267"/>
      <c r="HM332" s="267"/>
      <c r="HN332" s="267"/>
      <c r="HO332" s="267"/>
      <c r="HP332" s="267"/>
      <c r="HQ332" s="267"/>
      <c r="HR332" s="267"/>
      <c r="HS332" s="267"/>
      <c r="HT332" s="267"/>
      <c r="HU332" s="267"/>
      <c r="IH332" s="267"/>
      <c r="IK332" s="267"/>
      <c r="IN332" s="267"/>
      <c r="IQ332" s="267"/>
      <c r="IR332" s="267"/>
      <c r="IS332" s="267"/>
      <c r="IV332" s="267"/>
      <c r="IY332" s="267"/>
    </row>
    <row r="333" spans="10:259">
      <c r="J333" s="267"/>
      <c r="K333" s="267"/>
      <c r="L333" s="267"/>
      <c r="M333" s="267"/>
      <c r="N333" s="267"/>
      <c r="O333" s="267"/>
      <c r="P333" s="267"/>
      <c r="Q333" s="267"/>
      <c r="S333" s="267"/>
      <c r="T333" s="267"/>
      <c r="U333" s="267"/>
      <c r="V333" s="267"/>
      <c r="W333" s="264"/>
      <c r="Y333" s="267"/>
      <c r="Z333" s="267"/>
      <c r="AA333" s="267"/>
      <c r="AB333" s="267"/>
      <c r="AE333" s="267"/>
      <c r="AF333" s="267"/>
      <c r="AG333" s="267"/>
      <c r="AH333" s="267"/>
      <c r="AK333" s="267"/>
      <c r="AL333" s="267"/>
      <c r="AM333" s="267"/>
      <c r="AN333" s="267"/>
      <c r="AQ333" s="267"/>
      <c r="AR333" s="267"/>
      <c r="AS333" s="267"/>
      <c r="AT333" s="267"/>
      <c r="AW333" s="267"/>
      <c r="AX333" s="267"/>
      <c r="AY333" s="267"/>
      <c r="AZ333" s="267"/>
      <c r="BG333" s="269"/>
      <c r="BM333" s="269"/>
      <c r="BS333" s="269"/>
      <c r="BU333" s="267"/>
      <c r="BY333" s="267"/>
      <c r="CC333" s="267"/>
      <c r="CG333" s="267"/>
      <c r="CS333" s="267"/>
      <c r="CW333" s="270"/>
      <c r="CX333" s="267"/>
      <c r="DC333" s="267"/>
      <c r="DH333" s="267"/>
      <c r="DM333" s="267"/>
      <c r="DR333" s="267"/>
      <c r="DW333" s="267"/>
      <c r="EB333" s="267"/>
      <c r="EG333" s="267"/>
      <c r="EL333" s="267"/>
      <c r="EQ333" s="267"/>
      <c r="EU333" s="270"/>
      <c r="EV333" s="267"/>
      <c r="FC333" s="267"/>
      <c r="FD333" s="267"/>
      <c r="FE333" s="267"/>
      <c r="FF333" s="267"/>
      <c r="FG333" s="267"/>
      <c r="FL333" s="267"/>
      <c r="FM333" s="267"/>
      <c r="FN333" s="267"/>
      <c r="FO333" s="267"/>
      <c r="FP333" s="267"/>
      <c r="FQ333" s="264"/>
      <c r="FR333" s="264"/>
      <c r="FS333" s="264"/>
      <c r="FT333" s="264"/>
      <c r="FU333" s="267"/>
      <c r="FV333" s="267"/>
      <c r="FW333" s="267"/>
      <c r="FX333" s="267"/>
      <c r="FY333" s="267"/>
      <c r="GD333" s="267"/>
      <c r="GE333" s="267"/>
      <c r="GF333" s="267"/>
      <c r="GG333" s="267"/>
      <c r="GH333" s="267"/>
      <c r="GI333" s="264"/>
      <c r="GJ333" s="264"/>
      <c r="GK333" s="264"/>
      <c r="GL333" s="264"/>
      <c r="HD333" s="267"/>
      <c r="HE333" s="267"/>
      <c r="HF333" s="267"/>
      <c r="HG333" s="267"/>
      <c r="HH333" s="267"/>
      <c r="HI333" s="267"/>
      <c r="HJ333" s="267"/>
      <c r="HK333" s="267"/>
      <c r="HL333" s="267"/>
      <c r="HM333" s="267"/>
      <c r="HN333" s="267"/>
      <c r="HO333" s="267"/>
      <c r="HP333" s="267"/>
      <c r="HQ333" s="267"/>
      <c r="HR333" s="267"/>
      <c r="HS333" s="267"/>
      <c r="HT333" s="267"/>
      <c r="HU333" s="267"/>
      <c r="IH333" s="267"/>
      <c r="IK333" s="267"/>
      <c r="IN333" s="267"/>
      <c r="IQ333" s="267"/>
      <c r="IR333" s="267"/>
      <c r="IS333" s="267"/>
      <c r="IV333" s="267"/>
      <c r="IY333" s="267"/>
    </row>
    <row r="334" spans="10:259">
      <c r="J334" s="267"/>
      <c r="K334" s="267"/>
      <c r="L334" s="267"/>
      <c r="M334" s="267"/>
      <c r="N334" s="267"/>
      <c r="O334" s="267"/>
      <c r="P334" s="267"/>
      <c r="Q334" s="267"/>
      <c r="S334" s="267"/>
      <c r="T334" s="267"/>
      <c r="U334" s="267"/>
      <c r="V334" s="267"/>
      <c r="W334" s="264"/>
      <c r="Y334" s="267"/>
      <c r="Z334" s="267"/>
      <c r="AA334" s="267"/>
      <c r="AB334" s="267"/>
      <c r="AE334" s="267"/>
      <c r="AF334" s="267"/>
      <c r="AG334" s="267"/>
      <c r="AH334" s="267"/>
      <c r="AK334" s="267"/>
      <c r="AL334" s="267"/>
      <c r="AM334" s="267"/>
      <c r="AN334" s="267"/>
      <c r="AQ334" s="267"/>
      <c r="AR334" s="267"/>
      <c r="AS334" s="267"/>
      <c r="AT334" s="267"/>
      <c r="AW334" s="267"/>
      <c r="AX334" s="267"/>
      <c r="AY334" s="267"/>
      <c r="AZ334" s="267"/>
      <c r="BG334" s="269"/>
      <c r="BM334" s="269"/>
      <c r="BS334" s="269"/>
      <c r="BU334" s="267"/>
      <c r="BY334" s="267"/>
      <c r="CC334" s="267"/>
      <c r="CG334" s="267"/>
      <c r="CS334" s="267"/>
      <c r="CW334" s="270"/>
      <c r="CX334" s="267"/>
      <c r="DC334" s="267"/>
      <c r="DH334" s="267"/>
      <c r="DM334" s="267"/>
      <c r="DR334" s="267"/>
      <c r="DW334" s="267"/>
      <c r="EB334" s="267"/>
      <c r="EG334" s="267"/>
      <c r="EL334" s="267"/>
      <c r="EQ334" s="267"/>
      <c r="EU334" s="270"/>
      <c r="EV334" s="267"/>
      <c r="FC334" s="267"/>
      <c r="FD334" s="267"/>
      <c r="FE334" s="267"/>
      <c r="FF334" s="267"/>
      <c r="FG334" s="267"/>
      <c r="FL334" s="267"/>
      <c r="FM334" s="267"/>
      <c r="FN334" s="267"/>
      <c r="FO334" s="267"/>
      <c r="FP334" s="267"/>
      <c r="FQ334" s="264"/>
      <c r="FR334" s="264"/>
      <c r="FS334" s="264"/>
      <c r="FT334" s="264"/>
      <c r="FU334" s="267"/>
      <c r="FV334" s="267"/>
      <c r="FW334" s="267"/>
      <c r="FX334" s="267"/>
      <c r="FY334" s="267"/>
      <c r="GD334" s="267"/>
      <c r="GE334" s="267"/>
      <c r="GF334" s="267"/>
      <c r="GG334" s="267"/>
      <c r="GH334" s="267"/>
      <c r="GI334" s="264"/>
      <c r="GJ334" s="264"/>
      <c r="GK334" s="264"/>
      <c r="GL334" s="264"/>
      <c r="HD334" s="267"/>
      <c r="HE334" s="267"/>
      <c r="HF334" s="267"/>
      <c r="HG334" s="267"/>
      <c r="HH334" s="267"/>
      <c r="HI334" s="267"/>
      <c r="HJ334" s="267"/>
      <c r="HK334" s="267"/>
      <c r="HL334" s="267"/>
      <c r="HM334" s="267"/>
      <c r="HN334" s="267"/>
      <c r="HO334" s="267"/>
      <c r="HP334" s="267"/>
      <c r="HQ334" s="267"/>
      <c r="HR334" s="267"/>
      <c r="HS334" s="267"/>
      <c r="HT334" s="267"/>
      <c r="HU334" s="267"/>
      <c r="IH334" s="267"/>
      <c r="IK334" s="267"/>
      <c r="IN334" s="267"/>
      <c r="IQ334" s="267"/>
      <c r="IR334" s="267"/>
      <c r="IS334" s="267"/>
      <c r="IT334" s="274"/>
      <c r="IU334" s="274"/>
      <c r="IV334" s="272"/>
      <c r="IW334" s="274"/>
      <c r="IX334" s="274"/>
      <c r="IY334" s="272"/>
    </row>
    <row r="335" spans="10:259">
      <c r="J335" s="267"/>
      <c r="K335" s="267"/>
      <c r="L335" s="267"/>
      <c r="M335" s="267"/>
      <c r="N335" s="267"/>
      <c r="O335" s="267"/>
      <c r="P335" s="267"/>
      <c r="Q335" s="267"/>
      <c r="S335" s="267"/>
      <c r="T335" s="267"/>
      <c r="U335" s="267"/>
      <c r="V335" s="267"/>
      <c r="W335" s="264"/>
      <c r="Y335" s="267"/>
      <c r="Z335" s="267"/>
      <c r="AA335" s="267"/>
      <c r="AB335" s="267"/>
      <c r="AE335" s="267"/>
      <c r="AF335" s="267"/>
      <c r="AG335" s="267"/>
      <c r="AH335" s="267"/>
      <c r="AK335" s="267"/>
      <c r="AL335" s="267"/>
      <c r="AM335" s="267"/>
      <c r="AN335" s="267"/>
      <c r="AQ335" s="267"/>
      <c r="AR335" s="267"/>
      <c r="AS335" s="267"/>
      <c r="AT335" s="267"/>
      <c r="AW335" s="267"/>
      <c r="AX335" s="267"/>
      <c r="AY335" s="267"/>
      <c r="AZ335" s="267"/>
      <c r="BG335" s="269"/>
      <c r="BM335" s="269"/>
      <c r="BS335" s="269"/>
      <c r="BU335" s="267"/>
      <c r="BY335" s="267"/>
      <c r="CC335" s="267"/>
      <c r="CG335" s="267"/>
      <c r="CS335" s="267"/>
      <c r="CW335" s="270"/>
      <c r="CX335" s="267"/>
      <c r="DC335" s="267"/>
      <c r="DH335" s="267"/>
      <c r="DM335" s="267"/>
      <c r="DR335" s="267"/>
      <c r="DW335" s="267"/>
      <c r="EB335" s="267"/>
      <c r="EG335" s="267"/>
      <c r="EL335" s="267"/>
      <c r="EQ335" s="267"/>
      <c r="EU335" s="270"/>
      <c r="EV335" s="267"/>
      <c r="FC335" s="267"/>
      <c r="FD335" s="267"/>
      <c r="FE335" s="267"/>
      <c r="FF335" s="267"/>
      <c r="FG335" s="267"/>
      <c r="FL335" s="267"/>
      <c r="FM335" s="267"/>
      <c r="FN335" s="267"/>
      <c r="FO335" s="267"/>
      <c r="FP335" s="267"/>
      <c r="FQ335" s="264"/>
      <c r="FR335" s="264"/>
      <c r="FS335" s="264"/>
      <c r="FT335" s="264"/>
      <c r="FU335" s="267"/>
      <c r="FV335" s="267"/>
      <c r="FW335" s="267"/>
      <c r="FX335" s="267"/>
      <c r="FY335" s="267"/>
      <c r="GD335" s="267"/>
      <c r="GE335" s="267"/>
      <c r="GF335" s="267"/>
      <c r="GG335" s="267"/>
      <c r="GH335" s="267"/>
      <c r="GI335" s="264"/>
      <c r="GJ335" s="264"/>
      <c r="GK335" s="264"/>
      <c r="GL335" s="264"/>
      <c r="HD335" s="267"/>
      <c r="HE335" s="267"/>
      <c r="HF335" s="267"/>
      <c r="HG335" s="267"/>
      <c r="HH335" s="267"/>
      <c r="HI335" s="267"/>
      <c r="HJ335" s="267"/>
      <c r="HK335" s="267"/>
      <c r="HL335" s="267"/>
      <c r="HM335" s="267"/>
      <c r="HN335" s="267"/>
      <c r="HO335" s="267"/>
      <c r="HP335" s="267"/>
      <c r="HQ335" s="267"/>
      <c r="HR335" s="267"/>
      <c r="HS335" s="267"/>
      <c r="HT335" s="267"/>
      <c r="HU335" s="267"/>
      <c r="IH335" s="267"/>
      <c r="IK335" s="267"/>
      <c r="IN335" s="267"/>
      <c r="IQ335" s="267"/>
      <c r="IR335" s="267"/>
      <c r="IS335" s="267"/>
      <c r="IT335" s="274"/>
      <c r="IU335" s="274"/>
      <c r="IV335" s="272"/>
      <c r="IW335" s="274"/>
      <c r="IX335" s="274"/>
      <c r="IY335" s="272"/>
    </row>
    <row r="336" spans="10:259">
      <c r="J336" s="267"/>
      <c r="K336" s="267"/>
      <c r="L336" s="267"/>
      <c r="M336" s="267"/>
      <c r="N336" s="267"/>
      <c r="O336" s="267"/>
      <c r="P336" s="267"/>
      <c r="Q336" s="267"/>
      <c r="S336" s="267"/>
      <c r="T336" s="267"/>
      <c r="U336" s="267"/>
      <c r="V336" s="267"/>
      <c r="W336" s="264"/>
      <c r="Y336" s="267"/>
      <c r="Z336" s="267"/>
      <c r="AA336" s="267"/>
      <c r="AB336" s="267"/>
      <c r="AE336" s="267"/>
      <c r="AF336" s="267"/>
      <c r="AG336" s="267"/>
      <c r="AH336" s="267"/>
      <c r="AK336" s="267"/>
      <c r="AL336" s="267"/>
      <c r="AM336" s="267"/>
      <c r="AN336" s="267"/>
      <c r="AQ336" s="267"/>
      <c r="AR336" s="267"/>
      <c r="AS336" s="267"/>
      <c r="AT336" s="267"/>
      <c r="AW336" s="267"/>
      <c r="AX336" s="267"/>
      <c r="AY336" s="267"/>
      <c r="AZ336" s="267"/>
      <c r="BG336" s="269"/>
      <c r="BM336" s="269"/>
      <c r="BS336" s="269"/>
      <c r="BU336" s="267"/>
      <c r="BY336" s="267"/>
      <c r="CC336" s="267"/>
      <c r="CG336" s="267"/>
      <c r="CS336" s="267"/>
      <c r="CW336" s="270"/>
      <c r="CX336" s="267"/>
      <c r="DC336" s="267"/>
      <c r="DH336" s="267"/>
      <c r="DM336" s="267"/>
      <c r="DR336" s="267"/>
      <c r="DW336" s="267"/>
      <c r="EB336" s="267"/>
      <c r="EG336" s="267"/>
      <c r="EL336" s="267"/>
      <c r="EQ336" s="267"/>
      <c r="EU336" s="270"/>
      <c r="EV336" s="267"/>
      <c r="FC336" s="267"/>
      <c r="FD336" s="267"/>
      <c r="FE336" s="267"/>
      <c r="FF336" s="267"/>
      <c r="FG336" s="267"/>
      <c r="FL336" s="267"/>
      <c r="FM336" s="267"/>
      <c r="FN336" s="267"/>
      <c r="FO336" s="267"/>
      <c r="FP336" s="267"/>
      <c r="FQ336" s="264"/>
      <c r="FR336" s="264"/>
      <c r="FS336" s="264"/>
      <c r="FT336" s="264"/>
      <c r="FU336" s="267"/>
      <c r="FV336" s="267"/>
      <c r="FW336" s="267"/>
      <c r="FX336" s="267"/>
      <c r="FY336" s="267"/>
      <c r="GD336" s="267"/>
      <c r="GE336" s="267"/>
      <c r="GF336" s="267"/>
      <c r="GG336" s="267"/>
      <c r="GH336" s="267"/>
      <c r="GI336" s="264"/>
      <c r="GJ336" s="264"/>
      <c r="GK336" s="264"/>
      <c r="GL336" s="264"/>
      <c r="HD336" s="267"/>
      <c r="HE336" s="267"/>
      <c r="HF336" s="267"/>
      <c r="HG336" s="267"/>
      <c r="HH336" s="267"/>
      <c r="HI336" s="267"/>
      <c r="HJ336" s="267"/>
      <c r="HK336" s="267"/>
      <c r="HL336" s="267"/>
      <c r="HM336" s="267"/>
      <c r="HN336" s="267"/>
      <c r="HO336" s="267"/>
      <c r="HP336" s="267"/>
      <c r="HQ336" s="267"/>
      <c r="HR336" s="267"/>
      <c r="HS336" s="267"/>
      <c r="HT336" s="267"/>
      <c r="HU336" s="267"/>
      <c r="IH336" s="267"/>
      <c r="IK336" s="267"/>
      <c r="IN336" s="267"/>
      <c r="IQ336" s="267"/>
      <c r="IR336" s="267"/>
      <c r="IS336" s="267"/>
      <c r="IT336" s="274"/>
      <c r="IU336" s="274"/>
      <c r="IV336" s="272"/>
      <c r="IW336" s="274"/>
      <c r="IX336" s="274"/>
      <c r="IY336" s="272"/>
    </row>
    <row r="337" spans="10:259">
      <c r="J337" s="267"/>
      <c r="K337" s="267"/>
      <c r="L337" s="267"/>
      <c r="M337" s="267"/>
      <c r="N337" s="267"/>
      <c r="O337" s="267"/>
      <c r="P337" s="267"/>
      <c r="Q337" s="267"/>
      <c r="S337" s="267"/>
      <c r="T337" s="267"/>
      <c r="U337" s="267"/>
      <c r="V337" s="267"/>
      <c r="W337" s="264"/>
      <c r="Y337" s="267"/>
      <c r="Z337" s="267"/>
      <c r="AA337" s="267"/>
      <c r="AB337" s="267"/>
      <c r="AE337" s="267"/>
      <c r="AF337" s="267"/>
      <c r="AG337" s="267"/>
      <c r="AH337" s="267"/>
      <c r="AK337" s="267"/>
      <c r="AL337" s="267"/>
      <c r="AM337" s="267"/>
      <c r="AN337" s="267"/>
      <c r="AQ337" s="267"/>
      <c r="AR337" s="267"/>
      <c r="AS337" s="267"/>
      <c r="AT337" s="267"/>
      <c r="AW337" s="267"/>
      <c r="AX337" s="267"/>
      <c r="AY337" s="267"/>
      <c r="AZ337" s="267"/>
      <c r="BG337" s="269"/>
      <c r="BM337" s="269"/>
      <c r="BS337" s="269"/>
      <c r="BU337" s="267"/>
      <c r="BY337" s="267"/>
      <c r="CC337" s="267"/>
      <c r="CG337" s="267"/>
      <c r="CS337" s="267"/>
      <c r="CW337" s="270"/>
      <c r="CX337" s="267"/>
      <c r="DC337" s="267"/>
      <c r="DH337" s="267"/>
      <c r="DM337" s="267"/>
      <c r="DR337" s="267"/>
      <c r="DW337" s="267"/>
      <c r="EB337" s="267"/>
      <c r="EG337" s="267"/>
      <c r="EL337" s="267"/>
      <c r="EQ337" s="267"/>
      <c r="EU337" s="270"/>
      <c r="EV337" s="267"/>
      <c r="FC337" s="267"/>
      <c r="FD337" s="267"/>
      <c r="FE337" s="267"/>
      <c r="FF337" s="267"/>
      <c r="FG337" s="267"/>
      <c r="FL337" s="267"/>
      <c r="FM337" s="267"/>
      <c r="FN337" s="267"/>
      <c r="FO337" s="267"/>
      <c r="FP337" s="267"/>
      <c r="FQ337" s="264"/>
      <c r="FR337" s="264"/>
      <c r="FS337" s="264"/>
      <c r="FT337" s="264"/>
      <c r="FU337" s="267"/>
      <c r="FV337" s="267"/>
      <c r="FW337" s="267"/>
      <c r="FX337" s="267"/>
      <c r="FY337" s="267"/>
      <c r="GD337" s="267"/>
      <c r="GE337" s="267"/>
      <c r="GF337" s="267"/>
      <c r="GG337" s="267"/>
      <c r="GH337" s="267"/>
      <c r="GI337" s="264"/>
      <c r="GJ337" s="264"/>
      <c r="GK337" s="264"/>
      <c r="GL337" s="264"/>
      <c r="HD337" s="267"/>
      <c r="HE337" s="267"/>
      <c r="HF337" s="267"/>
      <c r="HG337" s="267"/>
      <c r="HH337" s="267"/>
      <c r="HI337" s="267"/>
      <c r="HJ337" s="267"/>
      <c r="HK337" s="267"/>
      <c r="HL337" s="267"/>
      <c r="HM337" s="267"/>
      <c r="HN337" s="267"/>
      <c r="HO337" s="267"/>
      <c r="HP337" s="267"/>
      <c r="HQ337" s="267"/>
      <c r="HR337" s="267"/>
      <c r="HS337" s="267"/>
      <c r="HT337" s="267"/>
      <c r="HU337" s="267"/>
      <c r="IH337" s="267"/>
      <c r="IK337" s="267"/>
      <c r="IN337" s="267"/>
      <c r="IQ337" s="267"/>
      <c r="IR337" s="267"/>
      <c r="IS337" s="267"/>
      <c r="IT337" s="274"/>
      <c r="IU337" s="274"/>
      <c r="IV337" s="272"/>
      <c r="IW337" s="274"/>
      <c r="IX337" s="274"/>
      <c r="IY337" s="272"/>
    </row>
    <row r="338" spans="10:259">
      <c r="J338" s="267"/>
      <c r="K338" s="267"/>
      <c r="L338" s="267"/>
      <c r="M338" s="267"/>
      <c r="N338" s="267"/>
      <c r="O338" s="267"/>
      <c r="P338" s="267"/>
      <c r="Q338" s="267"/>
      <c r="S338" s="267"/>
      <c r="T338" s="267"/>
      <c r="U338" s="267"/>
      <c r="V338" s="267"/>
      <c r="W338" s="264"/>
      <c r="Y338" s="267"/>
      <c r="Z338" s="267"/>
      <c r="AA338" s="267"/>
      <c r="AB338" s="267"/>
      <c r="AE338" s="267"/>
      <c r="AF338" s="267"/>
      <c r="AG338" s="267"/>
      <c r="AH338" s="267"/>
      <c r="AK338" s="267"/>
      <c r="AL338" s="267"/>
      <c r="AM338" s="267"/>
      <c r="AN338" s="267"/>
      <c r="AQ338" s="267"/>
      <c r="AR338" s="267"/>
      <c r="AS338" s="267"/>
      <c r="AT338" s="267"/>
      <c r="AW338" s="267"/>
      <c r="AX338" s="267"/>
      <c r="AY338" s="267"/>
      <c r="AZ338" s="267"/>
      <c r="BG338" s="269"/>
      <c r="BM338" s="269"/>
      <c r="BS338" s="269"/>
      <c r="BU338" s="267"/>
      <c r="BY338" s="267"/>
      <c r="CC338" s="267"/>
      <c r="CG338" s="267"/>
      <c r="CS338" s="267"/>
      <c r="CW338" s="270"/>
      <c r="CX338" s="267"/>
      <c r="DC338" s="267"/>
      <c r="DH338" s="267"/>
      <c r="DM338" s="267"/>
      <c r="DR338" s="267"/>
      <c r="DW338" s="267"/>
      <c r="EB338" s="267"/>
      <c r="EG338" s="267"/>
      <c r="EL338" s="267"/>
      <c r="EQ338" s="267"/>
      <c r="EU338" s="270"/>
      <c r="EV338" s="267"/>
      <c r="FC338" s="267"/>
      <c r="FD338" s="267"/>
      <c r="FE338" s="267"/>
      <c r="FF338" s="267"/>
      <c r="FG338" s="267"/>
      <c r="FL338" s="267"/>
      <c r="FM338" s="267"/>
      <c r="FN338" s="267"/>
      <c r="FO338" s="267"/>
      <c r="FP338" s="267"/>
      <c r="FQ338" s="264"/>
      <c r="FR338" s="264"/>
      <c r="FS338" s="264"/>
      <c r="FT338" s="264"/>
      <c r="FU338" s="267"/>
      <c r="FV338" s="267"/>
      <c r="FW338" s="267"/>
      <c r="FX338" s="267"/>
      <c r="FY338" s="267"/>
      <c r="GD338" s="267"/>
      <c r="GE338" s="267"/>
      <c r="GF338" s="267"/>
      <c r="GG338" s="267"/>
      <c r="GH338" s="267"/>
      <c r="GI338" s="264"/>
      <c r="GJ338" s="264"/>
      <c r="GK338" s="264"/>
      <c r="GL338" s="264"/>
      <c r="HD338" s="267"/>
      <c r="HE338" s="267"/>
      <c r="HF338" s="267"/>
      <c r="HG338" s="267"/>
      <c r="HH338" s="267"/>
      <c r="HI338" s="267"/>
      <c r="HJ338" s="267"/>
      <c r="HK338" s="267"/>
      <c r="HL338" s="267"/>
      <c r="HM338" s="267"/>
      <c r="HN338" s="267"/>
      <c r="HO338" s="267"/>
      <c r="HP338" s="267"/>
      <c r="HQ338" s="267"/>
      <c r="HR338" s="267"/>
      <c r="HS338" s="267"/>
      <c r="HT338" s="267"/>
      <c r="HU338" s="267"/>
      <c r="IH338" s="267"/>
      <c r="IK338" s="267"/>
      <c r="IN338" s="267"/>
      <c r="IQ338" s="267"/>
      <c r="IR338" s="267"/>
      <c r="IS338" s="267"/>
      <c r="IT338" s="274"/>
      <c r="IU338" s="274"/>
      <c r="IV338" s="272"/>
      <c r="IW338" s="274"/>
      <c r="IX338" s="274"/>
      <c r="IY338" s="272"/>
    </row>
    <row r="339" spans="10:259">
      <c r="J339" s="267"/>
      <c r="K339" s="267"/>
      <c r="L339" s="267"/>
      <c r="M339" s="267"/>
      <c r="N339" s="267"/>
      <c r="O339" s="267"/>
      <c r="P339" s="267"/>
      <c r="Q339" s="267"/>
      <c r="S339" s="267"/>
      <c r="T339" s="267"/>
      <c r="U339" s="267"/>
      <c r="V339" s="267"/>
      <c r="W339" s="264"/>
      <c r="Y339" s="267"/>
      <c r="Z339" s="267"/>
      <c r="AA339" s="267"/>
      <c r="AB339" s="267"/>
      <c r="AE339" s="267"/>
      <c r="AF339" s="267"/>
      <c r="AG339" s="267"/>
      <c r="AH339" s="267"/>
      <c r="AK339" s="267"/>
      <c r="AL339" s="267"/>
      <c r="AM339" s="267"/>
      <c r="AN339" s="267"/>
      <c r="AQ339" s="267"/>
      <c r="AR339" s="267"/>
      <c r="AS339" s="267"/>
      <c r="AT339" s="267"/>
      <c r="AW339" s="267"/>
      <c r="AX339" s="267"/>
      <c r="AY339" s="267"/>
      <c r="AZ339" s="267"/>
      <c r="BG339" s="269"/>
      <c r="BM339" s="269"/>
      <c r="BS339" s="269"/>
      <c r="BU339" s="267"/>
      <c r="BY339" s="267"/>
      <c r="CC339" s="267"/>
      <c r="CG339" s="267"/>
      <c r="CS339" s="267"/>
      <c r="CW339" s="270"/>
      <c r="CX339" s="267"/>
      <c r="DC339" s="267"/>
      <c r="DH339" s="267"/>
      <c r="DM339" s="267"/>
      <c r="DR339" s="267"/>
      <c r="DW339" s="267"/>
      <c r="EB339" s="267"/>
      <c r="EG339" s="267"/>
      <c r="EL339" s="267"/>
      <c r="EQ339" s="267"/>
      <c r="EU339" s="270"/>
      <c r="EV339" s="267"/>
      <c r="FC339" s="267"/>
      <c r="FD339" s="267"/>
      <c r="FE339" s="267"/>
      <c r="FF339" s="267"/>
      <c r="FG339" s="267"/>
      <c r="FL339" s="267"/>
      <c r="FM339" s="267"/>
      <c r="FN339" s="267"/>
      <c r="FO339" s="267"/>
      <c r="FP339" s="267"/>
      <c r="FQ339" s="264"/>
      <c r="FR339" s="264"/>
      <c r="FS339" s="264"/>
      <c r="FT339" s="264"/>
      <c r="FU339" s="267"/>
      <c r="FV339" s="267"/>
      <c r="FW339" s="267"/>
      <c r="FX339" s="267"/>
      <c r="FY339" s="267"/>
      <c r="GD339" s="267"/>
      <c r="GE339" s="267"/>
      <c r="GF339" s="267"/>
      <c r="GG339" s="267"/>
      <c r="GH339" s="267"/>
      <c r="GI339" s="264"/>
      <c r="GJ339" s="264"/>
      <c r="GK339" s="264"/>
      <c r="GL339" s="264"/>
      <c r="HD339" s="267"/>
      <c r="HE339" s="267"/>
      <c r="HF339" s="267"/>
      <c r="HG339" s="267"/>
      <c r="HH339" s="267"/>
      <c r="HI339" s="267"/>
      <c r="HJ339" s="267"/>
      <c r="HK339" s="267"/>
      <c r="HL339" s="267"/>
      <c r="HM339" s="267"/>
      <c r="HN339" s="267"/>
      <c r="HO339" s="267"/>
      <c r="HP339" s="267"/>
      <c r="HQ339" s="267"/>
      <c r="HR339" s="267"/>
      <c r="HS339" s="267"/>
      <c r="HT339" s="267"/>
      <c r="HU339" s="267"/>
      <c r="IH339" s="267"/>
      <c r="IK339" s="267"/>
      <c r="IN339" s="267"/>
      <c r="IQ339" s="267"/>
      <c r="IR339" s="267"/>
      <c r="IS339" s="267"/>
      <c r="IT339" s="274"/>
      <c r="IU339" s="274"/>
      <c r="IV339" s="272"/>
      <c r="IW339" s="274"/>
      <c r="IX339" s="274"/>
      <c r="IY339" s="272"/>
    </row>
    <row r="340" spans="10:259">
      <c r="J340" s="267"/>
      <c r="K340" s="267"/>
      <c r="L340" s="267"/>
      <c r="M340" s="267"/>
      <c r="N340" s="267"/>
      <c r="O340" s="267"/>
      <c r="P340" s="267"/>
      <c r="Q340" s="267"/>
      <c r="S340" s="267"/>
      <c r="T340" s="267"/>
      <c r="U340" s="267"/>
      <c r="V340" s="267"/>
      <c r="W340" s="264"/>
      <c r="Y340" s="267"/>
      <c r="Z340" s="267"/>
      <c r="AA340" s="267"/>
      <c r="AB340" s="267"/>
      <c r="AE340" s="267"/>
      <c r="AF340" s="267"/>
      <c r="AG340" s="267"/>
      <c r="AH340" s="267"/>
      <c r="AK340" s="267"/>
      <c r="AL340" s="267"/>
      <c r="AM340" s="267"/>
      <c r="AN340" s="267"/>
      <c r="AQ340" s="267"/>
      <c r="AR340" s="267"/>
      <c r="AS340" s="267"/>
      <c r="AT340" s="267"/>
      <c r="AW340" s="267"/>
      <c r="AX340" s="267"/>
      <c r="AY340" s="267"/>
      <c r="AZ340" s="267"/>
      <c r="BG340" s="269"/>
      <c r="BM340" s="269"/>
      <c r="BS340" s="269"/>
      <c r="BU340" s="267"/>
      <c r="BY340" s="267"/>
      <c r="CC340" s="267"/>
      <c r="CG340" s="267"/>
      <c r="CS340" s="267"/>
      <c r="CW340" s="270"/>
      <c r="CX340" s="267"/>
      <c r="DC340" s="267"/>
      <c r="DH340" s="267"/>
      <c r="DM340" s="267"/>
      <c r="DR340" s="267"/>
      <c r="DW340" s="267"/>
      <c r="EB340" s="267"/>
      <c r="EG340" s="267"/>
      <c r="EL340" s="267"/>
      <c r="EQ340" s="267"/>
      <c r="EU340" s="270"/>
      <c r="EV340" s="267"/>
      <c r="FC340" s="267"/>
      <c r="FD340" s="267"/>
      <c r="FE340" s="267"/>
      <c r="FF340" s="267"/>
      <c r="FG340" s="267"/>
      <c r="FL340" s="267"/>
      <c r="FM340" s="267"/>
      <c r="FN340" s="267"/>
      <c r="FO340" s="267"/>
      <c r="FP340" s="267"/>
      <c r="FQ340" s="264"/>
      <c r="FR340" s="264"/>
      <c r="FS340" s="264"/>
      <c r="FT340" s="264"/>
      <c r="FU340" s="267"/>
      <c r="FV340" s="267"/>
      <c r="FW340" s="267"/>
      <c r="FX340" s="267"/>
      <c r="FY340" s="267"/>
      <c r="GD340" s="267"/>
      <c r="GE340" s="267"/>
      <c r="GF340" s="267"/>
      <c r="GG340" s="267"/>
      <c r="GH340" s="267"/>
      <c r="GI340" s="264"/>
      <c r="GJ340" s="264"/>
      <c r="GK340" s="264"/>
      <c r="GL340" s="264"/>
      <c r="HD340" s="267"/>
      <c r="HE340" s="267"/>
      <c r="HF340" s="267"/>
      <c r="HG340" s="267"/>
      <c r="HH340" s="267"/>
      <c r="HI340" s="267"/>
      <c r="HJ340" s="267"/>
      <c r="HK340" s="267"/>
      <c r="HL340" s="267"/>
      <c r="HM340" s="267"/>
      <c r="HN340" s="267"/>
      <c r="HO340" s="267"/>
      <c r="HP340" s="267"/>
      <c r="HQ340" s="267"/>
      <c r="HR340" s="267"/>
      <c r="HS340" s="267"/>
      <c r="HT340" s="267"/>
      <c r="HU340" s="267"/>
      <c r="IH340" s="267"/>
      <c r="IK340" s="267"/>
      <c r="IN340" s="267"/>
      <c r="IQ340" s="267"/>
      <c r="IR340" s="267"/>
      <c r="IS340" s="267"/>
      <c r="IT340" s="274"/>
      <c r="IU340" s="274"/>
      <c r="IV340" s="272"/>
      <c r="IW340" s="274"/>
      <c r="IX340" s="274"/>
      <c r="IY340" s="272"/>
    </row>
    <row r="341" spans="10:259">
      <c r="J341" s="267"/>
      <c r="K341" s="267"/>
      <c r="L341" s="267"/>
      <c r="M341" s="267"/>
      <c r="N341" s="267"/>
      <c r="O341" s="267"/>
      <c r="P341" s="267"/>
      <c r="Q341" s="267"/>
      <c r="S341" s="267"/>
      <c r="T341" s="267"/>
      <c r="U341" s="267"/>
      <c r="V341" s="267"/>
      <c r="W341" s="264"/>
      <c r="Y341" s="267"/>
      <c r="Z341" s="267"/>
      <c r="AA341" s="267"/>
      <c r="AB341" s="267"/>
      <c r="AE341" s="267"/>
      <c r="AF341" s="267"/>
      <c r="AG341" s="267"/>
      <c r="AH341" s="267"/>
      <c r="AK341" s="267"/>
      <c r="AL341" s="267"/>
      <c r="AM341" s="267"/>
      <c r="AN341" s="267"/>
      <c r="AQ341" s="267"/>
      <c r="AR341" s="267"/>
      <c r="AS341" s="267"/>
      <c r="AT341" s="267"/>
      <c r="AW341" s="267"/>
      <c r="AX341" s="267"/>
      <c r="AY341" s="267"/>
      <c r="AZ341" s="267"/>
      <c r="BG341" s="269"/>
      <c r="BM341" s="269"/>
      <c r="BS341" s="269"/>
      <c r="BU341" s="267"/>
      <c r="BY341" s="267"/>
      <c r="CC341" s="267"/>
      <c r="CG341" s="267"/>
      <c r="CS341" s="267"/>
      <c r="CW341" s="270"/>
      <c r="CX341" s="267"/>
      <c r="DC341" s="267"/>
      <c r="DH341" s="267"/>
      <c r="DM341" s="267"/>
      <c r="DR341" s="267"/>
      <c r="DW341" s="267"/>
      <c r="EB341" s="267"/>
      <c r="EG341" s="267"/>
      <c r="EL341" s="267"/>
      <c r="EQ341" s="267"/>
      <c r="EU341" s="270"/>
      <c r="EV341" s="267"/>
      <c r="FC341" s="267"/>
      <c r="FD341" s="267"/>
      <c r="FE341" s="267"/>
      <c r="FF341" s="267"/>
      <c r="FG341" s="267"/>
      <c r="FL341" s="267"/>
      <c r="FM341" s="267"/>
      <c r="FN341" s="267"/>
      <c r="FO341" s="267"/>
      <c r="FP341" s="267"/>
      <c r="FQ341" s="264"/>
      <c r="FR341" s="264"/>
      <c r="FS341" s="264"/>
      <c r="FT341" s="264"/>
      <c r="FU341" s="267"/>
      <c r="FV341" s="267"/>
      <c r="FW341" s="267"/>
      <c r="FX341" s="267"/>
      <c r="FY341" s="267"/>
      <c r="GD341" s="267"/>
      <c r="GE341" s="267"/>
      <c r="GF341" s="267"/>
      <c r="GG341" s="267"/>
      <c r="GH341" s="267"/>
      <c r="GI341" s="264"/>
      <c r="GJ341" s="264"/>
      <c r="GK341" s="264"/>
      <c r="GL341" s="264"/>
      <c r="HD341" s="267"/>
      <c r="HE341" s="267"/>
      <c r="HF341" s="267"/>
      <c r="HG341" s="267"/>
      <c r="HH341" s="267"/>
      <c r="HI341" s="267"/>
      <c r="HJ341" s="267"/>
      <c r="HK341" s="267"/>
      <c r="HL341" s="267"/>
      <c r="HM341" s="267"/>
      <c r="HN341" s="267"/>
      <c r="HO341" s="267"/>
      <c r="HP341" s="267"/>
      <c r="HQ341" s="267"/>
      <c r="HR341" s="267"/>
      <c r="HS341" s="267"/>
      <c r="HT341" s="267"/>
      <c r="HU341" s="267"/>
      <c r="IH341" s="267"/>
      <c r="IK341" s="267"/>
      <c r="IN341" s="267"/>
      <c r="IQ341" s="267"/>
      <c r="IR341" s="267"/>
      <c r="IS341" s="267"/>
      <c r="IT341" s="274"/>
      <c r="IU341" s="274"/>
      <c r="IV341" s="272"/>
      <c r="IW341" s="274"/>
      <c r="IX341" s="274"/>
      <c r="IY341" s="272"/>
    </row>
    <row r="342" spans="10:259">
      <c r="J342" s="267"/>
      <c r="K342" s="267"/>
      <c r="L342" s="267"/>
      <c r="M342" s="267"/>
      <c r="N342" s="267"/>
      <c r="O342" s="267"/>
      <c r="P342" s="267"/>
      <c r="Q342" s="267"/>
      <c r="S342" s="267"/>
      <c r="T342" s="267"/>
      <c r="U342" s="267"/>
      <c r="V342" s="267"/>
      <c r="W342" s="264"/>
      <c r="Y342" s="267"/>
      <c r="Z342" s="267"/>
      <c r="AA342" s="267"/>
      <c r="AB342" s="267"/>
      <c r="AE342" s="267"/>
      <c r="AF342" s="267"/>
      <c r="AG342" s="267"/>
      <c r="AH342" s="267"/>
      <c r="AK342" s="267"/>
      <c r="AL342" s="267"/>
      <c r="AM342" s="267"/>
      <c r="AN342" s="267"/>
      <c r="AQ342" s="267"/>
      <c r="AR342" s="267"/>
      <c r="AS342" s="267"/>
      <c r="AT342" s="267"/>
      <c r="AW342" s="267"/>
      <c r="AX342" s="267"/>
      <c r="AY342" s="267"/>
      <c r="AZ342" s="267"/>
      <c r="BG342" s="269"/>
      <c r="BM342" s="269"/>
      <c r="BS342" s="269"/>
      <c r="BU342" s="267"/>
      <c r="BY342" s="267"/>
      <c r="CC342" s="267"/>
      <c r="CG342" s="267"/>
      <c r="CS342" s="267"/>
      <c r="CW342" s="270"/>
      <c r="CX342" s="267"/>
      <c r="DC342" s="267"/>
      <c r="DH342" s="267"/>
      <c r="DM342" s="267"/>
      <c r="DR342" s="267"/>
      <c r="DW342" s="267"/>
      <c r="EB342" s="267"/>
      <c r="EG342" s="267"/>
      <c r="EL342" s="267"/>
      <c r="EQ342" s="267"/>
      <c r="EU342" s="270"/>
      <c r="EV342" s="267"/>
      <c r="FC342" s="267"/>
      <c r="FD342" s="267"/>
      <c r="FE342" s="267"/>
      <c r="FF342" s="267"/>
      <c r="FG342" s="267"/>
      <c r="FL342" s="267"/>
      <c r="FM342" s="267"/>
      <c r="FN342" s="267"/>
      <c r="FO342" s="267"/>
      <c r="FP342" s="267"/>
      <c r="FQ342" s="264"/>
      <c r="FR342" s="264"/>
      <c r="FS342" s="264"/>
      <c r="FT342" s="264"/>
      <c r="FU342" s="267"/>
      <c r="FV342" s="267"/>
      <c r="FW342" s="267"/>
      <c r="FX342" s="267"/>
      <c r="FY342" s="267"/>
      <c r="GD342" s="267"/>
      <c r="GE342" s="267"/>
      <c r="GF342" s="267"/>
      <c r="GG342" s="267"/>
      <c r="GH342" s="267"/>
      <c r="GI342" s="264"/>
      <c r="GJ342" s="264"/>
      <c r="GK342" s="264"/>
      <c r="GL342" s="264"/>
      <c r="HD342" s="267"/>
      <c r="HE342" s="267"/>
      <c r="HF342" s="267"/>
      <c r="HG342" s="267"/>
      <c r="HH342" s="267"/>
      <c r="HI342" s="267"/>
      <c r="HJ342" s="267"/>
      <c r="HK342" s="267"/>
      <c r="HL342" s="267"/>
      <c r="HM342" s="267"/>
      <c r="HN342" s="267"/>
      <c r="HO342" s="267"/>
      <c r="HP342" s="267"/>
      <c r="HQ342" s="267"/>
      <c r="HR342" s="267"/>
      <c r="HS342" s="267"/>
      <c r="HT342" s="267"/>
      <c r="HU342" s="267"/>
      <c r="IH342" s="267"/>
      <c r="IK342" s="267"/>
      <c r="IN342" s="267"/>
      <c r="IQ342" s="267"/>
      <c r="IR342" s="267"/>
      <c r="IS342" s="267"/>
      <c r="IT342" s="274"/>
      <c r="IU342" s="274"/>
      <c r="IV342" s="272"/>
      <c r="IW342" s="274"/>
      <c r="IX342" s="274"/>
      <c r="IY342" s="272"/>
    </row>
    <row r="343" spans="10:259">
      <c r="J343" s="267"/>
      <c r="K343" s="267"/>
      <c r="L343" s="267"/>
      <c r="M343" s="267"/>
      <c r="N343" s="267"/>
      <c r="O343" s="267"/>
      <c r="P343" s="267"/>
      <c r="Q343" s="267"/>
      <c r="S343" s="267"/>
      <c r="T343" s="267"/>
      <c r="U343" s="267"/>
      <c r="V343" s="267"/>
      <c r="W343" s="264"/>
      <c r="Y343" s="267"/>
      <c r="Z343" s="267"/>
      <c r="AA343" s="267"/>
      <c r="AB343" s="267"/>
      <c r="AE343" s="267"/>
      <c r="AF343" s="267"/>
      <c r="AG343" s="267"/>
      <c r="AH343" s="267"/>
      <c r="AK343" s="267"/>
      <c r="AL343" s="267"/>
      <c r="AM343" s="267"/>
      <c r="AN343" s="267"/>
      <c r="AQ343" s="267"/>
      <c r="AR343" s="267"/>
      <c r="AS343" s="267"/>
      <c r="AT343" s="267"/>
      <c r="AW343" s="267"/>
      <c r="AX343" s="267"/>
      <c r="AY343" s="267"/>
      <c r="AZ343" s="267"/>
      <c r="BG343" s="269"/>
      <c r="BM343" s="269"/>
      <c r="BS343" s="269"/>
      <c r="BU343" s="267"/>
      <c r="BY343" s="267"/>
      <c r="CC343" s="267"/>
      <c r="CG343" s="267"/>
      <c r="CS343" s="267"/>
      <c r="CW343" s="270"/>
      <c r="CX343" s="267"/>
      <c r="DC343" s="267"/>
      <c r="DH343" s="267"/>
      <c r="DM343" s="267"/>
      <c r="DR343" s="267"/>
      <c r="DW343" s="267"/>
      <c r="EB343" s="267"/>
      <c r="EG343" s="267"/>
      <c r="EL343" s="267"/>
      <c r="EQ343" s="267"/>
      <c r="EU343" s="270"/>
      <c r="EV343" s="267"/>
      <c r="FC343" s="267"/>
      <c r="FD343" s="267"/>
      <c r="FE343" s="267"/>
      <c r="FF343" s="267"/>
      <c r="FG343" s="267"/>
      <c r="FL343" s="267"/>
      <c r="FM343" s="267"/>
      <c r="FN343" s="267"/>
      <c r="FO343" s="267"/>
      <c r="FP343" s="267"/>
      <c r="FQ343" s="264"/>
      <c r="FR343" s="264"/>
      <c r="FS343" s="264"/>
      <c r="FT343" s="264"/>
      <c r="FU343" s="267"/>
      <c r="FV343" s="267"/>
      <c r="FW343" s="267"/>
      <c r="FX343" s="267"/>
      <c r="FY343" s="267"/>
      <c r="GD343" s="267"/>
      <c r="GE343" s="267"/>
      <c r="GF343" s="267"/>
      <c r="GG343" s="267"/>
      <c r="GH343" s="267"/>
      <c r="GI343" s="264"/>
      <c r="GJ343" s="264"/>
      <c r="GK343" s="264"/>
      <c r="GL343" s="264"/>
      <c r="HD343" s="267"/>
      <c r="HE343" s="267"/>
      <c r="HF343" s="267"/>
      <c r="HG343" s="267"/>
      <c r="HH343" s="267"/>
      <c r="HI343" s="267"/>
      <c r="HJ343" s="267"/>
      <c r="HK343" s="267"/>
      <c r="HL343" s="267"/>
      <c r="HM343" s="267"/>
      <c r="HN343" s="267"/>
      <c r="HO343" s="267"/>
      <c r="HP343" s="267"/>
      <c r="HQ343" s="267"/>
      <c r="HR343" s="267"/>
      <c r="HS343" s="267"/>
      <c r="HT343" s="267"/>
      <c r="HU343" s="267"/>
      <c r="IH343" s="267"/>
      <c r="IK343" s="267"/>
      <c r="IN343" s="267"/>
      <c r="IQ343" s="267"/>
      <c r="IR343" s="267"/>
      <c r="IS343" s="267"/>
      <c r="IT343" s="274"/>
      <c r="IU343" s="274"/>
      <c r="IV343" s="272"/>
      <c r="IW343" s="274"/>
      <c r="IX343" s="274"/>
      <c r="IY343" s="272"/>
    </row>
    <row r="344" spans="10:259">
      <c r="J344" s="267"/>
      <c r="K344" s="267"/>
      <c r="L344" s="267"/>
      <c r="M344" s="267"/>
      <c r="N344" s="267"/>
      <c r="O344" s="267"/>
      <c r="P344" s="267"/>
      <c r="Q344" s="267"/>
      <c r="S344" s="267"/>
      <c r="T344" s="267"/>
      <c r="U344" s="267"/>
      <c r="V344" s="267"/>
      <c r="W344" s="264"/>
      <c r="Y344" s="267"/>
      <c r="Z344" s="267"/>
      <c r="AA344" s="267"/>
      <c r="AB344" s="267"/>
      <c r="AE344" s="267"/>
      <c r="AF344" s="267"/>
      <c r="AG344" s="267"/>
      <c r="AH344" s="267"/>
      <c r="AK344" s="267"/>
      <c r="AL344" s="267"/>
      <c r="AM344" s="267"/>
      <c r="AN344" s="267"/>
      <c r="AQ344" s="267"/>
      <c r="AR344" s="267"/>
      <c r="AS344" s="267"/>
      <c r="AT344" s="267"/>
      <c r="AW344" s="267"/>
      <c r="AX344" s="267"/>
      <c r="AY344" s="267"/>
      <c r="AZ344" s="267"/>
      <c r="BG344" s="269"/>
      <c r="BM344" s="269"/>
      <c r="BS344" s="269"/>
      <c r="BU344" s="267"/>
      <c r="BY344" s="267"/>
      <c r="CC344" s="267"/>
      <c r="CG344" s="267"/>
      <c r="CS344" s="267"/>
      <c r="CW344" s="270"/>
      <c r="CX344" s="267"/>
      <c r="DC344" s="267"/>
      <c r="DH344" s="267"/>
      <c r="DM344" s="267"/>
      <c r="DR344" s="267"/>
      <c r="DW344" s="267"/>
      <c r="EB344" s="267"/>
      <c r="EG344" s="267"/>
      <c r="EL344" s="267"/>
      <c r="EQ344" s="267"/>
      <c r="EU344" s="270"/>
      <c r="EV344" s="267"/>
      <c r="FC344" s="267"/>
      <c r="FD344" s="267"/>
      <c r="FE344" s="267"/>
      <c r="FF344" s="267"/>
      <c r="FG344" s="267"/>
      <c r="FL344" s="267"/>
      <c r="FM344" s="267"/>
      <c r="FN344" s="267"/>
      <c r="FO344" s="267"/>
      <c r="FP344" s="267"/>
      <c r="FQ344" s="264"/>
      <c r="FR344" s="264"/>
      <c r="FS344" s="264"/>
      <c r="FT344" s="264"/>
      <c r="FU344" s="267"/>
      <c r="FV344" s="267"/>
      <c r="FW344" s="267"/>
      <c r="FX344" s="267"/>
      <c r="FY344" s="267"/>
      <c r="GD344" s="267"/>
      <c r="GE344" s="267"/>
      <c r="GF344" s="267"/>
      <c r="GG344" s="267"/>
      <c r="GH344" s="267"/>
      <c r="GI344" s="264"/>
      <c r="GJ344" s="264"/>
      <c r="GK344" s="264"/>
      <c r="GL344" s="264"/>
      <c r="HD344" s="267"/>
      <c r="HE344" s="267"/>
      <c r="HF344" s="267"/>
      <c r="HG344" s="267"/>
      <c r="HH344" s="267"/>
      <c r="HI344" s="267"/>
      <c r="HJ344" s="267"/>
      <c r="HK344" s="267"/>
      <c r="HL344" s="267"/>
      <c r="HM344" s="267"/>
      <c r="HN344" s="267"/>
      <c r="HO344" s="267"/>
      <c r="HP344" s="267"/>
      <c r="HQ344" s="267"/>
      <c r="HR344" s="267"/>
      <c r="HS344" s="267"/>
      <c r="HT344" s="267"/>
      <c r="HU344" s="267"/>
      <c r="IH344" s="267"/>
      <c r="IK344" s="267"/>
      <c r="IN344" s="267"/>
      <c r="IQ344" s="267"/>
      <c r="IR344" s="267"/>
      <c r="IS344" s="267"/>
      <c r="IT344" s="274"/>
      <c r="IU344" s="274"/>
      <c r="IV344" s="272"/>
      <c r="IW344" s="274"/>
      <c r="IX344" s="274"/>
      <c r="IY344" s="272"/>
    </row>
    <row r="345" spans="10:259">
      <c r="J345" s="267"/>
      <c r="K345" s="267"/>
      <c r="L345" s="267"/>
      <c r="M345" s="267"/>
      <c r="N345" s="267"/>
      <c r="O345" s="267"/>
      <c r="P345" s="267"/>
      <c r="Q345" s="267"/>
      <c r="S345" s="267"/>
      <c r="T345" s="267"/>
      <c r="U345" s="267"/>
      <c r="V345" s="267"/>
      <c r="W345" s="264"/>
      <c r="Y345" s="267"/>
      <c r="Z345" s="267"/>
      <c r="AA345" s="267"/>
      <c r="AB345" s="267"/>
      <c r="AE345" s="267"/>
      <c r="AF345" s="267"/>
      <c r="AG345" s="267"/>
      <c r="AH345" s="267"/>
      <c r="AK345" s="267"/>
      <c r="AL345" s="267"/>
      <c r="AM345" s="267"/>
      <c r="AN345" s="267"/>
      <c r="AQ345" s="267"/>
      <c r="AR345" s="267"/>
      <c r="AS345" s="267"/>
      <c r="AT345" s="267"/>
      <c r="AW345" s="267"/>
      <c r="AX345" s="267"/>
      <c r="AY345" s="267"/>
      <c r="AZ345" s="267"/>
      <c r="BG345" s="269"/>
      <c r="BM345" s="269"/>
      <c r="BS345" s="269"/>
      <c r="BU345" s="267"/>
      <c r="BY345" s="267"/>
      <c r="CC345" s="267"/>
      <c r="CG345" s="267"/>
      <c r="CS345" s="267"/>
      <c r="CW345" s="270"/>
      <c r="CX345" s="267"/>
      <c r="DC345" s="267"/>
      <c r="DH345" s="267"/>
      <c r="DM345" s="267"/>
      <c r="DR345" s="267"/>
      <c r="DW345" s="267"/>
      <c r="EB345" s="267"/>
      <c r="EG345" s="267"/>
      <c r="EL345" s="267"/>
      <c r="EQ345" s="267"/>
      <c r="EU345" s="270"/>
      <c r="EV345" s="267"/>
      <c r="FC345" s="267"/>
      <c r="FD345" s="267"/>
      <c r="FE345" s="267"/>
      <c r="FF345" s="267"/>
      <c r="FG345" s="267"/>
      <c r="FL345" s="267"/>
      <c r="FM345" s="267"/>
      <c r="FN345" s="267"/>
      <c r="FO345" s="267"/>
      <c r="FP345" s="267"/>
      <c r="FQ345" s="264"/>
      <c r="FR345" s="264"/>
      <c r="FS345" s="264"/>
      <c r="FT345" s="264"/>
      <c r="FU345" s="267"/>
      <c r="FV345" s="267"/>
      <c r="FW345" s="267"/>
      <c r="FX345" s="267"/>
      <c r="FY345" s="267"/>
      <c r="GD345" s="267"/>
      <c r="GE345" s="267"/>
      <c r="GF345" s="267"/>
      <c r="GG345" s="267"/>
      <c r="GH345" s="267"/>
      <c r="GI345" s="264"/>
      <c r="GJ345" s="264"/>
      <c r="GK345" s="264"/>
      <c r="GL345" s="264"/>
      <c r="HD345" s="267"/>
      <c r="HE345" s="267"/>
      <c r="HF345" s="267"/>
      <c r="HG345" s="267"/>
      <c r="HH345" s="267"/>
      <c r="HI345" s="267"/>
      <c r="HJ345" s="267"/>
      <c r="HK345" s="267"/>
      <c r="HL345" s="267"/>
      <c r="HM345" s="267"/>
      <c r="HN345" s="267"/>
      <c r="HO345" s="267"/>
      <c r="HP345" s="267"/>
      <c r="HQ345" s="267"/>
      <c r="HR345" s="267"/>
      <c r="HS345" s="267"/>
      <c r="HT345" s="267"/>
      <c r="HU345" s="267"/>
      <c r="IH345" s="267"/>
      <c r="IK345" s="267"/>
      <c r="IN345" s="267"/>
      <c r="IQ345" s="267"/>
      <c r="IR345" s="267"/>
      <c r="IS345" s="267"/>
      <c r="IT345" s="274"/>
      <c r="IU345" s="274"/>
      <c r="IV345" s="272"/>
      <c r="IW345" s="274"/>
      <c r="IX345" s="274"/>
      <c r="IY345" s="272"/>
    </row>
    <row r="346" spans="10:259">
      <c r="J346" s="267"/>
      <c r="K346" s="267"/>
      <c r="L346" s="267"/>
      <c r="M346" s="267"/>
      <c r="N346" s="267"/>
      <c r="O346" s="267"/>
      <c r="P346" s="267"/>
      <c r="Q346" s="267"/>
      <c r="S346" s="267"/>
      <c r="T346" s="267"/>
      <c r="U346" s="267"/>
      <c r="V346" s="267"/>
      <c r="W346" s="264"/>
      <c r="Y346" s="267"/>
      <c r="Z346" s="267"/>
      <c r="AA346" s="267"/>
      <c r="AB346" s="267"/>
      <c r="AE346" s="267"/>
      <c r="AF346" s="267"/>
      <c r="AG346" s="267"/>
      <c r="AH346" s="267"/>
      <c r="AK346" s="267"/>
      <c r="AL346" s="267"/>
      <c r="AM346" s="267"/>
      <c r="AN346" s="267"/>
      <c r="AQ346" s="267"/>
      <c r="AR346" s="267"/>
      <c r="AS346" s="267"/>
      <c r="AT346" s="267"/>
      <c r="AW346" s="267"/>
      <c r="AX346" s="267"/>
      <c r="AY346" s="267"/>
      <c r="AZ346" s="267"/>
      <c r="BG346" s="269"/>
      <c r="BM346" s="269"/>
      <c r="BS346" s="269"/>
      <c r="BU346" s="267"/>
      <c r="BY346" s="267"/>
      <c r="CC346" s="267"/>
      <c r="CG346" s="267"/>
      <c r="CS346" s="267"/>
      <c r="CW346" s="270"/>
      <c r="CX346" s="267"/>
      <c r="DC346" s="267"/>
      <c r="DH346" s="267"/>
      <c r="DM346" s="267"/>
      <c r="DR346" s="267"/>
      <c r="DW346" s="267"/>
      <c r="EB346" s="267"/>
      <c r="EG346" s="267"/>
      <c r="EL346" s="267"/>
      <c r="EQ346" s="267"/>
      <c r="EU346" s="270"/>
      <c r="EV346" s="267"/>
      <c r="FC346" s="267"/>
      <c r="FD346" s="267"/>
      <c r="FE346" s="267"/>
      <c r="FF346" s="267"/>
      <c r="FG346" s="267"/>
      <c r="FL346" s="267"/>
      <c r="FM346" s="267"/>
      <c r="FN346" s="267"/>
      <c r="FO346" s="267"/>
      <c r="FP346" s="267"/>
      <c r="FQ346" s="264"/>
      <c r="FR346" s="264"/>
      <c r="FS346" s="264"/>
      <c r="FT346" s="264"/>
      <c r="FU346" s="267"/>
      <c r="FV346" s="267"/>
      <c r="FW346" s="267"/>
      <c r="FX346" s="267"/>
      <c r="FY346" s="267"/>
      <c r="GD346" s="267"/>
      <c r="GE346" s="267"/>
      <c r="GF346" s="267"/>
      <c r="GG346" s="267"/>
      <c r="GH346" s="267"/>
      <c r="GI346" s="264"/>
      <c r="GJ346" s="264"/>
      <c r="GK346" s="264"/>
      <c r="GL346" s="264"/>
      <c r="HD346" s="267"/>
      <c r="HE346" s="267"/>
      <c r="HF346" s="267"/>
      <c r="HG346" s="267"/>
      <c r="HH346" s="267"/>
      <c r="HI346" s="267"/>
      <c r="HJ346" s="267"/>
      <c r="HK346" s="267"/>
      <c r="HL346" s="267"/>
      <c r="HM346" s="267"/>
      <c r="HN346" s="267"/>
      <c r="HO346" s="267"/>
      <c r="HP346" s="267"/>
      <c r="HQ346" s="267"/>
      <c r="HR346" s="267"/>
      <c r="HS346" s="267"/>
      <c r="HT346" s="267"/>
      <c r="HU346" s="267"/>
      <c r="IH346" s="267"/>
      <c r="IK346" s="267"/>
      <c r="IN346" s="267"/>
      <c r="IQ346" s="267"/>
      <c r="IR346" s="267"/>
      <c r="IS346" s="267"/>
      <c r="IT346" s="274"/>
      <c r="IU346" s="274"/>
      <c r="IV346" s="272"/>
      <c r="IW346" s="274"/>
      <c r="IX346" s="274"/>
      <c r="IY346" s="272"/>
    </row>
    <row r="347" spans="10:259">
      <c r="J347" s="267"/>
      <c r="K347" s="267"/>
      <c r="L347" s="267"/>
      <c r="M347" s="267"/>
      <c r="N347" s="267"/>
      <c r="O347" s="267"/>
      <c r="P347" s="267"/>
      <c r="Q347" s="267"/>
      <c r="S347" s="267"/>
      <c r="T347" s="267"/>
      <c r="U347" s="267"/>
      <c r="V347" s="267"/>
      <c r="W347" s="264"/>
      <c r="Y347" s="267"/>
      <c r="Z347" s="267"/>
      <c r="AA347" s="267"/>
      <c r="AB347" s="267"/>
      <c r="AE347" s="267"/>
      <c r="AF347" s="267"/>
      <c r="AG347" s="267"/>
      <c r="AH347" s="267"/>
      <c r="AK347" s="267"/>
      <c r="AL347" s="267"/>
      <c r="AM347" s="267"/>
      <c r="AN347" s="267"/>
      <c r="AQ347" s="267"/>
      <c r="AR347" s="267"/>
      <c r="AS347" s="267"/>
      <c r="AT347" s="267"/>
      <c r="AW347" s="267"/>
      <c r="AX347" s="267"/>
      <c r="AY347" s="267"/>
      <c r="AZ347" s="267"/>
      <c r="BG347" s="269"/>
      <c r="BM347" s="269"/>
      <c r="BS347" s="269"/>
      <c r="BU347" s="267"/>
      <c r="BY347" s="267"/>
      <c r="CC347" s="267"/>
      <c r="CG347" s="267"/>
      <c r="CS347" s="267"/>
      <c r="CW347" s="270"/>
      <c r="CX347" s="267"/>
      <c r="DC347" s="267"/>
      <c r="DH347" s="267"/>
      <c r="DM347" s="267"/>
      <c r="DR347" s="267"/>
      <c r="DW347" s="267"/>
      <c r="EB347" s="267"/>
      <c r="EG347" s="267"/>
      <c r="EL347" s="267"/>
      <c r="EQ347" s="267"/>
      <c r="EU347" s="270"/>
      <c r="EV347" s="267"/>
      <c r="FC347" s="267"/>
      <c r="FD347" s="267"/>
      <c r="FE347" s="267"/>
      <c r="FF347" s="267"/>
      <c r="FG347" s="267"/>
      <c r="FL347" s="267"/>
      <c r="FM347" s="267"/>
      <c r="FN347" s="267"/>
      <c r="FO347" s="267"/>
      <c r="FP347" s="267"/>
      <c r="FQ347" s="264"/>
      <c r="FR347" s="264"/>
      <c r="FS347" s="264"/>
      <c r="FT347" s="264"/>
      <c r="FU347" s="267"/>
      <c r="FV347" s="267"/>
      <c r="FW347" s="267"/>
      <c r="FX347" s="267"/>
      <c r="FY347" s="267"/>
      <c r="GD347" s="267"/>
      <c r="GE347" s="267"/>
      <c r="GF347" s="267"/>
      <c r="GG347" s="267"/>
      <c r="GH347" s="267"/>
      <c r="GI347" s="264"/>
      <c r="GJ347" s="264"/>
      <c r="GK347" s="264"/>
      <c r="GL347" s="264"/>
      <c r="HD347" s="267"/>
      <c r="HE347" s="267"/>
      <c r="HF347" s="267"/>
      <c r="HG347" s="267"/>
      <c r="HH347" s="267"/>
      <c r="HI347" s="267"/>
      <c r="HJ347" s="267"/>
      <c r="HK347" s="267"/>
      <c r="HL347" s="267"/>
      <c r="HM347" s="267"/>
      <c r="HN347" s="267"/>
      <c r="HO347" s="267"/>
      <c r="HP347" s="267"/>
      <c r="HQ347" s="267"/>
      <c r="HR347" s="267"/>
      <c r="HS347" s="267"/>
      <c r="HT347" s="267"/>
      <c r="HU347" s="267"/>
      <c r="IH347" s="267"/>
      <c r="IK347" s="267"/>
      <c r="IN347" s="267"/>
      <c r="IQ347" s="267"/>
      <c r="IR347" s="267"/>
      <c r="IS347" s="267"/>
      <c r="IT347" s="274"/>
      <c r="IU347" s="274"/>
      <c r="IV347" s="272"/>
      <c r="IW347" s="274"/>
      <c r="IX347" s="274"/>
      <c r="IY347" s="272"/>
    </row>
    <row r="348" spans="10:259">
      <c r="J348" s="267"/>
      <c r="K348" s="267"/>
      <c r="L348" s="267"/>
      <c r="M348" s="267"/>
      <c r="N348" s="267"/>
      <c r="O348" s="267"/>
      <c r="P348" s="267"/>
      <c r="Q348" s="267"/>
      <c r="S348" s="267"/>
      <c r="T348" s="267"/>
      <c r="U348" s="267"/>
      <c r="V348" s="267"/>
      <c r="W348" s="264"/>
      <c r="Y348" s="267"/>
      <c r="Z348" s="267"/>
      <c r="AA348" s="267"/>
      <c r="AB348" s="267"/>
      <c r="AE348" s="267"/>
      <c r="AF348" s="267"/>
      <c r="AG348" s="267"/>
      <c r="AH348" s="267"/>
      <c r="AK348" s="267"/>
      <c r="AL348" s="267"/>
      <c r="AM348" s="267"/>
      <c r="AN348" s="267"/>
      <c r="AQ348" s="267"/>
      <c r="AR348" s="267"/>
      <c r="AS348" s="267"/>
      <c r="AT348" s="267"/>
      <c r="AW348" s="267"/>
      <c r="AX348" s="267"/>
      <c r="AY348" s="267"/>
      <c r="AZ348" s="267"/>
      <c r="BG348" s="269"/>
      <c r="BM348" s="269"/>
      <c r="BS348" s="269"/>
      <c r="BU348" s="267"/>
      <c r="BY348" s="267"/>
      <c r="CC348" s="267"/>
      <c r="CG348" s="267"/>
      <c r="CS348" s="267"/>
      <c r="CW348" s="270"/>
      <c r="CX348" s="267"/>
      <c r="DC348" s="267"/>
      <c r="DH348" s="267"/>
      <c r="DM348" s="267"/>
      <c r="DR348" s="267"/>
      <c r="DW348" s="267"/>
      <c r="EB348" s="267"/>
      <c r="EG348" s="267"/>
      <c r="EL348" s="267"/>
      <c r="EQ348" s="267"/>
      <c r="EU348" s="270"/>
      <c r="EV348" s="267"/>
      <c r="FC348" s="267"/>
      <c r="FD348" s="267"/>
      <c r="FE348" s="267"/>
      <c r="FF348" s="267"/>
      <c r="FG348" s="267"/>
      <c r="FL348" s="267"/>
      <c r="FM348" s="267"/>
      <c r="FN348" s="267"/>
      <c r="FO348" s="267"/>
      <c r="FP348" s="267"/>
      <c r="FQ348" s="264"/>
      <c r="FR348" s="264"/>
      <c r="FS348" s="264"/>
      <c r="FT348" s="264"/>
      <c r="FU348" s="267"/>
      <c r="FV348" s="267"/>
      <c r="FW348" s="267"/>
      <c r="FX348" s="267"/>
      <c r="FY348" s="267"/>
      <c r="GD348" s="267"/>
      <c r="GE348" s="267"/>
      <c r="GF348" s="267"/>
      <c r="GG348" s="267"/>
      <c r="GH348" s="267"/>
      <c r="GI348" s="264"/>
      <c r="GJ348" s="264"/>
      <c r="GK348" s="264"/>
      <c r="GL348" s="264"/>
      <c r="HD348" s="267"/>
      <c r="HE348" s="267"/>
      <c r="HF348" s="267"/>
      <c r="HG348" s="267"/>
      <c r="HH348" s="267"/>
      <c r="HI348" s="267"/>
      <c r="HJ348" s="267"/>
      <c r="HK348" s="267"/>
      <c r="HL348" s="267"/>
      <c r="HM348" s="267"/>
      <c r="HN348" s="267"/>
      <c r="HO348" s="267"/>
      <c r="HP348" s="267"/>
      <c r="HQ348" s="267"/>
      <c r="HR348" s="267"/>
      <c r="HS348" s="267"/>
      <c r="HT348" s="267"/>
      <c r="HU348" s="267"/>
      <c r="IH348" s="267"/>
      <c r="IK348" s="267"/>
      <c r="IN348" s="267"/>
      <c r="IQ348" s="267"/>
      <c r="IR348" s="267"/>
      <c r="IS348" s="267"/>
      <c r="IT348" s="274"/>
      <c r="IU348" s="274"/>
      <c r="IV348" s="272"/>
      <c r="IW348" s="274"/>
      <c r="IX348" s="274"/>
      <c r="IY348" s="272"/>
    </row>
    <row r="349" spans="10:259">
      <c r="J349" s="267"/>
      <c r="K349" s="267"/>
      <c r="L349" s="267"/>
      <c r="M349" s="267"/>
      <c r="N349" s="267"/>
      <c r="O349" s="267"/>
      <c r="P349" s="267"/>
      <c r="Q349" s="267"/>
      <c r="S349" s="267"/>
      <c r="T349" s="267"/>
      <c r="U349" s="267"/>
      <c r="V349" s="267"/>
      <c r="W349" s="264"/>
      <c r="Y349" s="267"/>
      <c r="Z349" s="267"/>
      <c r="AA349" s="267"/>
      <c r="AB349" s="267"/>
      <c r="AE349" s="267"/>
      <c r="AF349" s="267"/>
      <c r="AG349" s="267"/>
      <c r="AH349" s="267"/>
      <c r="AK349" s="267"/>
      <c r="AL349" s="267"/>
      <c r="AM349" s="267"/>
      <c r="AN349" s="267"/>
      <c r="AQ349" s="267"/>
      <c r="AR349" s="267"/>
      <c r="AS349" s="267"/>
      <c r="AT349" s="267"/>
      <c r="AW349" s="267"/>
      <c r="AX349" s="267"/>
      <c r="AY349" s="267"/>
      <c r="AZ349" s="267"/>
      <c r="BG349" s="269"/>
      <c r="BM349" s="269"/>
      <c r="BS349" s="269"/>
      <c r="BU349" s="267"/>
      <c r="BY349" s="267"/>
      <c r="CC349" s="267"/>
      <c r="CG349" s="267"/>
      <c r="CS349" s="267"/>
      <c r="CW349" s="270"/>
      <c r="CX349" s="267"/>
      <c r="DC349" s="267"/>
      <c r="DH349" s="267"/>
      <c r="DM349" s="267"/>
      <c r="DR349" s="267"/>
      <c r="DW349" s="267"/>
      <c r="EB349" s="267"/>
      <c r="EG349" s="267"/>
      <c r="EL349" s="267"/>
      <c r="EQ349" s="267"/>
      <c r="EU349" s="270"/>
      <c r="EV349" s="267"/>
      <c r="FC349" s="267"/>
      <c r="FD349" s="267"/>
      <c r="FE349" s="267"/>
      <c r="FF349" s="267"/>
      <c r="FG349" s="267"/>
      <c r="FL349" s="267"/>
      <c r="FM349" s="267"/>
      <c r="FN349" s="267"/>
      <c r="FO349" s="267"/>
      <c r="FP349" s="267"/>
      <c r="FQ349" s="264"/>
      <c r="FR349" s="264"/>
      <c r="FS349" s="264"/>
      <c r="FT349" s="264"/>
      <c r="FU349" s="267"/>
      <c r="FV349" s="267"/>
      <c r="FW349" s="267"/>
      <c r="FX349" s="267"/>
      <c r="FY349" s="267"/>
      <c r="GD349" s="267"/>
      <c r="GE349" s="267"/>
      <c r="GF349" s="267"/>
      <c r="GG349" s="267"/>
      <c r="GH349" s="267"/>
      <c r="GI349" s="264"/>
      <c r="GJ349" s="264"/>
      <c r="GK349" s="264"/>
      <c r="GL349" s="264"/>
      <c r="HD349" s="267"/>
      <c r="HE349" s="267"/>
      <c r="HF349" s="267"/>
      <c r="HG349" s="267"/>
      <c r="HH349" s="267"/>
      <c r="HI349" s="267"/>
      <c r="HJ349" s="267"/>
      <c r="HK349" s="267"/>
      <c r="HL349" s="267"/>
      <c r="HM349" s="267"/>
      <c r="HN349" s="267"/>
      <c r="HO349" s="267"/>
      <c r="HP349" s="267"/>
      <c r="HQ349" s="267"/>
      <c r="HR349" s="267"/>
      <c r="HS349" s="267"/>
      <c r="HT349" s="267"/>
      <c r="HU349" s="267"/>
      <c r="IH349" s="267"/>
      <c r="IK349" s="267"/>
      <c r="IN349" s="267"/>
      <c r="IQ349" s="267"/>
      <c r="IR349" s="267"/>
      <c r="IS349" s="267"/>
      <c r="IT349" s="274"/>
      <c r="IU349" s="274"/>
      <c r="IV349" s="272"/>
      <c r="IW349" s="274"/>
      <c r="IX349" s="274"/>
      <c r="IY349" s="272"/>
    </row>
    <row r="350" spans="10:259">
      <c r="J350" s="267"/>
      <c r="K350" s="267"/>
      <c r="L350" s="267"/>
      <c r="M350" s="267"/>
      <c r="N350" s="267"/>
      <c r="O350" s="267"/>
      <c r="P350" s="267"/>
      <c r="Q350" s="267"/>
      <c r="S350" s="267"/>
      <c r="T350" s="267"/>
      <c r="U350" s="267"/>
      <c r="V350" s="267"/>
      <c r="W350" s="264"/>
      <c r="Y350" s="267"/>
      <c r="Z350" s="267"/>
      <c r="AA350" s="267"/>
      <c r="AB350" s="267"/>
      <c r="AE350" s="267"/>
      <c r="AF350" s="267"/>
      <c r="AG350" s="267"/>
      <c r="AH350" s="267"/>
      <c r="AK350" s="267"/>
      <c r="AL350" s="267"/>
      <c r="AM350" s="267"/>
      <c r="AN350" s="267"/>
      <c r="AQ350" s="267"/>
      <c r="AR350" s="267"/>
      <c r="AS350" s="267"/>
      <c r="AT350" s="267"/>
      <c r="AW350" s="267"/>
      <c r="AX350" s="267"/>
      <c r="AY350" s="267"/>
      <c r="AZ350" s="267"/>
      <c r="BG350" s="269"/>
      <c r="BM350" s="269"/>
      <c r="BS350" s="269"/>
      <c r="BU350" s="267"/>
      <c r="BY350" s="267"/>
      <c r="CC350" s="267"/>
      <c r="CG350" s="267"/>
      <c r="CS350" s="267"/>
      <c r="CW350" s="270"/>
      <c r="CX350" s="267"/>
      <c r="DC350" s="267"/>
      <c r="DH350" s="267"/>
      <c r="DM350" s="267"/>
      <c r="DR350" s="267"/>
      <c r="DW350" s="267"/>
      <c r="EB350" s="267"/>
      <c r="EG350" s="267"/>
      <c r="EL350" s="267"/>
      <c r="EQ350" s="267"/>
      <c r="EU350" s="270"/>
      <c r="EV350" s="267"/>
      <c r="FC350" s="267"/>
      <c r="FD350" s="267"/>
      <c r="FE350" s="267"/>
      <c r="FF350" s="267"/>
      <c r="FG350" s="267"/>
      <c r="FL350" s="267"/>
      <c r="FM350" s="267"/>
      <c r="FN350" s="267"/>
      <c r="FO350" s="267"/>
      <c r="FP350" s="267"/>
      <c r="FQ350" s="264"/>
      <c r="FR350" s="264"/>
      <c r="FS350" s="264"/>
      <c r="FT350" s="264"/>
      <c r="FU350" s="267"/>
      <c r="FV350" s="267"/>
      <c r="FW350" s="267"/>
      <c r="FX350" s="267"/>
      <c r="FY350" s="267"/>
      <c r="GD350" s="267"/>
      <c r="GE350" s="267"/>
      <c r="GF350" s="267"/>
      <c r="GG350" s="267"/>
      <c r="GH350" s="267"/>
      <c r="GI350" s="264"/>
      <c r="GJ350" s="264"/>
      <c r="GK350" s="264"/>
      <c r="GL350" s="264"/>
      <c r="HD350" s="267"/>
      <c r="HE350" s="267"/>
      <c r="HF350" s="267"/>
      <c r="HG350" s="267"/>
      <c r="HH350" s="267"/>
      <c r="HI350" s="267"/>
      <c r="HJ350" s="267"/>
      <c r="HK350" s="267"/>
      <c r="HL350" s="267"/>
      <c r="HM350" s="267"/>
      <c r="HN350" s="267"/>
      <c r="HO350" s="267"/>
      <c r="HP350" s="267"/>
      <c r="HQ350" s="267"/>
      <c r="HR350" s="267"/>
      <c r="HS350" s="267"/>
      <c r="HT350" s="267"/>
      <c r="HU350" s="267"/>
      <c r="IH350" s="267"/>
      <c r="IK350" s="267"/>
      <c r="IN350" s="267"/>
      <c r="IQ350" s="267"/>
      <c r="IR350" s="267"/>
      <c r="IS350" s="267"/>
      <c r="IT350" s="274"/>
      <c r="IU350" s="274"/>
      <c r="IV350" s="272"/>
      <c r="IW350" s="274"/>
      <c r="IX350" s="274"/>
      <c r="IY350" s="272"/>
    </row>
    <row r="351" spans="10:259">
      <c r="J351" s="267"/>
      <c r="K351" s="267"/>
      <c r="L351" s="267"/>
      <c r="M351" s="267"/>
      <c r="N351" s="267"/>
      <c r="O351" s="267"/>
      <c r="P351" s="267"/>
      <c r="Q351" s="267"/>
      <c r="S351" s="267"/>
      <c r="T351" s="267"/>
      <c r="U351" s="267"/>
      <c r="V351" s="267"/>
      <c r="W351" s="264"/>
      <c r="Y351" s="267"/>
      <c r="Z351" s="267"/>
      <c r="AA351" s="267"/>
      <c r="AB351" s="267"/>
      <c r="AE351" s="267"/>
      <c r="AF351" s="267"/>
      <c r="AG351" s="267"/>
      <c r="AH351" s="267"/>
      <c r="AK351" s="267"/>
      <c r="AL351" s="267"/>
      <c r="AM351" s="267"/>
      <c r="AN351" s="267"/>
      <c r="AQ351" s="267"/>
      <c r="AR351" s="267"/>
      <c r="AS351" s="267"/>
      <c r="AT351" s="267"/>
      <c r="AW351" s="267"/>
      <c r="AX351" s="267"/>
      <c r="AY351" s="267"/>
      <c r="AZ351" s="267"/>
      <c r="BG351" s="269"/>
      <c r="BM351" s="269"/>
      <c r="BS351" s="269"/>
      <c r="BU351" s="267"/>
      <c r="BY351" s="267"/>
      <c r="CC351" s="267"/>
      <c r="CG351" s="267"/>
      <c r="CS351" s="267"/>
      <c r="CW351" s="270"/>
      <c r="CX351" s="267"/>
      <c r="DC351" s="267"/>
      <c r="DH351" s="267"/>
      <c r="DM351" s="267"/>
      <c r="DR351" s="267"/>
      <c r="DW351" s="267"/>
      <c r="EB351" s="267"/>
      <c r="EG351" s="267"/>
      <c r="EL351" s="267"/>
      <c r="EQ351" s="267"/>
      <c r="EU351" s="270"/>
      <c r="EV351" s="267"/>
      <c r="FC351" s="267"/>
      <c r="FD351" s="267"/>
      <c r="FE351" s="267"/>
      <c r="FF351" s="267"/>
      <c r="FG351" s="267"/>
      <c r="FL351" s="267"/>
      <c r="FM351" s="267"/>
      <c r="FN351" s="267"/>
      <c r="FO351" s="267"/>
      <c r="FP351" s="267"/>
      <c r="FQ351" s="264"/>
      <c r="FR351" s="264"/>
      <c r="FS351" s="264"/>
      <c r="FT351" s="264"/>
      <c r="FU351" s="267"/>
      <c r="FV351" s="267"/>
      <c r="FW351" s="267"/>
      <c r="FX351" s="267"/>
      <c r="FY351" s="267"/>
      <c r="GD351" s="267"/>
      <c r="GE351" s="267"/>
      <c r="GF351" s="267"/>
      <c r="GG351" s="267"/>
      <c r="GH351" s="267"/>
      <c r="GI351" s="264"/>
      <c r="GJ351" s="264"/>
      <c r="GK351" s="264"/>
      <c r="GL351" s="264"/>
      <c r="HD351" s="267"/>
      <c r="HE351" s="267"/>
      <c r="HF351" s="267"/>
      <c r="HG351" s="267"/>
      <c r="HH351" s="267"/>
      <c r="HI351" s="267"/>
      <c r="HJ351" s="267"/>
      <c r="HK351" s="267"/>
      <c r="HL351" s="267"/>
      <c r="HM351" s="267"/>
      <c r="HN351" s="267"/>
      <c r="HO351" s="267"/>
      <c r="HP351" s="267"/>
      <c r="HQ351" s="267"/>
      <c r="HR351" s="267"/>
      <c r="HS351" s="267"/>
      <c r="HT351" s="267"/>
      <c r="HU351" s="267"/>
      <c r="IH351" s="267"/>
      <c r="IK351" s="267"/>
      <c r="IN351" s="267"/>
      <c r="IQ351" s="267"/>
      <c r="IR351" s="267"/>
      <c r="IS351" s="267"/>
      <c r="IT351" s="274"/>
      <c r="IU351" s="274"/>
      <c r="IV351" s="272"/>
      <c r="IW351" s="274"/>
      <c r="IX351" s="274"/>
      <c r="IY351" s="272"/>
    </row>
    <row r="352" spans="10:259">
      <c r="J352" s="267"/>
      <c r="K352" s="267"/>
      <c r="L352" s="267"/>
      <c r="M352" s="267"/>
      <c r="N352" s="267"/>
      <c r="O352" s="267"/>
      <c r="P352" s="267"/>
      <c r="Q352" s="267"/>
      <c r="S352" s="267"/>
      <c r="T352" s="267"/>
      <c r="U352" s="267"/>
      <c r="V352" s="267"/>
      <c r="W352" s="264"/>
      <c r="Y352" s="267"/>
      <c r="Z352" s="267"/>
      <c r="AA352" s="267"/>
      <c r="AB352" s="267"/>
      <c r="AE352" s="267"/>
      <c r="AF352" s="267"/>
      <c r="AG352" s="267"/>
      <c r="AH352" s="267"/>
      <c r="AK352" s="267"/>
      <c r="AL352" s="267"/>
      <c r="AM352" s="267"/>
      <c r="AN352" s="267"/>
      <c r="AQ352" s="267"/>
      <c r="AR352" s="267"/>
      <c r="AS352" s="267"/>
      <c r="AT352" s="267"/>
      <c r="AW352" s="267"/>
      <c r="AX352" s="267"/>
      <c r="AY352" s="267"/>
      <c r="AZ352" s="267"/>
      <c r="BG352" s="269"/>
      <c r="BM352" s="269"/>
      <c r="BS352" s="269"/>
      <c r="BU352" s="267"/>
      <c r="BY352" s="267"/>
      <c r="CC352" s="267"/>
      <c r="CG352" s="267"/>
      <c r="CS352" s="267"/>
      <c r="CW352" s="270"/>
      <c r="CX352" s="267"/>
      <c r="DC352" s="267"/>
      <c r="DH352" s="267"/>
      <c r="DM352" s="267"/>
      <c r="DR352" s="267"/>
      <c r="DW352" s="267"/>
      <c r="EB352" s="267"/>
      <c r="EG352" s="267"/>
      <c r="EL352" s="267"/>
      <c r="EQ352" s="267"/>
      <c r="EU352" s="270"/>
      <c r="EV352" s="267"/>
      <c r="FC352" s="267"/>
      <c r="FD352" s="267"/>
      <c r="FE352" s="267"/>
      <c r="FF352" s="267"/>
      <c r="FG352" s="267"/>
      <c r="FL352" s="267"/>
      <c r="FM352" s="267"/>
      <c r="FN352" s="267"/>
      <c r="FO352" s="267"/>
      <c r="FP352" s="267"/>
      <c r="FQ352" s="264"/>
      <c r="FR352" s="264"/>
      <c r="FS352" s="264"/>
      <c r="FT352" s="264"/>
      <c r="FU352" s="267"/>
      <c r="FV352" s="267"/>
      <c r="FW352" s="267"/>
      <c r="FX352" s="267"/>
      <c r="FY352" s="267"/>
      <c r="GD352" s="267"/>
      <c r="GE352" s="267"/>
      <c r="GF352" s="267"/>
      <c r="GG352" s="267"/>
      <c r="GH352" s="267"/>
      <c r="GI352" s="264"/>
      <c r="GJ352" s="264"/>
      <c r="GK352" s="264"/>
      <c r="GL352" s="264"/>
      <c r="HD352" s="267"/>
      <c r="HE352" s="267"/>
      <c r="HF352" s="267"/>
      <c r="HG352" s="267"/>
      <c r="HH352" s="267"/>
      <c r="HI352" s="267"/>
      <c r="HJ352" s="267"/>
      <c r="HK352" s="267"/>
      <c r="HL352" s="267"/>
      <c r="HM352" s="267"/>
      <c r="HN352" s="267"/>
      <c r="HO352" s="267"/>
      <c r="HP352" s="267"/>
      <c r="HQ352" s="267"/>
      <c r="HR352" s="267"/>
      <c r="HS352" s="267"/>
      <c r="HT352" s="267"/>
      <c r="HU352" s="267"/>
      <c r="IH352" s="267"/>
      <c r="IK352" s="267"/>
      <c r="IN352" s="267"/>
      <c r="IQ352" s="267"/>
      <c r="IR352" s="267"/>
      <c r="IS352" s="267"/>
      <c r="IT352" s="274"/>
      <c r="IU352" s="274"/>
      <c r="IV352" s="272"/>
      <c r="IW352" s="274"/>
      <c r="IX352" s="274"/>
      <c r="IY352" s="272"/>
    </row>
    <row r="353" spans="10:259">
      <c r="J353" s="267"/>
      <c r="K353" s="267"/>
      <c r="L353" s="267"/>
      <c r="M353" s="267"/>
      <c r="N353" s="267"/>
      <c r="O353" s="267"/>
      <c r="P353" s="267"/>
      <c r="Q353" s="267"/>
      <c r="S353" s="267"/>
      <c r="T353" s="267"/>
      <c r="U353" s="267"/>
      <c r="V353" s="267"/>
      <c r="W353" s="264"/>
      <c r="Y353" s="267"/>
      <c r="Z353" s="267"/>
      <c r="AA353" s="267"/>
      <c r="AB353" s="267"/>
      <c r="AE353" s="267"/>
      <c r="AF353" s="267"/>
      <c r="AG353" s="267"/>
      <c r="AH353" s="267"/>
      <c r="AK353" s="267"/>
      <c r="AL353" s="267"/>
      <c r="AM353" s="267"/>
      <c r="AN353" s="267"/>
      <c r="AQ353" s="267"/>
      <c r="AR353" s="267"/>
      <c r="AS353" s="267"/>
      <c r="AT353" s="267"/>
      <c r="AW353" s="267"/>
      <c r="AX353" s="267"/>
      <c r="AY353" s="267"/>
      <c r="AZ353" s="267"/>
      <c r="BG353" s="269"/>
      <c r="BM353" s="269"/>
      <c r="BS353" s="269"/>
      <c r="BU353" s="267"/>
      <c r="BY353" s="267"/>
      <c r="CC353" s="267"/>
      <c r="CG353" s="267"/>
      <c r="CS353" s="267"/>
      <c r="CW353" s="270"/>
      <c r="CX353" s="267"/>
      <c r="DC353" s="267"/>
      <c r="DH353" s="267"/>
      <c r="DM353" s="267"/>
      <c r="DR353" s="267"/>
      <c r="DW353" s="267"/>
      <c r="EB353" s="267"/>
      <c r="EG353" s="267"/>
      <c r="EL353" s="267"/>
      <c r="EQ353" s="267"/>
      <c r="EU353" s="270"/>
      <c r="EV353" s="267"/>
      <c r="FC353" s="267"/>
      <c r="FD353" s="267"/>
      <c r="FE353" s="267"/>
      <c r="FF353" s="267"/>
      <c r="FG353" s="267"/>
      <c r="FL353" s="267"/>
      <c r="FM353" s="267"/>
      <c r="FN353" s="267"/>
      <c r="FO353" s="267"/>
      <c r="FP353" s="267"/>
      <c r="FQ353" s="264"/>
      <c r="FR353" s="264"/>
      <c r="FS353" s="264"/>
      <c r="FT353" s="264"/>
      <c r="FU353" s="267"/>
      <c r="FV353" s="267"/>
      <c r="FW353" s="267"/>
      <c r="FX353" s="267"/>
      <c r="FY353" s="267"/>
      <c r="GD353" s="267"/>
      <c r="GE353" s="267"/>
      <c r="GF353" s="267"/>
      <c r="GG353" s="267"/>
      <c r="GH353" s="267"/>
      <c r="GI353" s="264"/>
      <c r="GJ353" s="264"/>
      <c r="GK353" s="264"/>
      <c r="GL353" s="264"/>
      <c r="HD353" s="267"/>
      <c r="HE353" s="267"/>
      <c r="HF353" s="267"/>
      <c r="HG353" s="267"/>
      <c r="HH353" s="267"/>
      <c r="HI353" s="267"/>
      <c r="HJ353" s="267"/>
      <c r="HK353" s="267"/>
      <c r="HL353" s="267"/>
      <c r="HM353" s="267"/>
      <c r="HN353" s="267"/>
      <c r="HO353" s="267"/>
      <c r="HP353" s="267"/>
      <c r="HQ353" s="267"/>
      <c r="HR353" s="267"/>
      <c r="HS353" s="267"/>
      <c r="HT353" s="267"/>
      <c r="HU353" s="267"/>
      <c r="IH353" s="267"/>
      <c r="IK353" s="267"/>
      <c r="IN353" s="267"/>
      <c r="IQ353" s="267"/>
      <c r="IR353" s="267"/>
      <c r="IS353" s="267"/>
      <c r="IT353" s="274"/>
      <c r="IU353" s="274"/>
      <c r="IV353" s="272"/>
      <c r="IW353" s="274"/>
      <c r="IX353" s="274"/>
      <c r="IY353" s="272"/>
    </row>
    <row r="354" spans="10:259">
      <c r="J354" s="267"/>
      <c r="K354" s="267"/>
      <c r="L354" s="267"/>
      <c r="M354" s="267"/>
      <c r="N354" s="267"/>
      <c r="O354" s="267"/>
      <c r="P354" s="267"/>
      <c r="Q354" s="267"/>
      <c r="S354" s="267"/>
      <c r="T354" s="267"/>
      <c r="U354" s="267"/>
      <c r="V354" s="267"/>
      <c r="W354" s="264"/>
      <c r="Y354" s="267"/>
      <c r="Z354" s="267"/>
      <c r="AA354" s="267"/>
      <c r="AB354" s="267"/>
      <c r="AE354" s="267"/>
      <c r="AF354" s="267"/>
      <c r="AG354" s="267"/>
      <c r="AH354" s="267"/>
      <c r="AK354" s="267"/>
      <c r="AL354" s="267"/>
      <c r="AM354" s="267"/>
      <c r="AN354" s="267"/>
      <c r="AQ354" s="267"/>
      <c r="AR354" s="267"/>
      <c r="AS354" s="267"/>
      <c r="AT354" s="267"/>
      <c r="AW354" s="267"/>
      <c r="AX354" s="267"/>
      <c r="AY354" s="267"/>
      <c r="AZ354" s="267"/>
      <c r="BG354" s="269"/>
      <c r="BM354" s="269"/>
      <c r="BS354" s="269"/>
      <c r="BU354" s="267"/>
      <c r="BY354" s="267"/>
      <c r="CC354" s="267"/>
      <c r="CG354" s="267"/>
      <c r="CS354" s="267"/>
      <c r="CW354" s="270"/>
      <c r="CX354" s="267"/>
      <c r="DC354" s="267"/>
      <c r="DH354" s="267"/>
      <c r="DM354" s="267"/>
      <c r="DR354" s="267"/>
      <c r="DW354" s="267"/>
      <c r="EB354" s="267"/>
      <c r="EG354" s="267"/>
      <c r="EL354" s="267"/>
      <c r="EQ354" s="267"/>
      <c r="EU354" s="270"/>
      <c r="EV354" s="267"/>
      <c r="FC354" s="267"/>
      <c r="FD354" s="267"/>
      <c r="FE354" s="267"/>
      <c r="FF354" s="267"/>
      <c r="FG354" s="267"/>
      <c r="FL354" s="267"/>
      <c r="FM354" s="267"/>
      <c r="FN354" s="267"/>
      <c r="FO354" s="267"/>
      <c r="FP354" s="267"/>
      <c r="FQ354" s="264"/>
      <c r="FR354" s="264"/>
      <c r="FS354" s="264"/>
      <c r="FT354" s="264"/>
      <c r="FU354" s="267"/>
      <c r="FV354" s="267"/>
      <c r="FW354" s="267"/>
      <c r="FX354" s="267"/>
      <c r="FY354" s="267"/>
      <c r="GD354" s="267"/>
      <c r="GE354" s="267"/>
      <c r="GF354" s="267"/>
      <c r="GG354" s="267"/>
      <c r="GH354" s="267"/>
      <c r="GI354" s="264"/>
      <c r="GJ354" s="264"/>
      <c r="GK354" s="264"/>
      <c r="GL354" s="264"/>
      <c r="HD354" s="267"/>
      <c r="HE354" s="267"/>
      <c r="HF354" s="267"/>
      <c r="HG354" s="267"/>
      <c r="HH354" s="267"/>
      <c r="HI354" s="267"/>
      <c r="HJ354" s="267"/>
      <c r="HK354" s="267"/>
      <c r="HL354" s="267"/>
      <c r="HM354" s="267"/>
      <c r="HN354" s="267"/>
      <c r="HO354" s="267"/>
      <c r="HP354" s="267"/>
      <c r="HQ354" s="267"/>
      <c r="HR354" s="267"/>
      <c r="HS354" s="267"/>
      <c r="HT354" s="267"/>
      <c r="HU354" s="267"/>
      <c r="IH354" s="267"/>
      <c r="IK354" s="267"/>
      <c r="IN354" s="267"/>
      <c r="IQ354" s="267"/>
      <c r="IR354" s="267"/>
      <c r="IS354" s="267"/>
      <c r="IT354" s="274"/>
      <c r="IU354" s="274"/>
      <c r="IV354" s="272"/>
      <c r="IW354" s="274"/>
      <c r="IX354" s="274"/>
      <c r="IY354" s="272"/>
    </row>
    <row r="355" spans="10:259">
      <c r="J355" s="267"/>
      <c r="K355" s="267"/>
      <c r="L355" s="267"/>
      <c r="M355" s="267"/>
      <c r="N355" s="267"/>
      <c r="O355" s="267"/>
      <c r="P355" s="267"/>
      <c r="Q355" s="267"/>
      <c r="S355" s="267"/>
      <c r="T355" s="267"/>
      <c r="U355" s="267"/>
      <c r="V355" s="267"/>
      <c r="W355" s="264"/>
      <c r="Y355" s="267"/>
      <c r="Z355" s="267"/>
      <c r="AA355" s="267"/>
      <c r="AB355" s="267"/>
      <c r="AE355" s="267"/>
      <c r="AF355" s="267"/>
      <c r="AG355" s="267"/>
      <c r="AH355" s="267"/>
      <c r="AK355" s="267"/>
      <c r="AL355" s="267"/>
      <c r="AM355" s="267"/>
      <c r="AN355" s="267"/>
      <c r="AQ355" s="267"/>
      <c r="AR355" s="267"/>
      <c r="AS355" s="267"/>
      <c r="AT355" s="267"/>
      <c r="AW355" s="267"/>
      <c r="AX355" s="267"/>
      <c r="AY355" s="267"/>
      <c r="AZ355" s="267"/>
      <c r="BG355" s="269"/>
      <c r="BM355" s="269"/>
      <c r="BS355" s="269"/>
      <c r="BU355" s="267"/>
      <c r="BY355" s="267"/>
      <c r="CC355" s="267"/>
      <c r="CG355" s="267"/>
      <c r="CS355" s="267"/>
      <c r="CW355" s="270"/>
      <c r="CX355" s="267"/>
      <c r="DC355" s="267"/>
      <c r="DH355" s="267"/>
      <c r="DM355" s="267"/>
      <c r="DR355" s="267"/>
      <c r="DW355" s="267"/>
      <c r="EB355" s="267"/>
      <c r="EG355" s="267"/>
      <c r="EL355" s="267"/>
      <c r="EQ355" s="267"/>
      <c r="EU355" s="270"/>
      <c r="EV355" s="267"/>
      <c r="FC355" s="267"/>
      <c r="FD355" s="267"/>
      <c r="FE355" s="267"/>
      <c r="FF355" s="267"/>
      <c r="FG355" s="267"/>
      <c r="FL355" s="267"/>
      <c r="FM355" s="267"/>
      <c r="FN355" s="267"/>
      <c r="FO355" s="267"/>
      <c r="FP355" s="267"/>
      <c r="FQ355" s="264"/>
      <c r="FR355" s="264"/>
      <c r="FS355" s="264"/>
      <c r="FT355" s="264"/>
      <c r="FU355" s="267"/>
      <c r="FV355" s="267"/>
      <c r="FW355" s="267"/>
      <c r="FX355" s="267"/>
      <c r="FY355" s="267"/>
      <c r="GD355" s="267"/>
      <c r="GE355" s="267"/>
      <c r="GF355" s="267"/>
      <c r="GG355" s="267"/>
      <c r="GH355" s="267"/>
      <c r="GI355" s="264"/>
      <c r="GJ355" s="264"/>
      <c r="GK355" s="264"/>
      <c r="GL355" s="264"/>
      <c r="HD355" s="267"/>
      <c r="HE355" s="267"/>
      <c r="HF355" s="267"/>
      <c r="HG355" s="267"/>
      <c r="HH355" s="267"/>
      <c r="HI355" s="267"/>
      <c r="HJ355" s="267"/>
      <c r="HK355" s="267"/>
      <c r="HL355" s="267"/>
      <c r="HM355" s="267"/>
      <c r="HN355" s="267"/>
      <c r="HO355" s="267"/>
      <c r="HP355" s="267"/>
      <c r="HQ355" s="267"/>
      <c r="HR355" s="267"/>
      <c r="HS355" s="267"/>
      <c r="HT355" s="267"/>
      <c r="HU355" s="267"/>
      <c r="IH355" s="267"/>
      <c r="IK355" s="267"/>
      <c r="IN355" s="267"/>
      <c r="IQ355" s="267"/>
      <c r="IR355" s="267"/>
      <c r="IS355" s="267"/>
      <c r="IV355" s="267"/>
      <c r="IY355" s="267"/>
    </row>
    <row r="356" spans="10:259">
      <c r="J356" s="267"/>
      <c r="K356" s="267"/>
      <c r="L356" s="267"/>
      <c r="M356" s="267"/>
      <c r="N356" s="267"/>
      <c r="O356" s="267"/>
      <c r="P356" s="267"/>
      <c r="Q356" s="267"/>
      <c r="S356" s="267"/>
      <c r="T356" s="267"/>
      <c r="U356" s="267"/>
      <c r="V356" s="267"/>
      <c r="W356" s="264"/>
      <c r="Y356" s="267"/>
      <c r="Z356" s="267"/>
      <c r="AA356" s="267"/>
      <c r="AB356" s="267"/>
      <c r="AE356" s="267"/>
      <c r="AF356" s="267"/>
      <c r="AG356" s="267"/>
      <c r="AH356" s="267"/>
      <c r="AK356" s="267"/>
      <c r="AL356" s="267"/>
      <c r="AM356" s="267"/>
      <c r="AN356" s="267"/>
      <c r="AQ356" s="267"/>
      <c r="AR356" s="267"/>
      <c r="AS356" s="267"/>
      <c r="AT356" s="267"/>
      <c r="AW356" s="267"/>
      <c r="AX356" s="267"/>
      <c r="AY356" s="267"/>
      <c r="AZ356" s="267"/>
      <c r="BG356" s="269"/>
      <c r="BM356" s="269"/>
      <c r="BS356" s="269"/>
      <c r="BU356" s="267"/>
      <c r="BY356" s="267"/>
      <c r="CC356" s="267"/>
      <c r="CG356" s="267"/>
      <c r="CS356" s="267"/>
      <c r="CW356" s="270"/>
      <c r="CX356" s="267"/>
      <c r="DC356" s="267"/>
      <c r="DH356" s="267"/>
      <c r="DM356" s="267"/>
      <c r="DR356" s="267"/>
      <c r="DW356" s="267"/>
      <c r="EB356" s="267"/>
      <c r="EG356" s="267"/>
      <c r="EL356" s="267"/>
      <c r="EQ356" s="267"/>
      <c r="EU356" s="270"/>
      <c r="EV356" s="267"/>
      <c r="FC356" s="267"/>
      <c r="FD356" s="267"/>
      <c r="FE356" s="267"/>
      <c r="FF356" s="267"/>
      <c r="FG356" s="267"/>
      <c r="FL356" s="267"/>
      <c r="FM356" s="267"/>
      <c r="FN356" s="267"/>
      <c r="FO356" s="267"/>
      <c r="FP356" s="267"/>
      <c r="FQ356" s="264"/>
      <c r="FR356" s="264"/>
      <c r="FS356" s="264"/>
      <c r="FT356" s="264"/>
      <c r="FU356" s="267"/>
      <c r="FV356" s="267"/>
      <c r="FW356" s="267"/>
      <c r="FX356" s="267"/>
      <c r="FY356" s="267"/>
      <c r="GD356" s="267"/>
      <c r="GE356" s="267"/>
      <c r="GF356" s="267"/>
      <c r="GG356" s="267"/>
      <c r="GH356" s="267"/>
      <c r="GI356" s="264"/>
      <c r="GJ356" s="264"/>
      <c r="GK356" s="264"/>
      <c r="GL356" s="264"/>
      <c r="HD356" s="267"/>
      <c r="HE356" s="267"/>
      <c r="HF356" s="267"/>
      <c r="HG356" s="267"/>
      <c r="HH356" s="267"/>
      <c r="HI356" s="267"/>
      <c r="HJ356" s="267"/>
      <c r="HK356" s="267"/>
      <c r="HL356" s="267"/>
      <c r="HM356" s="267"/>
      <c r="HN356" s="267"/>
      <c r="HO356" s="267"/>
      <c r="HP356" s="267"/>
      <c r="HQ356" s="267"/>
      <c r="HR356" s="267"/>
      <c r="HS356" s="267"/>
      <c r="HT356" s="267"/>
      <c r="HU356" s="267"/>
      <c r="IH356" s="267"/>
      <c r="IK356" s="267"/>
      <c r="IN356" s="267"/>
      <c r="IQ356" s="267"/>
      <c r="IR356" s="267"/>
      <c r="IS356" s="267"/>
      <c r="IV356" s="267"/>
      <c r="IY356" s="267"/>
    </row>
    <row r="357" spans="10:259">
      <c r="J357" s="267"/>
      <c r="K357" s="267"/>
      <c r="L357" s="267"/>
      <c r="M357" s="267"/>
      <c r="N357" s="267"/>
      <c r="O357" s="267"/>
      <c r="P357" s="267"/>
      <c r="Q357" s="267"/>
      <c r="S357" s="267"/>
      <c r="T357" s="267"/>
      <c r="U357" s="267"/>
      <c r="V357" s="267"/>
      <c r="W357" s="264"/>
      <c r="Y357" s="267"/>
      <c r="Z357" s="267"/>
      <c r="AA357" s="267"/>
      <c r="AB357" s="267"/>
      <c r="AE357" s="267"/>
      <c r="AF357" s="267"/>
      <c r="AG357" s="267"/>
      <c r="AH357" s="267"/>
      <c r="AK357" s="267"/>
      <c r="AL357" s="267"/>
      <c r="AM357" s="267"/>
      <c r="AN357" s="267"/>
      <c r="AQ357" s="267"/>
      <c r="AR357" s="267"/>
      <c r="AS357" s="267"/>
      <c r="AT357" s="267"/>
      <c r="AW357" s="267"/>
      <c r="AX357" s="267"/>
      <c r="AY357" s="267"/>
      <c r="AZ357" s="267"/>
      <c r="BG357" s="269"/>
      <c r="BM357" s="269"/>
      <c r="BS357" s="269"/>
      <c r="BU357" s="267"/>
      <c r="BY357" s="267"/>
      <c r="CC357" s="267"/>
      <c r="CG357" s="267"/>
      <c r="CS357" s="267"/>
      <c r="CW357" s="270"/>
      <c r="CX357" s="267"/>
      <c r="DC357" s="267"/>
      <c r="DH357" s="267"/>
      <c r="DM357" s="267"/>
      <c r="DR357" s="267"/>
      <c r="DW357" s="267"/>
      <c r="EB357" s="267"/>
      <c r="EG357" s="267"/>
      <c r="EL357" s="267"/>
      <c r="EQ357" s="267"/>
      <c r="EU357" s="270"/>
      <c r="EV357" s="267"/>
      <c r="FC357" s="267"/>
      <c r="FD357" s="267"/>
      <c r="FE357" s="267"/>
      <c r="FF357" s="267"/>
      <c r="FG357" s="267"/>
      <c r="FL357" s="267"/>
      <c r="FM357" s="267"/>
      <c r="FN357" s="267"/>
      <c r="FO357" s="267"/>
      <c r="FP357" s="267"/>
      <c r="FQ357" s="264"/>
      <c r="FR357" s="264"/>
      <c r="FS357" s="264"/>
      <c r="FT357" s="264"/>
      <c r="FU357" s="267"/>
      <c r="FV357" s="267"/>
      <c r="FW357" s="267"/>
      <c r="FX357" s="267"/>
      <c r="FY357" s="267"/>
      <c r="GD357" s="267"/>
      <c r="GE357" s="267"/>
      <c r="GF357" s="267"/>
      <c r="GG357" s="267"/>
      <c r="GH357" s="267"/>
      <c r="GI357" s="264"/>
      <c r="GJ357" s="264"/>
      <c r="GK357" s="264"/>
      <c r="GL357" s="264"/>
      <c r="HD357" s="267"/>
      <c r="HE357" s="267"/>
      <c r="HF357" s="267"/>
      <c r="HG357" s="267"/>
      <c r="HH357" s="267"/>
      <c r="HI357" s="267"/>
      <c r="HJ357" s="267"/>
      <c r="HK357" s="267"/>
      <c r="HL357" s="267"/>
      <c r="HM357" s="267"/>
      <c r="HN357" s="267"/>
      <c r="HO357" s="267"/>
      <c r="HP357" s="267"/>
      <c r="HQ357" s="267"/>
      <c r="HR357" s="267"/>
      <c r="HS357" s="267"/>
      <c r="HT357" s="267"/>
      <c r="HU357" s="267"/>
      <c r="IH357" s="267"/>
      <c r="IK357" s="267"/>
      <c r="IN357" s="267"/>
      <c r="IQ357" s="267"/>
      <c r="IR357" s="267"/>
      <c r="IS357" s="267"/>
      <c r="IV357" s="267"/>
      <c r="IY357" s="267"/>
    </row>
    <row r="358" spans="10:259">
      <c r="J358" s="267"/>
      <c r="K358" s="267"/>
      <c r="L358" s="267"/>
      <c r="M358" s="267"/>
      <c r="N358" s="267"/>
      <c r="O358" s="267"/>
      <c r="P358" s="267"/>
      <c r="Q358" s="267"/>
      <c r="S358" s="267"/>
      <c r="T358" s="267"/>
      <c r="U358" s="267"/>
      <c r="V358" s="267"/>
      <c r="W358" s="264"/>
      <c r="Y358" s="267"/>
      <c r="Z358" s="267"/>
      <c r="AA358" s="267"/>
      <c r="AB358" s="267"/>
      <c r="AE358" s="267"/>
      <c r="AF358" s="267"/>
      <c r="AG358" s="267"/>
      <c r="AH358" s="267"/>
      <c r="AK358" s="267"/>
      <c r="AL358" s="267"/>
      <c r="AM358" s="267"/>
      <c r="AN358" s="267"/>
      <c r="AQ358" s="267"/>
      <c r="AR358" s="267"/>
      <c r="AS358" s="267"/>
      <c r="AT358" s="267"/>
      <c r="AW358" s="267"/>
      <c r="AX358" s="267"/>
      <c r="AY358" s="267"/>
      <c r="AZ358" s="267"/>
      <c r="BG358" s="269"/>
      <c r="BM358" s="269"/>
      <c r="BS358" s="269"/>
      <c r="BU358" s="267"/>
      <c r="BY358" s="267"/>
      <c r="CC358" s="267"/>
      <c r="CG358" s="267"/>
      <c r="CS358" s="267"/>
      <c r="CW358" s="270"/>
      <c r="CX358" s="267"/>
      <c r="DC358" s="267"/>
      <c r="DH358" s="267"/>
      <c r="DM358" s="267"/>
      <c r="DR358" s="267"/>
      <c r="DW358" s="267"/>
      <c r="EB358" s="267"/>
      <c r="EG358" s="267"/>
      <c r="EL358" s="267"/>
      <c r="EQ358" s="267"/>
      <c r="EU358" s="270"/>
      <c r="EV358" s="267"/>
      <c r="FC358" s="267"/>
      <c r="FD358" s="267"/>
      <c r="FE358" s="267"/>
      <c r="FF358" s="267"/>
      <c r="FG358" s="267"/>
      <c r="FL358" s="267"/>
      <c r="FM358" s="267"/>
      <c r="FN358" s="267"/>
      <c r="FO358" s="267"/>
      <c r="FP358" s="267"/>
      <c r="FQ358" s="264"/>
      <c r="FR358" s="264"/>
      <c r="FS358" s="264"/>
      <c r="FT358" s="264"/>
      <c r="FU358" s="267"/>
      <c r="FV358" s="267"/>
      <c r="FW358" s="267"/>
      <c r="FX358" s="267"/>
      <c r="FY358" s="267"/>
      <c r="GD358" s="267"/>
      <c r="GE358" s="267"/>
      <c r="GF358" s="267"/>
      <c r="GG358" s="267"/>
      <c r="GH358" s="267"/>
      <c r="GI358" s="264"/>
      <c r="GJ358" s="264"/>
      <c r="GK358" s="264"/>
      <c r="GL358" s="264"/>
      <c r="HD358" s="267"/>
      <c r="HE358" s="267"/>
      <c r="HF358" s="267"/>
      <c r="HG358" s="267"/>
      <c r="HH358" s="267"/>
      <c r="HI358" s="267"/>
      <c r="HJ358" s="267"/>
      <c r="HK358" s="267"/>
      <c r="HL358" s="267"/>
      <c r="HM358" s="267"/>
      <c r="HN358" s="267"/>
      <c r="HO358" s="267"/>
      <c r="HP358" s="267"/>
      <c r="HQ358" s="267"/>
      <c r="HR358" s="267"/>
      <c r="HS358" s="267"/>
      <c r="HT358" s="267"/>
      <c r="HU358" s="267"/>
      <c r="IH358" s="267"/>
      <c r="IK358" s="267"/>
      <c r="IN358" s="267"/>
      <c r="IQ358" s="267"/>
      <c r="IR358" s="267"/>
      <c r="IS358" s="267"/>
      <c r="IV358" s="267"/>
      <c r="IY358" s="267"/>
    </row>
    <row r="359" spans="10:259">
      <c r="J359" s="267"/>
      <c r="K359" s="267"/>
      <c r="L359" s="267"/>
      <c r="M359" s="267"/>
      <c r="N359" s="267"/>
      <c r="O359" s="267"/>
      <c r="P359" s="267"/>
      <c r="Q359" s="267"/>
      <c r="S359" s="267"/>
      <c r="T359" s="267"/>
      <c r="U359" s="267"/>
      <c r="V359" s="267"/>
      <c r="W359" s="264"/>
      <c r="Y359" s="267"/>
      <c r="Z359" s="267"/>
      <c r="AA359" s="267"/>
      <c r="AB359" s="267"/>
      <c r="AE359" s="267"/>
      <c r="AF359" s="267"/>
      <c r="AG359" s="267"/>
      <c r="AH359" s="267"/>
      <c r="AK359" s="267"/>
      <c r="AL359" s="267"/>
      <c r="AM359" s="267"/>
      <c r="AN359" s="267"/>
      <c r="AQ359" s="267"/>
      <c r="AR359" s="267"/>
      <c r="AS359" s="267"/>
      <c r="AT359" s="267"/>
      <c r="AW359" s="267"/>
      <c r="AX359" s="267"/>
      <c r="AY359" s="267"/>
      <c r="AZ359" s="267"/>
      <c r="BG359" s="269"/>
      <c r="BM359" s="269"/>
      <c r="BS359" s="269"/>
      <c r="BU359" s="267"/>
      <c r="BY359" s="267"/>
      <c r="CC359" s="267"/>
      <c r="CG359" s="267"/>
      <c r="CS359" s="267"/>
      <c r="CW359" s="270"/>
      <c r="CX359" s="267"/>
      <c r="DC359" s="267"/>
      <c r="DH359" s="267"/>
      <c r="DM359" s="267"/>
      <c r="DR359" s="267"/>
      <c r="DW359" s="267"/>
      <c r="EB359" s="267"/>
      <c r="EG359" s="267"/>
      <c r="EL359" s="267"/>
      <c r="EQ359" s="267"/>
      <c r="EU359" s="270"/>
      <c r="EV359" s="267"/>
      <c r="FC359" s="267"/>
      <c r="FD359" s="267"/>
      <c r="FE359" s="267"/>
      <c r="FF359" s="267"/>
      <c r="FG359" s="267"/>
      <c r="FL359" s="267"/>
      <c r="FM359" s="267"/>
      <c r="FN359" s="267"/>
      <c r="FO359" s="267"/>
      <c r="FP359" s="267"/>
      <c r="FQ359" s="264"/>
      <c r="FR359" s="264"/>
      <c r="FS359" s="264"/>
      <c r="FT359" s="264"/>
      <c r="FU359" s="267"/>
      <c r="FV359" s="267"/>
      <c r="FW359" s="267"/>
      <c r="FX359" s="267"/>
      <c r="FY359" s="267"/>
      <c r="GD359" s="267"/>
      <c r="GE359" s="267"/>
      <c r="GF359" s="267"/>
      <c r="GG359" s="267"/>
      <c r="GH359" s="267"/>
      <c r="GI359" s="264"/>
      <c r="GJ359" s="264"/>
      <c r="GK359" s="264"/>
      <c r="GL359" s="264"/>
      <c r="HD359" s="267"/>
      <c r="HE359" s="267"/>
      <c r="HF359" s="267"/>
      <c r="HG359" s="267"/>
      <c r="HH359" s="267"/>
      <c r="HI359" s="267"/>
      <c r="HJ359" s="267"/>
      <c r="HK359" s="267"/>
      <c r="HL359" s="267"/>
      <c r="HM359" s="267"/>
      <c r="HN359" s="267"/>
      <c r="HO359" s="267"/>
      <c r="HP359" s="267"/>
      <c r="HQ359" s="267"/>
      <c r="HR359" s="267"/>
      <c r="HS359" s="267"/>
      <c r="HT359" s="267"/>
      <c r="HU359" s="267"/>
      <c r="IH359" s="267"/>
      <c r="IK359" s="267"/>
      <c r="IN359" s="267"/>
      <c r="IQ359" s="267"/>
      <c r="IR359" s="267"/>
      <c r="IS359" s="267"/>
      <c r="IV359" s="267"/>
      <c r="IY359" s="267"/>
    </row>
    <row r="360" spans="10:259">
      <c r="J360" s="267"/>
      <c r="K360" s="267"/>
      <c r="L360" s="267"/>
      <c r="M360" s="267"/>
      <c r="N360" s="267"/>
      <c r="O360" s="267"/>
      <c r="P360" s="267"/>
      <c r="Q360" s="267"/>
      <c r="S360" s="267"/>
      <c r="T360" s="267"/>
      <c r="U360" s="267"/>
      <c r="V360" s="267"/>
      <c r="W360" s="264"/>
      <c r="Y360" s="267"/>
      <c r="Z360" s="267"/>
      <c r="AA360" s="267"/>
      <c r="AB360" s="267"/>
      <c r="AE360" s="267"/>
      <c r="AF360" s="267"/>
      <c r="AG360" s="267"/>
      <c r="AH360" s="267"/>
      <c r="AK360" s="267"/>
      <c r="AL360" s="267"/>
      <c r="AM360" s="267"/>
      <c r="AN360" s="267"/>
      <c r="AQ360" s="267"/>
      <c r="AR360" s="267"/>
      <c r="AS360" s="267"/>
      <c r="AT360" s="267"/>
      <c r="AW360" s="267"/>
      <c r="AX360" s="267"/>
      <c r="AY360" s="267"/>
      <c r="AZ360" s="267"/>
      <c r="BG360" s="269"/>
      <c r="BM360" s="269"/>
      <c r="BS360" s="269"/>
      <c r="BU360" s="267"/>
      <c r="BY360" s="267"/>
      <c r="CC360" s="267"/>
      <c r="CG360" s="267"/>
      <c r="CS360" s="267"/>
      <c r="CW360" s="270"/>
      <c r="CX360" s="267"/>
      <c r="DC360" s="267"/>
      <c r="DH360" s="267"/>
      <c r="DM360" s="267"/>
      <c r="DR360" s="267"/>
      <c r="DW360" s="267"/>
      <c r="EB360" s="267"/>
      <c r="EG360" s="267"/>
      <c r="EL360" s="267"/>
      <c r="EQ360" s="267"/>
      <c r="EU360" s="270"/>
      <c r="EV360" s="267"/>
      <c r="FC360" s="267"/>
      <c r="FD360" s="267"/>
      <c r="FE360" s="267"/>
      <c r="FF360" s="267"/>
      <c r="FG360" s="267"/>
      <c r="FL360" s="267"/>
      <c r="FM360" s="267"/>
      <c r="FN360" s="267"/>
      <c r="FO360" s="267"/>
      <c r="FP360" s="267"/>
      <c r="FQ360" s="264"/>
      <c r="FR360" s="264"/>
      <c r="FS360" s="264"/>
      <c r="FT360" s="264"/>
      <c r="FU360" s="267"/>
      <c r="FV360" s="267"/>
      <c r="FW360" s="267"/>
      <c r="FX360" s="267"/>
      <c r="FY360" s="267"/>
      <c r="GD360" s="267"/>
      <c r="GE360" s="267"/>
      <c r="GF360" s="267"/>
      <c r="GG360" s="267"/>
      <c r="GH360" s="267"/>
      <c r="GI360" s="264"/>
      <c r="GJ360" s="264"/>
      <c r="GK360" s="264"/>
      <c r="GL360" s="264"/>
      <c r="HD360" s="267"/>
      <c r="HE360" s="267"/>
      <c r="HF360" s="267"/>
      <c r="HG360" s="267"/>
      <c r="HH360" s="267"/>
      <c r="HI360" s="267"/>
      <c r="HJ360" s="267"/>
      <c r="HK360" s="267"/>
      <c r="HL360" s="267"/>
      <c r="HM360" s="267"/>
      <c r="HN360" s="267"/>
      <c r="HO360" s="267"/>
      <c r="HP360" s="267"/>
      <c r="HQ360" s="267"/>
      <c r="HR360" s="267"/>
      <c r="HS360" s="267"/>
      <c r="HT360" s="267"/>
      <c r="HU360" s="267"/>
      <c r="IH360" s="267"/>
      <c r="IK360" s="267"/>
      <c r="IN360" s="267"/>
      <c r="IQ360" s="267"/>
      <c r="IR360" s="267"/>
      <c r="IS360" s="267"/>
      <c r="IV360" s="267"/>
      <c r="IY360" s="267"/>
    </row>
    <row r="361" spans="10:259">
      <c r="J361" s="267"/>
      <c r="K361" s="267"/>
      <c r="L361" s="267"/>
      <c r="M361" s="267"/>
      <c r="N361" s="267"/>
      <c r="O361" s="267"/>
      <c r="P361" s="267"/>
      <c r="Q361" s="267"/>
      <c r="S361" s="267"/>
      <c r="T361" s="267"/>
      <c r="U361" s="267"/>
      <c r="V361" s="267"/>
      <c r="W361" s="264"/>
      <c r="Y361" s="267"/>
      <c r="Z361" s="267"/>
      <c r="AA361" s="267"/>
      <c r="AB361" s="267"/>
      <c r="AE361" s="267"/>
      <c r="AF361" s="267"/>
      <c r="AG361" s="267"/>
      <c r="AH361" s="267"/>
      <c r="AK361" s="267"/>
      <c r="AL361" s="267"/>
      <c r="AM361" s="267"/>
      <c r="AN361" s="267"/>
      <c r="AQ361" s="267"/>
      <c r="AR361" s="267"/>
      <c r="AS361" s="267"/>
      <c r="AT361" s="267"/>
      <c r="AW361" s="267"/>
      <c r="AX361" s="267"/>
      <c r="AY361" s="267"/>
      <c r="AZ361" s="267"/>
      <c r="BG361" s="269"/>
      <c r="BM361" s="269"/>
      <c r="BS361" s="269"/>
      <c r="BU361" s="267"/>
      <c r="BY361" s="267"/>
      <c r="CC361" s="267"/>
      <c r="CG361" s="267"/>
      <c r="CS361" s="267"/>
      <c r="CW361" s="270"/>
      <c r="CX361" s="267"/>
      <c r="DC361" s="267"/>
      <c r="DH361" s="267"/>
      <c r="DM361" s="267"/>
      <c r="DR361" s="267"/>
      <c r="DW361" s="267"/>
      <c r="EB361" s="267"/>
      <c r="EG361" s="267"/>
      <c r="EL361" s="267"/>
      <c r="EQ361" s="267"/>
      <c r="EU361" s="270"/>
      <c r="EV361" s="267"/>
      <c r="FC361" s="267"/>
      <c r="FD361" s="267"/>
      <c r="FE361" s="267"/>
      <c r="FF361" s="267"/>
      <c r="FG361" s="267"/>
      <c r="FL361" s="267"/>
      <c r="FM361" s="267"/>
      <c r="FN361" s="267"/>
      <c r="FO361" s="267"/>
      <c r="FP361" s="267"/>
      <c r="FQ361" s="264"/>
      <c r="FR361" s="264"/>
      <c r="FS361" s="264"/>
      <c r="FT361" s="264"/>
      <c r="FU361" s="267"/>
      <c r="FV361" s="267"/>
      <c r="FW361" s="267"/>
      <c r="FX361" s="267"/>
      <c r="FY361" s="267"/>
      <c r="GD361" s="267"/>
      <c r="GE361" s="267"/>
      <c r="GF361" s="267"/>
      <c r="GG361" s="267"/>
      <c r="GH361" s="267"/>
      <c r="GI361" s="264"/>
      <c r="GJ361" s="264"/>
      <c r="GK361" s="264"/>
      <c r="GL361" s="264"/>
      <c r="HD361" s="267"/>
      <c r="HE361" s="267"/>
      <c r="HF361" s="267"/>
      <c r="HG361" s="267"/>
      <c r="HH361" s="267"/>
      <c r="HI361" s="267"/>
      <c r="HJ361" s="267"/>
      <c r="HK361" s="267"/>
      <c r="HL361" s="267"/>
      <c r="HM361" s="267"/>
      <c r="HN361" s="267"/>
      <c r="HO361" s="267"/>
      <c r="HP361" s="267"/>
      <c r="HQ361" s="267"/>
      <c r="HR361" s="267"/>
      <c r="HS361" s="267"/>
      <c r="HT361" s="267"/>
      <c r="HU361" s="267"/>
      <c r="IH361" s="267"/>
      <c r="IK361" s="267"/>
      <c r="IN361" s="267"/>
      <c r="IQ361" s="267"/>
      <c r="IR361" s="267"/>
      <c r="IS361" s="267"/>
      <c r="IV361" s="267"/>
      <c r="IY361" s="267"/>
    </row>
    <row r="362" spans="10:259">
      <c r="J362" s="267"/>
      <c r="K362" s="267"/>
      <c r="L362" s="267"/>
      <c r="M362" s="267"/>
      <c r="N362" s="267"/>
      <c r="O362" s="267"/>
      <c r="P362" s="267"/>
      <c r="Q362" s="267"/>
      <c r="S362" s="267"/>
      <c r="T362" s="267"/>
      <c r="U362" s="267"/>
      <c r="V362" s="267"/>
      <c r="W362" s="264"/>
      <c r="Y362" s="267"/>
      <c r="Z362" s="267"/>
      <c r="AA362" s="267"/>
      <c r="AB362" s="267"/>
      <c r="AE362" s="267"/>
      <c r="AF362" s="267"/>
      <c r="AG362" s="267"/>
      <c r="AH362" s="267"/>
      <c r="AK362" s="267"/>
      <c r="AL362" s="267"/>
      <c r="AM362" s="267"/>
      <c r="AN362" s="267"/>
      <c r="AQ362" s="267"/>
      <c r="AR362" s="267"/>
      <c r="AS362" s="267"/>
      <c r="AT362" s="267"/>
      <c r="AW362" s="267"/>
      <c r="AX362" s="267"/>
      <c r="AY362" s="267"/>
      <c r="AZ362" s="267"/>
      <c r="BG362" s="269"/>
      <c r="BM362" s="269"/>
      <c r="BS362" s="269"/>
      <c r="BU362" s="267"/>
      <c r="BY362" s="267"/>
      <c r="CC362" s="267"/>
      <c r="CG362" s="267"/>
      <c r="CS362" s="267"/>
      <c r="CW362" s="270"/>
      <c r="CX362" s="267"/>
      <c r="DC362" s="267"/>
      <c r="DH362" s="267"/>
      <c r="DM362" s="267"/>
      <c r="DR362" s="267"/>
      <c r="DW362" s="267"/>
      <c r="EB362" s="267"/>
      <c r="EG362" s="267"/>
      <c r="EL362" s="267"/>
      <c r="EQ362" s="267"/>
      <c r="EU362" s="270"/>
      <c r="EV362" s="267"/>
      <c r="FC362" s="267"/>
      <c r="FD362" s="267"/>
      <c r="FE362" s="267"/>
      <c r="FF362" s="267"/>
      <c r="FG362" s="267"/>
      <c r="FL362" s="267"/>
      <c r="FM362" s="267"/>
      <c r="FN362" s="267"/>
      <c r="FO362" s="267"/>
      <c r="FP362" s="267"/>
      <c r="FQ362" s="264"/>
      <c r="FR362" s="264"/>
      <c r="FS362" s="264"/>
      <c r="FT362" s="264"/>
      <c r="FU362" s="267"/>
      <c r="FV362" s="267"/>
      <c r="FW362" s="267"/>
      <c r="FX362" s="267"/>
      <c r="FY362" s="267"/>
      <c r="GD362" s="267"/>
      <c r="GE362" s="267"/>
      <c r="GF362" s="267"/>
      <c r="GG362" s="267"/>
      <c r="GH362" s="267"/>
      <c r="GI362" s="264"/>
      <c r="GJ362" s="264"/>
      <c r="GK362" s="264"/>
      <c r="GL362" s="264"/>
      <c r="HD362" s="267"/>
      <c r="HE362" s="267"/>
      <c r="HF362" s="267"/>
      <c r="HG362" s="267"/>
      <c r="HH362" s="267"/>
      <c r="HI362" s="267"/>
      <c r="HJ362" s="267"/>
      <c r="HK362" s="267"/>
      <c r="HL362" s="267"/>
      <c r="HM362" s="267"/>
      <c r="HN362" s="267"/>
      <c r="HO362" s="267"/>
      <c r="HP362" s="267"/>
      <c r="HQ362" s="267"/>
      <c r="HR362" s="267"/>
      <c r="HS362" s="267"/>
      <c r="HT362" s="267"/>
      <c r="HU362" s="267"/>
      <c r="IH362" s="267"/>
      <c r="IK362" s="267"/>
      <c r="IN362" s="267"/>
      <c r="IQ362" s="267"/>
      <c r="IR362" s="267"/>
      <c r="IS362" s="267"/>
      <c r="IV362" s="267"/>
      <c r="IY362" s="267"/>
    </row>
    <row r="363" spans="10:259">
      <c r="J363" s="267"/>
      <c r="K363" s="267"/>
      <c r="L363" s="267"/>
      <c r="M363" s="267"/>
      <c r="N363" s="267"/>
      <c r="O363" s="267"/>
      <c r="P363" s="267"/>
      <c r="Q363" s="267"/>
      <c r="S363" s="267"/>
      <c r="T363" s="267"/>
      <c r="U363" s="267"/>
      <c r="V363" s="267"/>
      <c r="W363" s="264"/>
      <c r="Y363" s="267"/>
      <c r="Z363" s="267"/>
      <c r="AA363" s="267"/>
      <c r="AB363" s="267"/>
      <c r="AE363" s="267"/>
      <c r="AF363" s="267"/>
      <c r="AG363" s="267"/>
      <c r="AH363" s="267"/>
      <c r="AK363" s="267"/>
      <c r="AL363" s="267"/>
      <c r="AM363" s="267"/>
      <c r="AN363" s="267"/>
      <c r="AQ363" s="267"/>
      <c r="AR363" s="267"/>
      <c r="AS363" s="267"/>
      <c r="AT363" s="267"/>
      <c r="AW363" s="267"/>
      <c r="AX363" s="267"/>
      <c r="AY363" s="267"/>
      <c r="AZ363" s="267"/>
      <c r="BG363" s="269"/>
      <c r="BM363" s="269"/>
      <c r="BS363" s="269"/>
      <c r="BU363" s="267"/>
      <c r="BY363" s="267"/>
      <c r="CC363" s="267"/>
      <c r="CG363" s="267"/>
      <c r="CS363" s="267"/>
      <c r="CW363" s="270"/>
      <c r="CX363" s="267"/>
      <c r="DC363" s="267"/>
      <c r="DH363" s="267"/>
      <c r="DM363" s="267"/>
      <c r="DR363" s="267"/>
      <c r="DW363" s="267"/>
      <c r="EB363" s="267"/>
      <c r="EG363" s="267"/>
      <c r="EL363" s="267"/>
      <c r="EQ363" s="267"/>
      <c r="EU363" s="270"/>
      <c r="EV363" s="267"/>
      <c r="FC363" s="267"/>
      <c r="FD363" s="267"/>
      <c r="FE363" s="267"/>
      <c r="FF363" s="267"/>
      <c r="FG363" s="267"/>
      <c r="FL363" s="267"/>
      <c r="FM363" s="267"/>
      <c r="FN363" s="267"/>
      <c r="FO363" s="267"/>
      <c r="FP363" s="267"/>
      <c r="FQ363" s="264"/>
      <c r="FR363" s="264"/>
      <c r="FS363" s="264"/>
      <c r="FT363" s="264"/>
      <c r="FU363" s="267"/>
      <c r="FV363" s="267"/>
      <c r="FW363" s="267"/>
      <c r="FX363" s="267"/>
      <c r="FY363" s="267"/>
      <c r="GD363" s="267"/>
      <c r="GE363" s="267"/>
      <c r="GF363" s="267"/>
      <c r="GG363" s="267"/>
      <c r="GH363" s="267"/>
      <c r="GI363" s="264"/>
      <c r="GJ363" s="264"/>
      <c r="GK363" s="264"/>
      <c r="GL363" s="264"/>
      <c r="HD363" s="267"/>
      <c r="HE363" s="267"/>
      <c r="HF363" s="267"/>
      <c r="HG363" s="267"/>
      <c r="HH363" s="267"/>
      <c r="HI363" s="267"/>
      <c r="HJ363" s="267"/>
      <c r="HK363" s="267"/>
      <c r="HL363" s="267"/>
      <c r="HM363" s="267"/>
      <c r="HN363" s="267"/>
      <c r="HO363" s="267"/>
      <c r="HP363" s="267"/>
      <c r="HQ363" s="267"/>
      <c r="HR363" s="267"/>
      <c r="HS363" s="267"/>
      <c r="HT363" s="267"/>
      <c r="HU363" s="267"/>
      <c r="IH363" s="267"/>
      <c r="IK363" s="267"/>
      <c r="IN363" s="267"/>
      <c r="IQ363" s="267"/>
      <c r="IR363" s="267"/>
      <c r="IS363" s="267"/>
      <c r="IV363" s="267"/>
      <c r="IY363" s="267"/>
    </row>
    <row r="364" spans="10:259">
      <c r="J364" s="267"/>
      <c r="K364" s="267"/>
      <c r="L364" s="267"/>
      <c r="M364" s="267"/>
      <c r="N364" s="267"/>
      <c r="O364" s="267"/>
      <c r="P364" s="267"/>
      <c r="Q364" s="267"/>
      <c r="S364" s="267"/>
      <c r="T364" s="267"/>
      <c r="U364" s="267"/>
      <c r="V364" s="267"/>
      <c r="W364" s="264"/>
      <c r="Y364" s="267"/>
      <c r="Z364" s="267"/>
      <c r="AA364" s="267"/>
      <c r="AB364" s="267"/>
      <c r="AE364" s="267"/>
      <c r="AF364" s="267"/>
      <c r="AG364" s="267"/>
      <c r="AH364" s="267"/>
      <c r="AK364" s="267"/>
      <c r="AL364" s="267"/>
      <c r="AM364" s="267"/>
      <c r="AN364" s="267"/>
      <c r="AQ364" s="267"/>
      <c r="AR364" s="267"/>
      <c r="AS364" s="267"/>
      <c r="AT364" s="267"/>
      <c r="AW364" s="267"/>
      <c r="AX364" s="267"/>
      <c r="AY364" s="267"/>
      <c r="AZ364" s="267"/>
      <c r="BG364" s="269"/>
      <c r="BM364" s="269"/>
      <c r="BS364" s="269"/>
      <c r="BU364" s="267"/>
      <c r="BY364" s="267"/>
      <c r="CC364" s="267"/>
      <c r="CG364" s="267"/>
      <c r="CS364" s="267"/>
      <c r="CW364" s="270"/>
      <c r="CX364" s="267"/>
      <c r="DC364" s="267"/>
      <c r="DH364" s="267"/>
      <c r="DM364" s="267"/>
      <c r="DR364" s="267"/>
      <c r="DW364" s="267"/>
      <c r="EB364" s="267"/>
      <c r="EG364" s="267"/>
      <c r="EL364" s="267"/>
      <c r="EQ364" s="267"/>
      <c r="EU364" s="270"/>
      <c r="EV364" s="267"/>
      <c r="FC364" s="267"/>
      <c r="FD364" s="267"/>
      <c r="FE364" s="267"/>
      <c r="FF364" s="267"/>
      <c r="FG364" s="267"/>
      <c r="FL364" s="267"/>
      <c r="FM364" s="267"/>
      <c r="FN364" s="267"/>
      <c r="FO364" s="267"/>
      <c r="FP364" s="267"/>
      <c r="FQ364" s="264"/>
      <c r="FR364" s="264"/>
      <c r="FS364" s="264"/>
      <c r="FT364" s="264"/>
      <c r="FU364" s="267"/>
      <c r="FV364" s="267"/>
      <c r="FW364" s="267"/>
      <c r="FX364" s="267"/>
      <c r="FY364" s="267"/>
      <c r="GD364" s="267"/>
      <c r="GE364" s="267"/>
      <c r="GF364" s="267"/>
      <c r="GG364" s="267"/>
      <c r="GH364" s="267"/>
      <c r="GI364" s="264"/>
      <c r="GJ364" s="264"/>
      <c r="GK364" s="264"/>
      <c r="GL364" s="264"/>
      <c r="HD364" s="267"/>
      <c r="HE364" s="267"/>
      <c r="HF364" s="267"/>
      <c r="HG364" s="267"/>
      <c r="HH364" s="267"/>
      <c r="HI364" s="267"/>
      <c r="HJ364" s="267"/>
      <c r="HK364" s="267"/>
      <c r="HL364" s="267"/>
      <c r="HM364" s="267"/>
      <c r="HN364" s="267"/>
      <c r="HO364" s="267"/>
      <c r="HP364" s="267"/>
      <c r="HQ364" s="267"/>
      <c r="HR364" s="267"/>
      <c r="HS364" s="267"/>
      <c r="HT364" s="267"/>
      <c r="HU364" s="267"/>
      <c r="IH364" s="267"/>
      <c r="IK364" s="267"/>
      <c r="IN364" s="267"/>
      <c r="IQ364" s="267"/>
      <c r="IR364" s="267"/>
      <c r="IS364" s="267"/>
      <c r="IV364" s="267"/>
      <c r="IY364" s="267"/>
    </row>
    <row r="365" spans="10:259">
      <c r="J365" s="267"/>
      <c r="K365" s="267"/>
      <c r="L365" s="267"/>
      <c r="M365" s="267"/>
      <c r="N365" s="267"/>
      <c r="O365" s="267"/>
      <c r="P365" s="267"/>
      <c r="Q365" s="267"/>
      <c r="S365" s="267"/>
      <c r="T365" s="267"/>
      <c r="U365" s="267"/>
      <c r="V365" s="267"/>
      <c r="W365" s="264"/>
      <c r="Y365" s="267"/>
      <c r="Z365" s="267"/>
      <c r="AA365" s="267"/>
      <c r="AB365" s="267"/>
      <c r="AE365" s="267"/>
      <c r="AF365" s="267"/>
      <c r="AG365" s="267"/>
      <c r="AH365" s="267"/>
      <c r="AK365" s="267"/>
      <c r="AL365" s="267"/>
      <c r="AM365" s="267"/>
      <c r="AN365" s="267"/>
      <c r="AQ365" s="267"/>
      <c r="AR365" s="267"/>
      <c r="AS365" s="267"/>
      <c r="AT365" s="267"/>
      <c r="AW365" s="267"/>
      <c r="AX365" s="267"/>
      <c r="AY365" s="267"/>
      <c r="AZ365" s="267"/>
      <c r="BG365" s="269"/>
      <c r="BM365" s="269"/>
      <c r="BS365" s="269"/>
      <c r="BU365" s="267"/>
      <c r="BY365" s="267"/>
      <c r="CC365" s="267"/>
      <c r="CG365" s="267"/>
      <c r="CS365" s="267"/>
      <c r="CW365" s="270"/>
      <c r="CX365" s="267"/>
      <c r="DC365" s="267"/>
      <c r="DH365" s="267"/>
      <c r="DM365" s="267"/>
      <c r="DR365" s="267"/>
      <c r="DW365" s="267"/>
      <c r="EB365" s="267"/>
      <c r="EG365" s="267"/>
      <c r="EL365" s="267"/>
      <c r="EQ365" s="267"/>
      <c r="EU365" s="270"/>
      <c r="EV365" s="267"/>
      <c r="FC365" s="267"/>
      <c r="FD365" s="267"/>
      <c r="FE365" s="267"/>
      <c r="FF365" s="267"/>
      <c r="FG365" s="267"/>
      <c r="FL365" s="267"/>
      <c r="FM365" s="267"/>
      <c r="FN365" s="267"/>
      <c r="FO365" s="267"/>
      <c r="FP365" s="267"/>
      <c r="FQ365" s="264"/>
      <c r="FR365" s="264"/>
      <c r="FS365" s="264"/>
      <c r="FT365" s="264"/>
      <c r="FU365" s="267"/>
      <c r="FV365" s="267"/>
      <c r="FW365" s="267"/>
      <c r="FX365" s="267"/>
      <c r="FY365" s="267"/>
      <c r="GD365" s="267"/>
      <c r="GE365" s="267"/>
      <c r="GF365" s="267"/>
      <c r="GG365" s="267"/>
      <c r="GH365" s="267"/>
      <c r="GI365" s="264"/>
      <c r="GJ365" s="264"/>
      <c r="GK365" s="264"/>
      <c r="GL365" s="264"/>
      <c r="HD365" s="267"/>
      <c r="HE365" s="267"/>
      <c r="HF365" s="267"/>
      <c r="HG365" s="267"/>
      <c r="HH365" s="267"/>
      <c r="HI365" s="267"/>
      <c r="HJ365" s="267"/>
      <c r="HK365" s="267"/>
      <c r="HL365" s="267"/>
      <c r="HM365" s="267"/>
      <c r="HN365" s="267"/>
      <c r="HO365" s="267"/>
      <c r="HP365" s="267"/>
      <c r="HQ365" s="267"/>
      <c r="HR365" s="267"/>
      <c r="HS365" s="267"/>
      <c r="HT365" s="267"/>
      <c r="HU365" s="267"/>
      <c r="IH365" s="267"/>
      <c r="IK365" s="267"/>
      <c r="IN365" s="267"/>
      <c r="IQ365" s="267"/>
      <c r="IR365" s="267"/>
      <c r="IS365" s="267"/>
      <c r="IV365" s="267"/>
      <c r="IY365" s="267"/>
    </row>
    <row r="366" spans="10:259">
      <c r="J366" s="267"/>
      <c r="K366" s="267"/>
      <c r="L366" s="267"/>
      <c r="M366" s="267"/>
      <c r="N366" s="267"/>
      <c r="O366" s="267"/>
      <c r="P366" s="267"/>
      <c r="Q366" s="267"/>
      <c r="S366" s="267"/>
      <c r="T366" s="267"/>
      <c r="U366" s="267"/>
      <c r="V366" s="267"/>
      <c r="W366" s="264"/>
      <c r="Y366" s="267"/>
      <c r="Z366" s="267"/>
      <c r="AA366" s="267"/>
      <c r="AB366" s="267"/>
      <c r="AE366" s="267"/>
      <c r="AF366" s="267"/>
      <c r="AG366" s="267"/>
      <c r="AH366" s="267"/>
      <c r="AK366" s="267"/>
      <c r="AL366" s="267"/>
      <c r="AM366" s="267"/>
      <c r="AN366" s="267"/>
      <c r="AQ366" s="267"/>
      <c r="AR366" s="267"/>
      <c r="AS366" s="267"/>
      <c r="AT366" s="267"/>
      <c r="AW366" s="267"/>
      <c r="AX366" s="267"/>
      <c r="AY366" s="267"/>
      <c r="AZ366" s="267"/>
      <c r="BG366" s="269"/>
      <c r="BM366" s="269"/>
      <c r="BS366" s="269"/>
      <c r="BU366" s="267"/>
      <c r="BY366" s="267"/>
      <c r="CC366" s="267"/>
      <c r="CG366" s="267"/>
      <c r="CS366" s="267"/>
      <c r="CW366" s="270"/>
      <c r="CX366" s="267"/>
      <c r="DC366" s="267"/>
      <c r="DH366" s="267"/>
      <c r="DM366" s="267"/>
      <c r="DR366" s="267"/>
      <c r="DW366" s="267"/>
      <c r="EB366" s="267"/>
      <c r="EG366" s="267"/>
      <c r="EL366" s="267"/>
      <c r="EQ366" s="267"/>
      <c r="EU366" s="270"/>
      <c r="EV366" s="267"/>
      <c r="FC366" s="267"/>
      <c r="FD366" s="267"/>
      <c r="FE366" s="267"/>
      <c r="FF366" s="267"/>
      <c r="FG366" s="267"/>
      <c r="FL366" s="267"/>
      <c r="FM366" s="267"/>
      <c r="FN366" s="267"/>
      <c r="FO366" s="267"/>
      <c r="FP366" s="267"/>
      <c r="FQ366" s="264"/>
      <c r="FR366" s="264"/>
      <c r="FS366" s="264"/>
      <c r="FT366" s="264"/>
      <c r="FU366" s="267"/>
      <c r="FV366" s="267"/>
      <c r="FW366" s="267"/>
      <c r="FX366" s="267"/>
      <c r="FY366" s="267"/>
      <c r="GD366" s="267"/>
      <c r="GE366" s="267"/>
      <c r="GF366" s="267"/>
      <c r="GG366" s="267"/>
      <c r="GH366" s="267"/>
      <c r="GI366" s="264"/>
      <c r="GJ366" s="264"/>
      <c r="GK366" s="264"/>
      <c r="GL366" s="264"/>
      <c r="HD366" s="267"/>
      <c r="HE366" s="267"/>
      <c r="HF366" s="267"/>
      <c r="HG366" s="267"/>
      <c r="HH366" s="267"/>
      <c r="HI366" s="267"/>
      <c r="HJ366" s="267"/>
      <c r="HK366" s="267"/>
      <c r="HL366" s="267"/>
      <c r="HM366" s="267"/>
      <c r="HN366" s="267"/>
      <c r="HO366" s="267"/>
      <c r="HP366" s="267"/>
      <c r="HQ366" s="267"/>
      <c r="HR366" s="267"/>
      <c r="HS366" s="267"/>
      <c r="HT366" s="267"/>
      <c r="HU366" s="267"/>
      <c r="IH366" s="267"/>
      <c r="IK366" s="267"/>
      <c r="IN366" s="267"/>
      <c r="IQ366" s="267"/>
      <c r="IR366" s="267"/>
      <c r="IS366" s="267"/>
      <c r="IV366" s="267"/>
      <c r="IY366" s="267"/>
    </row>
    <row r="367" spans="10:259">
      <c r="J367" s="267"/>
      <c r="K367" s="267"/>
      <c r="L367" s="267"/>
      <c r="M367" s="267"/>
      <c r="N367" s="267"/>
      <c r="O367" s="267"/>
      <c r="P367" s="267"/>
      <c r="Q367" s="267"/>
      <c r="S367" s="267"/>
      <c r="T367" s="267"/>
      <c r="U367" s="267"/>
      <c r="V367" s="267"/>
      <c r="W367" s="264"/>
      <c r="Y367" s="267"/>
      <c r="Z367" s="267"/>
      <c r="AA367" s="267"/>
      <c r="AB367" s="267"/>
      <c r="AE367" s="267"/>
      <c r="AF367" s="267"/>
      <c r="AG367" s="267"/>
      <c r="AH367" s="267"/>
      <c r="AK367" s="267"/>
      <c r="AL367" s="267"/>
      <c r="AM367" s="267"/>
      <c r="AN367" s="267"/>
      <c r="AQ367" s="267"/>
      <c r="AR367" s="267"/>
      <c r="AS367" s="267"/>
      <c r="AT367" s="267"/>
      <c r="AW367" s="267"/>
      <c r="AX367" s="267"/>
      <c r="AY367" s="267"/>
      <c r="AZ367" s="267"/>
      <c r="BG367" s="269"/>
      <c r="BM367" s="269"/>
      <c r="BS367" s="269"/>
      <c r="BU367" s="267"/>
      <c r="BY367" s="267"/>
      <c r="CC367" s="267"/>
      <c r="CG367" s="267"/>
      <c r="CS367" s="267"/>
      <c r="CW367" s="270"/>
      <c r="CX367" s="267"/>
      <c r="DC367" s="267"/>
      <c r="DH367" s="267"/>
      <c r="DM367" s="267"/>
      <c r="DR367" s="267"/>
      <c r="DW367" s="267"/>
      <c r="EB367" s="267"/>
      <c r="EG367" s="267"/>
      <c r="EL367" s="267"/>
      <c r="EQ367" s="267"/>
      <c r="EU367" s="270"/>
      <c r="EV367" s="267"/>
      <c r="FC367" s="267"/>
      <c r="FD367" s="267"/>
      <c r="FE367" s="267"/>
      <c r="FF367" s="267"/>
      <c r="FG367" s="267"/>
      <c r="FL367" s="267"/>
      <c r="FM367" s="267"/>
      <c r="FN367" s="267"/>
      <c r="FO367" s="267"/>
      <c r="FP367" s="267"/>
      <c r="FQ367" s="264"/>
      <c r="FR367" s="264"/>
      <c r="FS367" s="264"/>
      <c r="FT367" s="264"/>
      <c r="FU367" s="267"/>
      <c r="FV367" s="267"/>
      <c r="FW367" s="267"/>
      <c r="FX367" s="267"/>
      <c r="FY367" s="267"/>
      <c r="GD367" s="267"/>
      <c r="GE367" s="267"/>
      <c r="GF367" s="267"/>
      <c r="GG367" s="267"/>
      <c r="GH367" s="267"/>
      <c r="GI367" s="264"/>
      <c r="GJ367" s="264"/>
      <c r="GK367" s="264"/>
      <c r="GL367" s="264"/>
      <c r="HD367" s="267"/>
      <c r="HE367" s="267"/>
      <c r="HF367" s="267"/>
      <c r="HG367" s="267"/>
      <c r="HH367" s="267"/>
      <c r="HI367" s="267"/>
      <c r="HJ367" s="267"/>
      <c r="HK367" s="267"/>
      <c r="HL367" s="267"/>
      <c r="HM367" s="267"/>
      <c r="HN367" s="267"/>
      <c r="HO367" s="267"/>
      <c r="HP367" s="267"/>
      <c r="HQ367" s="267"/>
      <c r="HR367" s="267"/>
      <c r="HS367" s="267"/>
      <c r="HT367" s="267"/>
      <c r="HU367" s="267"/>
      <c r="IH367" s="267"/>
      <c r="IK367" s="267"/>
      <c r="IN367" s="267"/>
      <c r="IQ367" s="267"/>
      <c r="IR367" s="267"/>
      <c r="IS367" s="267"/>
      <c r="IV367" s="267"/>
      <c r="IY367" s="267"/>
    </row>
    <row r="368" spans="10:259">
      <c r="J368" s="267"/>
      <c r="K368" s="267"/>
      <c r="L368" s="267"/>
      <c r="M368" s="267"/>
      <c r="N368" s="267"/>
      <c r="O368" s="267"/>
      <c r="P368" s="267"/>
      <c r="Q368" s="267"/>
      <c r="S368" s="267"/>
      <c r="T368" s="267"/>
      <c r="U368" s="267"/>
      <c r="V368" s="267"/>
      <c r="W368" s="264"/>
      <c r="Y368" s="267"/>
      <c r="Z368" s="267"/>
      <c r="AA368" s="267"/>
      <c r="AB368" s="267"/>
      <c r="AE368" s="267"/>
      <c r="AF368" s="267"/>
      <c r="AG368" s="267"/>
      <c r="AH368" s="267"/>
      <c r="AK368" s="267"/>
      <c r="AL368" s="267"/>
      <c r="AM368" s="267"/>
      <c r="AN368" s="267"/>
      <c r="AQ368" s="267"/>
      <c r="AR368" s="267"/>
      <c r="AS368" s="267"/>
      <c r="AT368" s="267"/>
      <c r="AW368" s="267"/>
      <c r="AX368" s="267"/>
      <c r="AY368" s="267"/>
      <c r="AZ368" s="267"/>
      <c r="BG368" s="269"/>
      <c r="BM368" s="269"/>
      <c r="BS368" s="269"/>
      <c r="BU368" s="267"/>
      <c r="BY368" s="267"/>
      <c r="CC368" s="267"/>
      <c r="CG368" s="267"/>
      <c r="CS368" s="267"/>
      <c r="CW368" s="270"/>
      <c r="CX368" s="267"/>
      <c r="DC368" s="267"/>
      <c r="DH368" s="267"/>
      <c r="DM368" s="267"/>
      <c r="DR368" s="267"/>
      <c r="DW368" s="267"/>
      <c r="EB368" s="267"/>
      <c r="EG368" s="267"/>
      <c r="EL368" s="267"/>
      <c r="EQ368" s="267"/>
      <c r="EU368" s="270"/>
      <c r="EV368" s="267"/>
      <c r="FC368" s="267"/>
      <c r="FD368" s="267"/>
      <c r="FE368" s="267"/>
      <c r="FF368" s="267"/>
      <c r="FG368" s="267"/>
      <c r="FL368" s="267"/>
      <c r="FM368" s="267"/>
      <c r="FN368" s="267"/>
      <c r="FO368" s="267"/>
      <c r="FP368" s="267"/>
      <c r="FQ368" s="264"/>
      <c r="FR368" s="264"/>
      <c r="FS368" s="264"/>
      <c r="FT368" s="264"/>
      <c r="FU368" s="267"/>
      <c r="FV368" s="267"/>
      <c r="FW368" s="267"/>
      <c r="FX368" s="267"/>
      <c r="FY368" s="267"/>
      <c r="GD368" s="267"/>
      <c r="GE368" s="267"/>
      <c r="GF368" s="267"/>
      <c r="GG368" s="267"/>
      <c r="GH368" s="267"/>
      <c r="GI368" s="264"/>
      <c r="GJ368" s="264"/>
      <c r="GK368" s="264"/>
      <c r="GL368" s="264"/>
      <c r="HD368" s="267"/>
      <c r="HE368" s="267"/>
      <c r="HF368" s="267"/>
      <c r="HG368" s="267"/>
      <c r="HH368" s="267"/>
      <c r="HI368" s="267"/>
      <c r="HJ368" s="267"/>
      <c r="HK368" s="267"/>
      <c r="HL368" s="267"/>
      <c r="HM368" s="267"/>
      <c r="HN368" s="267"/>
      <c r="HO368" s="267"/>
      <c r="HP368" s="267"/>
      <c r="HQ368" s="267"/>
      <c r="HR368" s="267"/>
      <c r="HS368" s="267"/>
      <c r="HT368" s="267"/>
      <c r="HU368" s="267"/>
      <c r="IH368" s="267"/>
      <c r="IK368" s="267"/>
      <c r="IN368" s="267"/>
      <c r="IQ368" s="267"/>
      <c r="IR368" s="267"/>
      <c r="IS368" s="267"/>
      <c r="IV368" s="267"/>
      <c r="IY368" s="267"/>
    </row>
    <row r="369" spans="10:259">
      <c r="J369" s="267"/>
      <c r="K369" s="267"/>
      <c r="L369" s="267"/>
      <c r="M369" s="267"/>
      <c r="N369" s="267"/>
      <c r="O369" s="267"/>
      <c r="P369" s="267"/>
      <c r="Q369" s="267"/>
      <c r="S369" s="267"/>
      <c r="T369" s="267"/>
      <c r="U369" s="267"/>
      <c r="V369" s="267"/>
      <c r="W369" s="264"/>
      <c r="Y369" s="267"/>
      <c r="Z369" s="267"/>
      <c r="AA369" s="267"/>
      <c r="AB369" s="267"/>
      <c r="AE369" s="267"/>
      <c r="AF369" s="267"/>
      <c r="AG369" s="267"/>
      <c r="AH369" s="267"/>
      <c r="AK369" s="267"/>
      <c r="AL369" s="267"/>
      <c r="AM369" s="267"/>
      <c r="AN369" s="267"/>
      <c r="AQ369" s="267"/>
      <c r="AR369" s="267"/>
      <c r="AS369" s="267"/>
      <c r="AT369" s="267"/>
      <c r="AW369" s="267"/>
      <c r="AX369" s="267"/>
      <c r="AY369" s="267"/>
      <c r="AZ369" s="267"/>
      <c r="BG369" s="269"/>
      <c r="BM369" s="269"/>
      <c r="BS369" s="269"/>
      <c r="BU369" s="267"/>
      <c r="BY369" s="267"/>
      <c r="CC369" s="267"/>
      <c r="CG369" s="267"/>
      <c r="CS369" s="267"/>
      <c r="CW369" s="270"/>
      <c r="CX369" s="267"/>
      <c r="DC369" s="267"/>
      <c r="DH369" s="267"/>
      <c r="DM369" s="267"/>
      <c r="DR369" s="267"/>
      <c r="DW369" s="267"/>
      <c r="EB369" s="267"/>
      <c r="EG369" s="267"/>
      <c r="EL369" s="267"/>
      <c r="EQ369" s="267"/>
      <c r="EU369" s="270"/>
      <c r="EV369" s="267"/>
      <c r="FC369" s="267"/>
      <c r="FD369" s="267"/>
      <c r="FE369" s="267"/>
      <c r="FF369" s="267"/>
      <c r="FG369" s="267"/>
      <c r="FL369" s="267"/>
      <c r="FM369" s="267"/>
      <c r="FN369" s="267"/>
      <c r="FO369" s="267"/>
      <c r="FP369" s="267"/>
      <c r="FQ369" s="264"/>
      <c r="FR369" s="264"/>
      <c r="FS369" s="264"/>
      <c r="FT369" s="264"/>
      <c r="FU369" s="267"/>
      <c r="FV369" s="267"/>
      <c r="FW369" s="267"/>
      <c r="FX369" s="267"/>
      <c r="FY369" s="267"/>
      <c r="GD369" s="267"/>
      <c r="GE369" s="267"/>
      <c r="GF369" s="267"/>
      <c r="GG369" s="267"/>
      <c r="GH369" s="267"/>
      <c r="GI369" s="264"/>
      <c r="GJ369" s="264"/>
      <c r="GK369" s="264"/>
      <c r="GL369" s="264"/>
      <c r="HD369" s="267"/>
      <c r="HE369" s="267"/>
      <c r="HF369" s="267"/>
      <c r="HG369" s="267"/>
      <c r="HH369" s="267"/>
      <c r="HI369" s="267"/>
      <c r="HJ369" s="267"/>
      <c r="HK369" s="267"/>
      <c r="HL369" s="267"/>
      <c r="HM369" s="267"/>
      <c r="HN369" s="267"/>
      <c r="HO369" s="267"/>
      <c r="HP369" s="267"/>
      <c r="HQ369" s="267"/>
      <c r="HR369" s="267"/>
      <c r="HS369" s="267"/>
      <c r="HT369" s="267"/>
      <c r="HU369" s="267"/>
      <c r="IH369" s="267"/>
      <c r="IK369" s="267"/>
      <c r="IN369" s="267"/>
      <c r="IQ369" s="267"/>
      <c r="IR369" s="267"/>
      <c r="IS369" s="267"/>
      <c r="IV369" s="267"/>
      <c r="IY369" s="267"/>
    </row>
    <row r="370" spans="10:259">
      <c r="J370" s="267"/>
      <c r="K370" s="267"/>
      <c r="L370" s="267"/>
      <c r="M370" s="267"/>
      <c r="N370" s="267"/>
      <c r="O370" s="267"/>
      <c r="P370" s="267"/>
      <c r="Q370" s="267"/>
      <c r="S370" s="267"/>
      <c r="T370" s="267"/>
      <c r="U370" s="267"/>
      <c r="V370" s="267"/>
      <c r="W370" s="264"/>
      <c r="Y370" s="267"/>
      <c r="Z370" s="267"/>
      <c r="AA370" s="267"/>
      <c r="AB370" s="267"/>
      <c r="AE370" s="267"/>
      <c r="AF370" s="267"/>
      <c r="AG370" s="267"/>
      <c r="AH370" s="267"/>
      <c r="AK370" s="267"/>
      <c r="AL370" s="267"/>
      <c r="AM370" s="267"/>
      <c r="AN370" s="267"/>
      <c r="AQ370" s="267"/>
      <c r="AR370" s="267"/>
      <c r="AS370" s="267"/>
      <c r="AT370" s="267"/>
      <c r="AW370" s="267"/>
      <c r="AX370" s="267"/>
      <c r="AY370" s="267"/>
      <c r="AZ370" s="267"/>
      <c r="BG370" s="269"/>
      <c r="BM370" s="269"/>
      <c r="BS370" s="269"/>
      <c r="BU370" s="267"/>
      <c r="BY370" s="267"/>
      <c r="CC370" s="267"/>
      <c r="CG370" s="267"/>
      <c r="CS370" s="267"/>
      <c r="CW370" s="270"/>
      <c r="CX370" s="267"/>
      <c r="DC370" s="267"/>
      <c r="DH370" s="267"/>
      <c r="DM370" s="267"/>
      <c r="DR370" s="267"/>
      <c r="DW370" s="267"/>
      <c r="EB370" s="267"/>
      <c r="EG370" s="267"/>
      <c r="EL370" s="267"/>
      <c r="EQ370" s="267"/>
      <c r="EU370" s="270"/>
      <c r="EV370" s="267"/>
      <c r="FC370" s="267"/>
      <c r="FD370" s="267"/>
      <c r="FE370" s="267"/>
      <c r="FF370" s="267"/>
      <c r="FG370" s="267"/>
      <c r="FL370" s="267"/>
      <c r="FM370" s="267"/>
      <c r="FN370" s="267"/>
      <c r="FO370" s="267"/>
      <c r="FP370" s="267"/>
      <c r="FQ370" s="264"/>
      <c r="FR370" s="264"/>
      <c r="FS370" s="264"/>
      <c r="FT370" s="264"/>
      <c r="FU370" s="267"/>
      <c r="FV370" s="267"/>
      <c r="FW370" s="267"/>
      <c r="FX370" s="267"/>
      <c r="FY370" s="267"/>
      <c r="GD370" s="267"/>
      <c r="GE370" s="267"/>
      <c r="GF370" s="267"/>
      <c r="GG370" s="267"/>
      <c r="GH370" s="267"/>
      <c r="GI370" s="264"/>
      <c r="GJ370" s="264"/>
      <c r="GK370" s="264"/>
      <c r="GL370" s="264"/>
      <c r="HD370" s="267"/>
      <c r="HE370" s="267"/>
      <c r="HF370" s="267"/>
      <c r="HG370" s="267"/>
      <c r="HH370" s="267"/>
      <c r="HI370" s="267"/>
      <c r="HJ370" s="267"/>
      <c r="HK370" s="267"/>
      <c r="HL370" s="267"/>
      <c r="HM370" s="267"/>
      <c r="HN370" s="267"/>
      <c r="HO370" s="267"/>
      <c r="HP370" s="267"/>
      <c r="HQ370" s="267"/>
      <c r="HR370" s="267"/>
      <c r="HS370" s="267"/>
      <c r="HT370" s="267"/>
      <c r="HU370" s="267"/>
      <c r="IH370" s="267"/>
      <c r="IK370" s="267"/>
      <c r="IN370" s="267"/>
      <c r="IQ370" s="267"/>
      <c r="IR370" s="267"/>
      <c r="IS370" s="267"/>
      <c r="IV370" s="267"/>
      <c r="IY370" s="267"/>
    </row>
    <row r="371" spans="10:259">
      <c r="J371" s="267"/>
      <c r="K371" s="267"/>
      <c r="L371" s="267"/>
      <c r="M371" s="267"/>
      <c r="N371" s="267"/>
      <c r="O371" s="267"/>
      <c r="P371" s="267"/>
      <c r="Q371" s="267"/>
      <c r="S371" s="267"/>
      <c r="T371" s="267"/>
      <c r="U371" s="267"/>
      <c r="V371" s="267"/>
      <c r="W371" s="264"/>
      <c r="Y371" s="267"/>
      <c r="Z371" s="267"/>
      <c r="AA371" s="267"/>
      <c r="AB371" s="267"/>
      <c r="AE371" s="267"/>
      <c r="AF371" s="267"/>
      <c r="AG371" s="267"/>
      <c r="AH371" s="267"/>
      <c r="AK371" s="267"/>
      <c r="AL371" s="267"/>
      <c r="AM371" s="267"/>
      <c r="AN371" s="267"/>
      <c r="AQ371" s="267"/>
      <c r="AR371" s="267"/>
      <c r="AS371" s="267"/>
      <c r="AT371" s="267"/>
      <c r="AW371" s="267"/>
      <c r="AX371" s="267"/>
      <c r="AY371" s="267"/>
      <c r="AZ371" s="267"/>
      <c r="BG371" s="269"/>
      <c r="BM371" s="269"/>
      <c r="BS371" s="269"/>
      <c r="BU371" s="267"/>
      <c r="BY371" s="267"/>
      <c r="CC371" s="267"/>
      <c r="CG371" s="267"/>
      <c r="CS371" s="267"/>
      <c r="CW371" s="270"/>
      <c r="CX371" s="267"/>
      <c r="DC371" s="267"/>
      <c r="DH371" s="267"/>
      <c r="DM371" s="267"/>
      <c r="DR371" s="267"/>
      <c r="DW371" s="267"/>
      <c r="EB371" s="267"/>
      <c r="EG371" s="267"/>
      <c r="EL371" s="267"/>
      <c r="EQ371" s="267"/>
      <c r="EU371" s="270"/>
      <c r="EV371" s="267"/>
      <c r="FC371" s="267"/>
      <c r="FD371" s="267"/>
      <c r="FE371" s="267"/>
      <c r="FF371" s="267"/>
      <c r="FG371" s="267"/>
      <c r="FL371" s="267"/>
      <c r="FM371" s="267"/>
      <c r="FN371" s="267"/>
      <c r="FO371" s="267"/>
      <c r="FP371" s="267"/>
      <c r="FQ371" s="264"/>
      <c r="FR371" s="264"/>
      <c r="FS371" s="264"/>
      <c r="FT371" s="264"/>
      <c r="FU371" s="267"/>
      <c r="FV371" s="267"/>
      <c r="FW371" s="267"/>
      <c r="FX371" s="267"/>
      <c r="FY371" s="267"/>
      <c r="GD371" s="267"/>
      <c r="GE371" s="267"/>
      <c r="GF371" s="267"/>
      <c r="GG371" s="267"/>
      <c r="GH371" s="267"/>
      <c r="GI371" s="264"/>
      <c r="GJ371" s="264"/>
      <c r="GK371" s="264"/>
      <c r="GL371" s="264"/>
      <c r="HD371" s="267"/>
      <c r="HE371" s="267"/>
      <c r="HF371" s="267"/>
      <c r="HG371" s="267"/>
      <c r="HH371" s="267"/>
      <c r="HI371" s="267"/>
      <c r="HJ371" s="267"/>
      <c r="HK371" s="267"/>
      <c r="HL371" s="267"/>
      <c r="HM371" s="267"/>
      <c r="HN371" s="267"/>
      <c r="HO371" s="267"/>
      <c r="HP371" s="267"/>
      <c r="HQ371" s="267"/>
      <c r="HR371" s="267"/>
      <c r="HS371" s="267"/>
      <c r="HT371" s="267"/>
      <c r="HU371" s="267"/>
      <c r="IH371" s="267"/>
      <c r="IK371" s="267"/>
      <c r="IN371" s="267"/>
      <c r="IQ371" s="267"/>
      <c r="IR371" s="267"/>
      <c r="IS371" s="267"/>
      <c r="IV371" s="267"/>
      <c r="IY371" s="267"/>
    </row>
    <row r="372" spans="10:259">
      <c r="J372" s="267"/>
      <c r="K372" s="267"/>
      <c r="L372" s="267"/>
      <c r="M372" s="267"/>
      <c r="N372" s="267"/>
      <c r="O372" s="267"/>
      <c r="P372" s="267"/>
      <c r="Q372" s="267"/>
      <c r="S372" s="267"/>
      <c r="T372" s="267"/>
      <c r="U372" s="267"/>
      <c r="V372" s="267"/>
      <c r="W372" s="264"/>
      <c r="Y372" s="267"/>
      <c r="Z372" s="267"/>
      <c r="AA372" s="267"/>
      <c r="AB372" s="267"/>
      <c r="AE372" s="267"/>
      <c r="AF372" s="267"/>
      <c r="AG372" s="267"/>
      <c r="AH372" s="267"/>
      <c r="AK372" s="267"/>
      <c r="AL372" s="267"/>
      <c r="AM372" s="267"/>
      <c r="AN372" s="267"/>
      <c r="AQ372" s="267"/>
      <c r="AR372" s="267"/>
      <c r="AS372" s="267"/>
      <c r="AT372" s="267"/>
      <c r="AW372" s="267"/>
      <c r="AX372" s="267"/>
      <c r="AY372" s="267"/>
      <c r="AZ372" s="267"/>
      <c r="BG372" s="269"/>
      <c r="BM372" s="269"/>
      <c r="BS372" s="269"/>
      <c r="BU372" s="267"/>
      <c r="BY372" s="267"/>
      <c r="CC372" s="267"/>
      <c r="CG372" s="267"/>
      <c r="CS372" s="267"/>
      <c r="CW372" s="270"/>
      <c r="CX372" s="267"/>
      <c r="DC372" s="267"/>
      <c r="DH372" s="267"/>
      <c r="DM372" s="267"/>
      <c r="DR372" s="267"/>
      <c r="DW372" s="267"/>
      <c r="EB372" s="267"/>
      <c r="EG372" s="267"/>
      <c r="EL372" s="267"/>
      <c r="EQ372" s="267"/>
      <c r="EU372" s="270"/>
      <c r="EV372" s="267"/>
      <c r="FC372" s="267"/>
      <c r="FD372" s="267"/>
      <c r="FE372" s="267"/>
      <c r="FF372" s="267"/>
      <c r="FG372" s="267"/>
      <c r="FL372" s="267"/>
      <c r="FM372" s="267"/>
      <c r="FN372" s="267"/>
      <c r="FO372" s="267"/>
      <c r="FP372" s="267"/>
      <c r="FQ372" s="264"/>
      <c r="FR372" s="264"/>
      <c r="FS372" s="264"/>
      <c r="FT372" s="264"/>
      <c r="FU372" s="267"/>
      <c r="FV372" s="267"/>
      <c r="FW372" s="267"/>
      <c r="FX372" s="267"/>
      <c r="FY372" s="267"/>
      <c r="GD372" s="267"/>
      <c r="GE372" s="267"/>
      <c r="GF372" s="267"/>
      <c r="GG372" s="267"/>
      <c r="GH372" s="267"/>
      <c r="GI372" s="264"/>
      <c r="GJ372" s="264"/>
      <c r="GK372" s="264"/>
      <c r="GL372" s="264"/>
      <c r="HD372" s="267"/>
      <c r="HE372" s="267"/>
      <c r="HF372" s="267"/>
      <c r="HG372" s="267"/>
      <c r="HH372" s="267"/>
      <c r="HI372" s="267"/>
      <c r="HJ372" s="267"/>
      <c r="HK372" s="267"/>
      <c r="HL372" s="267"/>
      <c r="HM372" s="267"/>
      <c r="HN372" s="267"/>
      <c r="HO372" s="267"/>
      <c r="HP372" s="267"/>
      <c r="HQ372" s="267"/>
      <c r="HR372" s="267"/>
      <c r="HS372" s="267"/>
      <c r="HT372" s="267"/>
      <c r="HU372" s="267"/>
      <c r="IH372" s="267"/>
      <c r="IK372" s="267"/>
      <c r="IN372" s="267"/>
      <c r="IQ372" s="267"/>
      <c r="IR372" s="267"/>
      <c r="IS372" s="267"/>
      <c r="IV372" s="267"/>
      <c r="IY372" s="267"/>
    </row>
    <row r="373" spans="10:259">
      <c r="J373" s="267"/>
      <c r="K373" s="267"/>
      <c r="L373" s="267"/>
      <c r="M373" s="267"/>
      <c r="N373" s="267"/>
      <c r="O373" s="267"/>
      <c r="P373" s="267"/>
      <c r="Q373" s="267"/>
      <c r="S373" s="267"/>
      <c r="T373" s="267"/>
      <c r="U373" s="267"/>
      <c r="V373" s="267"/>
      <c r="W373" s="264"/>
      <c r="Y373" s="267"/>
      <c r="Z373" s="267"/>
      <c r="AA373" s="267"/>
      <c r="AB373" s="267"/>
      <c r="AE373" s="267"/>
      <c r="AF373" s="267"/>
      <c r="AG373" s="267"/>
      <c r="AH373" s="267"/>
      <c r="AK373" s="267"/>
      <c r="AL373" s="267"/>
      <c r="AM373" s="267"/>
      <c r="AN373" s="267"/>
      <c r="AQ373" s="267"/>
      <c r="AR373" s="267"/>
      <c r="AS373" s="267"/>
      <c r="AT373" s="267"/>
      <c r="AW373" s="267"/>
      <c r="AX373" s="267"/>
      <c r="AY373" s="267"/>
      <c r="AZ373" s="267"/>
      <c r="BG373" s="269"/>
      <c r="BM373" s="269"/>
      <c r="BS373" s="269"/>
      <c r="BU373" s="267"/>
      <c r="BY373" s="267"/>
      <c r="CC373" s="267"/>
      <c r="CG373" s="267"/>
      <c r="CS373" s="267"/>
      <c r="CW373" s="270"/>
      <c r="CX373" s="267"/>
      <c r="DC373" s="267"/>
      <c r="DH373" s="267"/>
      <c r="DM373" s="267"/>
      <c r="DR373" s="267"/>
      <c r="DW373" s="267"/>
      <c r="EB373" s="267"/>
      <c r="EG373" s="267"/>
      <c r="EL373" s="267"/>
      <c r="EQ373" s="267"/>
      <c r="EU373" s="270"/>
      <c r="EV373" s="267"/>
      <c r="FC373" s="267"/>
      <c r="FD373" s="267"/>
      <c r="FE373" s="267"/>
      <c r="FF373" s="267"/>
      <c r="FG373" s="267"/>
      <c r="FL373" s="267"/>
      <c r="FM373" s="267"/>
      <c r="FN373" s="267"/>
      <c r="FO373" s="267"/>
      <c r="FP373" s="267"/>
      <c r="FQ373" s="264"/>
      <c r="FR373" s="264"/>
      <c r="FS373" s="264"/>
      <c r="FT373" s="264"/>
      <c r="FU373" s="267"/>
      <c r="FV373" s="267"/>
      <c r="FW373" s="267"/>
      <c r="FX373" s="267"/>
      <c r="FY373" s="267"/>
      <c r="GD373" s="267"/>
      <c r="GE373" s="267"/>
      <c r="GF373" s="267"/>
      <c r="GG373" s="267"/>
      <c r="GH373" s="267"/>
      <c r="GI373" s="264"/>
      <c r="GJ373" s="264"/>
      <c r="GK373" s="264"/>
      <c r="GL373" s="264"/>
      <c r="HD373" s="267"/>
      <c r="HE373" s="267"/>
      <c r="HF373" s="267"/>
      <c r="HG373" s="267"/>
      <c r="HH373" s="267"/>
      <c r="HI373" s="267"/>
      <c r="HJ373" s="267"/>
      <c r="HK373" s="267"/>
      <c r="HL373" s="267"/>
      <c r="HM373" s="267"/>
      <c r="HN373" s="267"/>
      <c r="HO373" s="267"/>
      <c r="HP373" s="267"/>
      <c r="HQ373" s="267"/>
      <c r="HR373" s="267"/>
      <c r="HS373" s="267"/>
      <c r="HT373" s="267"/>
      <c r="HU373" s="267"/>
      <c r="IH373" s="267"/>
      <c r="IK373" s="267"/>
      <c r="IN373" s="267"/>
      <c r="IQ373" s="267"/>
      <c r="IR373" s="267"/>
      <c r="IS373" s="267"/>
      <c r="IV373" s="267"/>
      <c r="IY373" s="267"/>
    </row>
    <row r="374" spans="10:259">
      <c r="J374" s="267"/>
      <c r="K374" s="267"/>
      <c r="L374" s="267"/>
      <c r="M374" s="267"/>
      <c r="N374" s="267"/>
      <c r="O374" s="267"/>
      <c r="P374" s="267"/>
      <c r="Q374" s="267"/>
      <c r="S374" s="267"/>
      <c r="T374" s="267"/>
      <c r="U374" s="267"/>
      <c r="V374" s="267"/>
      <c r="W374" s="264"/>
      <c r="Y374" s="267"/>
      <c r="Z374" s="267"/>
      <c r="AA374" s="267"/>
      <c r="AB374" s="267"/>
      <c r="AE374" s="267"/>
      <c r="AF374" s="267"/>
      <c r="AG374" s="267"/>
      <c r="AH374" s="267"/>
      <c r="AK374" s="267"/>
      <c r="AL374" s="267"/>
      <c r="AM374" s="267"/>
      <c r="AN374" s="267"/>
      <c r="AQ374" s="267"/>
      <c r="AR374" s="267"/>
      <c r="AS374" s="267"/>
      <c r="AT374" s="267"/>
      <c r="AW374" s="267"/>
      <c r="AX374" s="267"/>
      <c r="AY374" s="267"/>
      <c r="AZ374" s="267"/>
      <c r="BG374" s="269"/>
      <c r="BM374" s="269"/>
      <c r="BS374" s="269"/>
      <c r="BU374" s="267"/>
      <c r="BY374" s="267"/>
      <c r="CC374" s="267"/>
      <c r="CG374" s="267"/>
      <c r="CS374" s="267"/>
      <c r="CW374" s="270"/>
      <c r="CX374" s="267"/>
      <c r="DC374" s="267"/>
      <c r="DH374" s="267"/>
      <c r="DM374" s="267"/>
      <c r="DR374" s="267"/>
      <c r="DW374" s="267"/>
      <c r="EB374" s="267"/>
      <c r="EG374" s="267"/>
      <c r="EL374" s="267"/>
      <c r="EQ374" s="267"/>
      <c r="EU374" s="270"/>
      <c r="EV374" s="267"/>
      <c r="FC374" s="267"/>
      <c r="FD374" s="267"/>
      <c r="FE374" s="267"/>
      <c r="FF374" s="267"/>
      <c r="FG374" s="267"/>
      <c r="FL374" s="267"/>
      <c r="FM374" s="267"/>
      <c r="FN374" s="267"/>
      <c r="FO374" s="267"/>
      <c r="FP374" s="267"/>
      <c r="FQ374" s="264"/>
      <c r="FR374" s="264"/>
      <c r="FS374" s="264"/>
      <c r="FT374" s="264"/>
      <c r="FU374" s="267"/>
      <c r="FV374" s="267"/>
      <c r="FW374" s="267"/>
      <c r="FX374" s="267"/>
      <c r="FY374" s="267"/>
      <c r="GD374" s="267"/>
      <c r="GE374" s="267"/>
      <c r="GF374" s="267"/>
      <c r="GG374" s="267"/>
      <c r="GH374" s="267"/>
      <c r="GI374" s="264"/>
      <c r="GJ374" s="264"/>
      <c r="GK374" s="264"/>
      <c r="GL374" s="264"/>
      <c r="HD374" s="267"/>
      <c r="HE374" s="267"/>
      <c r="HF374" s="267"/>
      <c r="HG374" s="267"/>
      <c r="HH374" s="267"/>
      <c r="HI374" s="267"/>
      <c r="HJ374" s="267"/>
      <c r="HK374" s="267"/>
      <c r="HL374" s="267"/>
      <c r="HM374" s="267"/>
      <c r="HN374" s="267"/>
      <c r="HO374" s="267"/>
      <c r="HP374" s="267"/>
      <c r="HQ374" s="267"/>
      <c r="HR374" s="267"/>
      <c r="HS374" s="267"/>
      <c r="HT374" s="267"/>
      <c r="HU374" s="267"/>
      <c r="IH374" s="267"/>
      <c r="IK374" s="267"/>
      <c r="IN374" s="267"/>
      <c r="IQ374" s="267"/>
      <c r="IR374" s="267"/>
      <c r="IS374" s="267"/>
      <c r="IV374" s="267"/>
      <c r="IY374" s="267"/>
    </row>
    <row r="375" spans="10:259">
      <c r="J375" s="267"/>
      <c r="K375" s="267"/>
      <c r="L375" s="267"/>
      <c r="M375" s="267"/>
      <c r="N375" s="267"/>
      <c r="O375" s="267"/>
      <c r="P375" s="267"/>
      <c r="Q375" s="267"/>
      <c r="S375" s="267"/>
      <c r="T375" s="267"/>
      <c r="U375" s="267"/>
      <c r="V375" s="267"/>
      <c r="W375" s="264"/>
      <c r="Y375" s="267"/>
      <c r="Z375" s="267"/>
      <c r="AA375" s="267"/>
      <c r="AB375" s="267"/>
      <c r="AE375" s="267"/>
      <c r="AF375" s="267"/>
      <c r="AG375" s="267"/>
      <c r="AH375" s="267"/>
      <c r="AK375" s="267"/>
      <c r="AL375" s="267"/>
      <c r="AM375" s="267"/>
      <c r="AN375" s="267"/>
      <c r="AQ375" s="267"/>
      <c r="AR375" s="267"/>
      <c r="AS375" s="267"/>
      <c r="AT375" s="267"/>
      <c r="AW375" s="267"/>
      <c r="AX375" s="267"/>
      <c r="AY375" s="267"/>
      <c r="AZ375" s="267"/>
      <c r="BG375" s="269"/>
      <c r="BM375" s="269"/>
      <c r="BS375" s="269"/>
      <c r="BU375" s="267"/>
      <c r="BY375" s="267"/>
      <c r="CC375" s="267"/>
      <c r="CG375" s="267"/>
      <c r="CS375" s="267"/>
      <c r="CW375" s="270"/>
      <c r="CX375" s="267"/>
      <c r="DC375" s="267"/>
      <c r="DH375" s="267"/>
      <c r="DM375" s="267"/>
      <c r="DR375" s="267"/>
      <c r="DW375" s="267"/>
      <c r="EB375" s="267"/>
      <c r="EG375" s="267"/>
      <c r="EL375" s="267"/>
      <c r="EQ375" s="267"/>
      <c r="EU375" s="270"/>
      <c r="EV375" s="267"/>
      <c r="FC375" s="267"/>
      <c r="FD375" s="267"/>
      <c r="FE375" s="267"/>
      <c r="FF375" s="267"/>
      <c r="FG375" s="267"/>
      <c r="FL375" s="267"/>
      <c r="FM375" s="267"/>
      <c r="FN375" s="267"/>
      <c r="FO375" s="267"/>
      <c r="FP375" s="267"/>
      <c r="FQ375" s="264"/>
      <c r="FR375" s="264"/>
      <c r="FS375" s="264"/>
      <c r="FT375" s="264"/>
      <c r="FU375" s="267"/>
      <c r="FV375" s="267"/>
      <c r="FW375" s="267"/>
      <c r="FX375" s="267"/>
      <c r="FY375" s="267"/>
      <c r="GD375" s="267"/>
      <c r="GE375" s="267"/>
      <c r="GF375" s="267"/>
      <c r="GG375" s="267"/>
      <c r="GH375" s="267"/>
      <c r="GI375" s="264"/>
      <c r="GJ375" s="264"/>
      <c r="GK375" s="264"/>
      <c r="GL375" s="264"/>
      <c r="HD375" s="267"/>
      <c r="HE375" s="267"/>
      <c r="HF375" s="267"/>
      <c r="HG375" s="267"/>
      <c r="HH375" s="267"/>
      <c r="HI375" s="267"/>
      <c r="HJ375" s="267"/>
      <c r="HK375" s="267"/>
      <c r="HL375" s="267"/>
      <c r="HM375" s="267"/>
      <c r="HN375" s="267"/>
      <c r="HO375" s="267"/>
      <c r="HP375" s="267"/>
      <c r="HQ375" s="267"/>
      <c r="HR375" s="267"/>
      <c r="HS375" s="267"/>
      <c r="HT375" s="267"/>
      <c r="HU375" s="267"/>
      <c r="IH375" s="267"/>
      <c r="IK375" s="267"/>
      <c r="IN375" s="267"/>
      <c r="IQ375" s="267"/>
      <c r="IR375" s="267"/>
      <c r="IS375" s="267"/>
      <c r="IV375" s="267"/>
      <c r="IY375" s="267"/>
    </row>
    <row r="376" spans="10:259">
      <c r="J376" s="267"/>
      <c r="K376" s="267"/>
      <c r="L376" s="267"/>
      <c r="M376" s="267"/>
      <c r="N376" s="267"/>
      <c r="O376" s="267"/>
      <c r="P376" s="267"/>
      <c r="Q376" s="267"/>
      <c r="S376" s="267"/>
      <c r="T376" s="267"/>
      <c r="U376" s="267"/>
      <c r="V376" s="267"/>
      <c r="W376" s="264"/>
      <c r="Y376" s="267"/>
      <c r="Z376" s="267"/>
      <c r="AA376" s="267"/>
      <c r="AB376" s="267"/>
      <c r="AE376" s="267"/>
      <c r="AF376" s="267"/>
      <c r="AG376" s="267"/>
      <c r="AH376" s="267"/>
      <c r="AK376" s="267"/>
      <c r="AL376" s="267"/>
      <c r="AM376" s="267"/>
      <c r="AN376" s="267"/>
      <c r="AQ376" s="267"/>
      <c r="AR376" s="267"/>
      <c r="AS376" s="267"/>
      <c r="AT376" s="267"/>
      <c r="AW376" s="267"/>
      <c r="AX376" s="267"/>
      <c r="AY376" s="267"/>
      <c r="AZ376" s="267"/>
      <c r="BG376" s="269"/>
      <c r="BM376" s="269"/>
      <c r="BS376" s="269"/>
      <c r="BU376" s="267"/>
      <c r="BY376" s="267"/>
      <c r="CC376" s="267"/>
      <c r="CG376" s="267"/>
      <c r="CS376" s="267"/>
      <c r="CW376" s="270"/>
      <c r="CX376" s="267"/>
      <c r="DC376" s="267"/>
      <c r="DH376" s="267"/>
      <c r="DM376" s="267"/>
      <c r="DR376" s="267"/>
      <c r="DW376" s="267"/>
      <c r="EB376" s="267"/>
      <c r="EG376" s="267"/>
      <c r="EL376" s="267"/>
      <c r="EQ376" s="267"/>
      <c r="EU376" s="270"/>
      <c r="EV376" s="267"/>
      <c r="FC376" s="267"/>
      <c r="FD376" s="267"/>
      <c r="FE376" s="267"/>
      <c r="FF376" s="267"/>
      <c r="FG376" s="267"/>
      <c r="FL376" s="267"/>
      <c r="FM376" s="267"/>
      <c r="FN376" s="267"/>
      <c r="FO376" s="267"/>
      <c r="FP376" s="267"/>
      <c r="FQ376" s="264"/>
      <c r="FR376" s="264"/>
      <c r="FS376" s="264"/>
      <c r="FT376" s="264"/>
      <c r="FU376" s="267"/>
      <c r="FV376" s="267"/>
      <c r="FW376" s="267"/>
      <c r="FX376" s="267"/>
      <c r="FY376" s="267"/>
      <c r="GD376" s="267"/>
      <c r="GE376" s="267"/>
      <c r="GF376" s="267"/>
      <c r="GG376" s="267"/>
      <c r="GH376" s="267"/>
      <c r="GI376" s="264"/>
      <c r="GJ376" s="264"/>
      <c r="GK376" s="264"/>
      <c r="GL376" s="264"/>
      <c r="HD376" s="267"/>
      <c r="HE376" s="267"/>
      <c r="HF376" s="267"/>
      <c r="HG376" s="267"/>
      <c r="HH376" s="267"/>
      <c r="HI376" s="267"/>
      <c r="HJ376" s="267"/>
      <c r="HK376" s="267"/>
      <c r="HL376" s="267"/>
      <c r="HM376" s="267"/>
      <c r="HN376" s="267"/>
      <c r="HO376" s="267"/>
      <c r="HP376" s="267"/>
      <c r="HQ376" s="267"/>
      <c r="HR376" s="267"/>
      <c r="HS376" s="267"/>
      <c r="HT376" s="267"/>
      <c r="HU376" s="267"/>
      <c r="IH376" s="267"/>
      <c r="IK376" s="267"/>
      <c r="IN376" s="267"/>
      <c r="IQ376" s="267"/>
      <c r="IR376" s="267"/>
      <c r="IS376" s="267"/>
      <c r="IV376" s="267"/>
      <c r="IY376" s="267"/>
    </row>
    <row r="377" spans="10:259">
      <c r="J377" s="267"/>
      <c r="K377" s="267"/>
      <c r="L377" s="267"/>
      <c r="M377" s="267"/>
      <c r="N377" s="267"/>
      <c r="O377" s="267"/>
      <c r="P377" s="267"/>
      <c r="Q377" s="267"/>
      <c r="S377" s="267"/>
      <c r="T377" s="267"/>
      <c r="U377" s="267"/>
      <c r="V377" s="267"/>
      <c r="W377" s="264"/>
      <c r="Y377" s="267"/>
      <c r="Z377" s="267"/>
      <c r="AA377" s="267"/>
      <c r="AB377" s="267"/>
      <c r="AE377" s="267"/>
      <c r="AF377" s="267"/>
      <c r="AG377" s="267"/>
      <c r="AH377" s="267"/>
      <c r="AK377" s="267"/>
      <c r="AL377" s="267"/>
      <c r="AM377" s="267"/>
      <c r="AN377" s="267"/>
      <c r="AQ377" s="267"/>
      <c r="AR377" s="267"/>
      <c r="AS377" s="267"/>
      <c r="AT377" s="267"/>
      <c r="AW377" s="267"/>
      <c r="AX377" s="267"/>
      <c r="AY377" s="267"/>
      <c r="AZ377" s="267"/>
      <c r="BG377" s="269"/>
      <c r="BM377" s="269"/>
      <c r="BS377" s="269"/>
      <c r="BU377" s="267"/>
      <c r="BY377" s="267"/>
      <c r="CC377" s="267"/>
      <c r="CG377" s="267"/>
      <c r="CS377" s="267"/>
      <c r="CW377" s="270"/>
      <c r="CX377" s="267"/>
      <c r="DC377" s="267"/>
      <c r="DH377" s="267"/>
      <c r="DM377" s="267"/>
      <c r="DR377" s="267"/>
      <c r="DW377" s="267"/>
      <c r="EB377" s="267"/>
      <c r="EG377" s="267"/>
      <c r="EL377" s="267"/>
      <c r="EQ377" s="267"/>
      <c r="EU377" s="270"/>
      <c r="EV377" s="267"/>
      <c r="FC377" s="267"/>
      <c r="FD377" s="267"/>
      <c r="FE377" s="267"/>
      <c r="FF377" s="267"/>
      <c r="FG377" s="267"/>
      <c r="FL377" s="267"/>
      <c r="FM377" s="267"/>
      <c r="FN377" s="267"/>
      <c r="FO377" s="267"/>
      <c r="FP377" s="267"/>
      <c r="FQ377" s="264"/>
      <c r="FR377" s="264"/>
      <c r="FS377" s="264"/>
      <c r="FT377" s="264"/>
      <c r="FU377" s="267"/>
      <c r="FV377" s="267"/>
      <c r="FW377" s="267"/>
      <c r="FX377" s="267"/>
      <c r="FY377" s="267"/>
      <c r="GD377" s="267"/>
      <c r="GE377" s="267"/>
      <c r="GF377" s="267"/>
      <c r="GG377" s="267"/>
      <c r="GH377" s="267"/>
      <c r="GI377" s="264"/>
      <c r="GJ377" s="264"/>
      <c r="GK377" s="264"/>
      <c r="GL377" s="264"/>
      <c r="HD377" s="267"/>
      <c r="HE377" s="267"/>
      <c r="HF377" s="267"/>
      <c r="HG377" s="267"/>
      <c r="HH377" s="267"/>
      <c r="HI377" s="267"/>
      <c r="HJ377" s="267"/>
      <c r="HK377" s="267"/>
      <c r="HL377" s="267"/>
      <c r="HM377" s="267"/>
      <c r="HN377" s="267"/>
      <c r="HO377" s="267"/>
      <c r="HP377" s="267"/>
      <c r="HQ377" s="267"/>
      <c r="HR377" s="267"/>
      <c r="HS377" s="267"/>
      <c r="HT377" s="267"/>
      <c r="HU377" s="267"/>
      <c r="IH377" s="267"/>
      <c r="IK377" s="267"/>
      <c r="IN377" s="267"/>
      <c r="IQ377" s="267"/>
      <c r="IR377" s="267"/>
      <c r="IS377" s="267"/>
      <c r="IV377" s="267"/>
      <c r="IY377" s="267"/>
    </row>
    <row r="378" spans="10:259">
      <c r="J378" s="267"/>
      <c r="K378" s="267"/>
      <c r="L378" s="267"/>
      <c r="M378" s="267"/>
      <c r="N378" s="267"/>
      <c r="O378" s="267"/>
      <c r="P378" s="267"/>
      <c r="Q378" s="267"/>
      <c r="S378" s="267"/>
      <c r="T378" s="267"/>
      <c r="U378" s="267"/>
      <c r="V378" s="267"/>
      <c r="W378" s="264"/>
      <c r="Y378" s="267"/>
      <c r="Z378" s="267"/>
      <c r="AA378" s="267"/>
      <c r="AB378" s="267"/>
      <c r="AE378" s="267"/>
      <c r="AF378" s="267"/>
      <c r="AG378" s="267"/>
      <c r="AH378" s="267"/>
      <c r="AK378" s="267"/>
      <c r="AL378" s="267"/>
      <c r="AM378" s="267"/>
      <c r="AN378" s="267"/>
      <c r="AQ378" s="267"/>
      <c r="AR378" s="267"/>
      <c r="AS378" s="267"/>
      <c r="AT378" s="267"/>
      <c r="AW378" s="267"/>
      <c r="AX378" s="267"/>
      <c r="AY378" s="267"/>
      <c r="AZ378" s="267"/>
      <c r="BG378" s="269"/>
      <c r="BM378" s="269"/>
      <c r="BS378" s="269"/>
      <c r="BU378" s="267"/>
      <c r="BY378" s="267"/>
      <c r="CC378" s="267"/>
      <c r="CG378" s="267"/>
      <c r="CS378" s="267"/>
      <c r="CW378" s="270"/>
      <c r="CX378" s="267"/>
      <c r="DC378" s="267"/>
      <c r="DH378" s="267"/>
      <c r="DM378" s="267"/>
      <c r="DR378" s="267"/>
      <c r="DW378" s="267"/>
      <c r="EB378" s="267"/>
      <c r="EG378" s="267"/>
      <c r="EL378" s="267"/>
      <c r="EQ378" s="267"/>
      <c r="EU378" s="270"/>
      <c r="EV378" s="267"/>
      <c r="FC378" s="267"/>
      <c r="FD378" s="267"/>
      <c r="FE378" s="267"/>
      <c r="FF378" s="267"/>
      <c r="FG378" s="267"/>
      <c r="FL378" s="267"/>
      <c r="FM378" s="267"/>
      <c r="FN378" s="267"/>
      <c r="FO378" s="267"/>
      <c r="FP378" s="267"/>
      <c r="FQ378" s="264"/>
      <c r="FR378" s="264"/>
      <c r="FS378" s="264"/>
      <c r="FT378" s="264"/>
      <c r="FU378" s="267"/>
      <c r="FV378" s="267"/>
      <c r="FW378" s="267"/>
      <c r="FX378" s="267"/>
      <c r="FY378" s="267"/>
      <c r="GD378" s="267"/>
      <c r="GE378" s="267"/>
      <c r="GF378" s="267"/>
      <c r="GG378" s="267"/>
      <c r="GH378" s="267"/>
      <c r="GI378" s="264"/>
      <c r="GJ378" s="264"/>
      <c r="GK378" s="264"/>
      <c r="GL378" s="264"/>
      <c r="HD378" s="267"/>
      <c r="HE378" s="267"/>
      <c r="HF378" s="267"/>
      <c r="HG378" s="267"/>
      <c r="HH378" s="267"/>
      <c r="HI378" s="267"/>
      <c r="HJ378" s="267"/>
      <c r="HK378" s="267"/>
      <c r="HL378" s="267"/>
      <c r="HM378" s="267"/>
      <c r="HN378" s="267"/>
      <c r="HO378" s="267"/>
      <c r="HP378" s="267"/>
      <c r="HQ378" s="267"/>
      <c r="HR378" s="267"/>
      <c r="HS378" s="267"/>
      <c r="HT378" s="267"/>
      <c r="HU378" s="267"/>
      <c r="IH378" s="267"/>
      <c r="IK378" s="267"/>
      <c r="IN378" s="267"/>
      <c r="IQ378" s="267"/>
      <c r="IR378" s="267"/>
      <c r="IS378" s="267"/>
      <c r="IV378" s="267"/>
      <c r="IY378" s="267"/>
    </row>
    <row r="379" spans="10:259">
      <c r="J379" s="267"/>
      <c r="K379" s="267"/>
      <c r="L379" s="267"/>
      <c r="M379" s="267"/>
      <c r="N379" s="267"/>
      <c r="O379" s="267"/>
      <c r="P379" s="267"/>
      <c r="Q379" s="267"/>
      <c r="S379" s="267"/>
      <c r="T379" s="267"/>
      <c r="U379" s="267"/>
      <c r="V379" s="267"/>
      <c r="W379" s="264"/>
      <c r="Y379" s="267"/>
      <c r="Z379" s="267"/>
      <c r="AA379" s="267"/>
      <c r="AB379" s="267"/>
      <c r="AE379" s="267"/>
      <c r="AF379" s="267"/>
      <c r="AG379" s="267"/>
      <c r="AH379" s="267"/>
      <c r="AK379" s="267"/>
      <c r="AL379" s="267"/>
      <c r="AM379" s="267"/>
      <c r="AN379" s="267"/>
      <c r="AQ379" s="267"/>
      <c r="AR379" s="267"/>
      <c r="AS379" s="267"/>
      <c r="AT379" s="267"/>
      <c r="AW379" s="267"/>
      <c r="AX379" s="267"/>
      <c r="AY379" s="267"/>
      <c r="AZ379" s="267"/>
      <c r="BG379" s="269"/>
      <c r="BM379" s="269"/>
      <c r="BS379" s="269"/>
      <c r="BU379" s="267"/>
      <c r="BY379" s="267"/>
      <c r="CC379" s="267"/>
      <c r="CG379" s="267"/>
      <c r="CS379" s="267"/>
      <c r="CW379" s="270"/>
      <c r="CX379" s="267"/>
      <c r="DC379" s="267"/>
      <c r="DH379" s="267"/>
      <c r="DM379" s="267"/>
      <c r="DR379" s="267"/>
      <c r="DW379" s="267"/>
      <c r="EB379" s="267"/>
      <c r="EG379" s="267"/>
      <c r="EL379" s="267"/>
      <c r="EQ379" s="267"/>
      <c r="EU379" s="270"/>
      <c r="EV379" s="267"/>
      <c r="FC379" s="267"/>
      <c r="FD379" s="267"/>
      <c r="FE379" s="267"/>
      <c r="FF379" s="267"/>
      <c r="FG379" s="267"/>
      <c r="FL379" s="267"/>
      <c r="FM379" s="267"/>
      <c r="FN379" s="267"/>
      <c r="FO379" s="267"/>
      <c r="FP379" s="267"/>
      <c r="FQ379" s="264"/>
      <c r="FR379" s="264"/>
      <c r="FS379" s="264"/>
      <c r="FT379" s="264"/>
      <c r="FU379" s="267"/>
      <c r="FV379" s="267"/>
      <c r="FW379" s="267"/>
      <c r="FX379" s="267"/>
      <c r="FY379" s="267"/>
      <c r="GD379" s="267"/>
      <c r="GE379" s="267"/>
      <c r="GF379" s="267"/>
      <c r="GG379" s="267"/>
      <c r="GH379" s="267"/>
      <c r="GI379" s="264"/>
      <c r="GJ379" s="264"/>
      <c r="GK379" s="264"/>
      <c r="GL379" s="264"/>
      <c r="HD379" s="267"/>
      <c r="HE379" s="267"/>
      <c r="HF379" s="267"/>
      <c r="HG379" s="267"/>
      <c r="HH379" s="267"/>
      <c r="HI379" s="267"/>
      <c r="HJ379" s="267"/>
      <c r="HK379" s="267"/>
      <c r="HL379" s="267"/>
      <c r="HM379" s="267"/>
      <c r="HN379" s="267"/>
      <c r="HO379" s="267"/>
      <c r="HP379" s="267"/>
      <c r="HQ379" s="267"/>
      <c r="HR379" s="267"/>
      <c r="HS379" s="267"/>
      <c r="HT379" s="267"/>
      <c r="HU379" s="267"/>
      <c r="IH379" s="267"/>
      <c r="IK379" s="267"/>
      <c r="IN379" s="267"/>
      <c r="IQ379" s="267"/>
      <c r="IR379" s="267"/>
      <c r="IS379" s="267"/>
      <c r="IV379" s="267"/>
      <c r="IY379" s="267"/>
    </row>
    <row r="380" spans="10:259">
      <c r="J380" s="267"/>
      <c r="K380" s="267"/>
      <c r="L380" s="267"/>
      <c r="M380" s="267"/>
      <c r="N380" s="267"/>
      <c r="O380" s="267"/>
      <c r="P380" s="267"/>
      <c r="Q380" s="267"/>
      <c r="S380" s="267"/>
      <c r="T380" s="267"/>
      <c r="U380" s="267"/>
      <c r="V380" s="267"/>
      <c r="W380" s="264"/>
      <c r="Y380" s="267"/>
      <c r="Z380" s="267"/>
      <c r="AA380" s="267"/>
      <c r="AB380" s="267"/>
      <c r="AE380" s="267"/>
      <c r="AF380" s="267"/>
      <c r="AG380" s="267"/>
      <c r="AH380" s="267"/>
      <c r="AK380" s="267"/>
      <c r="AL380" s="267"/>
      <c r="AM380" s="267"/>
      <c r="AN380" s="267"/>
      <c r="AQ380" s="267"/>
      <c r="AR380" s="267"/>
      <c r="AS380" s="267"/>
      <c r="AT380" s="267"/>
      <c r="AW380" s="267"/>
      <c r="AX380" s="267"/>
      <c r="AY380" s="267"/>
      <c r="AZ380" s="267"/>
      <c r="BG380" s="269"/>
      <c r="BM380" s="269"/>
      <c r="BS380" s="269"/>
      <c r="BU380" s="267"/>
      <c r="BY380" s="267"/>
      <c r="CC380" s="267"/>
      <c r="CG380" s="267"/>
      <c r="CS380" s="267"/>
      <c r="CW380" s="270"/>
      <c r="CX380" s="267"/>
      <c r="DC380" s="267"/>
      <c r="DH380" s="267"/>
      <c r="DM380" s="267"/>
      <c r="DR380" s="267"/>
      <c r="DW380" s="267"/>
      <c r="EB380" s="267"/>
      <c r="EG380" s="267"/>
      <c r="EL380" s="267"/>
      <c r="EQ380" s="267"/>
      <c r="EU380" s="270"/>
      <c r="EV380" s="267"/>
      <c r="FC380" s="267"/>
      <c r="FD380" s="267"/>
      <c r="FE380" s="267"/>
      <c r="FF380" s="267"/>
      <c r="FG380" s="267"/>
      <c r="FL380" s="267"/>
      <c r="FM380" s="267"/>
      <c r="FN380" s="267"/>
      <c r="FO380" s="267"/>
      <c r="FP380" s="267"/>
      <c r="FQ380" s="264"/>
      <c r="FR380" s="264"/>
      <c r="FS380" s="264"/>
      <c r="FT380" s="264"/>
      <c r="FU380" s="267"/>
      <c r="FV380" s="267"/>
      <c r="FW380" s="267"/>
      <c r="FX380" s="267"/>
      <c r="FY380" s="267"/>
      <c r="GD380" s="267"/>
      <c r="GE380" s="267"/>
      <c r="GF380" s="267"/>
      <c r="GG380" s="267"/>
      <c r="GH380" s="267"/>
      <c r="GI380" s="264"/>
      <c r="GJ380" s="264"/>
      <c r="GK380" s="264"/>
      <c r="GL380" s="264"/>
      <c r="HD380" s="267"/>
      <c r="HE380" s="267"/>
      <c r="HF380" s="267"/>
      <c r="HG380" s="267"/>
      <c r="HH380" s="267"/>
      <c r="HI380" s="267"/>
      <c r="HJ380" s="267"/>
      <c r="HK380" s="267"/>
      <c r="HL380" s="267"/>
      <c r="HM380" s="267"/>
      <c r="HN380" s="267"/>
      <c r="HO380" s="267"/>
      <c r="HP380" s="267"/>
      <c r="HQ380" s="267"/>
      <c r="HR380" s="267"/>
      <c r="HS380" s="267"/>
      <c r="HT380" s="267"/>
      <c r="HU380" s="267"/>
      <c r="IH380" s="267"/>
      <c r="IK380" s="267"/>
      <c r="IN380" s="267"/>
      <c r="IQ380" s="267"/>
      <c r="IR380" s="267"/>
      <c r="IS380" s="267"/>
      <c r="IV380" s="267"/>
      <c r="IY380" s="267"/>
    </row>
    <row r="381" spans="10:259">
      <c r="J381" s="267"/>
      <c r="K381" s="267"/>
      <c r="L381" s="267"/>
      <c r="M381" s="267"/>
      <c r="N381" s="267"/>
      <c r="O381" s="267"/>
      <c r="P381" s="267"/>
      <c r="Q381" s="267"/>
      <c r="S381" s="267"/>
      <c r="T381" s="267"/>
      <c r="U381" s="267"/>
      <c r="V381" s="267"/>
      <c r="W381" s="264"/>
      <c r="Y381" s="267"/>
      <c r="Z381" s="267"/>
      <c r="AA381" s="267"/>
      <c r="AB381" s="267"/>
      <c r="AE381" s="267"/>
      <c r="AF381" s="267"/>
      <c r="AG381" s="267"/>
      <c r="AH381" s="267"/>
      <c r="AK381" s="267"/>
      <c r="AL381" s="267"/>
      <c r="AM381" s="267"/>
      <c r="AN381" s="267"/>
      <c r="AQ381" s="267"/>
      <c r="AR381" s="267"/>
      <c r="AS381" s="267"/>
      <c r="AT381" s="267"/>
      <c r="AW381" s="267"/>
      <c r="AX381" s="267"/>
      <c r="AY381" s="267"/>
      <c r="AZ381" s="267"/>
      <c r="BG381" s="269"/>
      <c r="BM381" s="269"/>
      <c r="BS381" s="269"/>
      <c r="BU381" s="267"/>
      <c r="BY381" s="267"/>
      <c r="CC381" s="267"/>
      <c r="CG381" s="267"/>
      <c r="CS381" s="267"/>
      <c r="CW381" s="270"/>
      <c r="CX381" s="267"/>
      <c r="DC381" s="267"/>
      <c r="DH381" s="267"/>
      <c r="DM381" s="267"/>
      <c r="DR381" s="267"/>
      <c r="DW381" s="267"/>
      <c r="EB381" s="267"/>
      <c r="EG381" s="267"/>
      <c r="EL381" s="267"/>
      <c r="EQ381" s="267"/>
      <c r="EU381" s="270"/>
      <c r="EV381" s="267"/>
      <c r="FC381" s="267"/>
      <c r="FD381" s="267"/>
      <c r="FE381" s="267"/>
      <c r="FF381" s="267"/>
      <c r="FG381" s="267"/>
      <c r="FL381" s="267"/>
      <c r="FM381" s="267"/>
      <c r="FN381" s="267"/>
      <c r="FO381" s="267"/>
      <c r="FP381" s="267"/>
      <c r="FQ381" s="264"/>
      <c r="FR381" s="264"/>
      <c r="FS381" s="264"/>
      <c r="FT381" s="264"/>
      <c r="FU381" s="267"/>
      <c r="FV381" s="267"/>
      <c r="FW381" s="267"/>
      <c r="FX381" s="267"/>
      <c r="FY381" s="267"/>
      <c r="GD381" s="267"/>
      <c r="GE381" s="267"/>
      <c r="GF381" s="267"/>
      <c r="GG381" s="267"/>
      <c r="GH381" s="267"/>
      <c r="GI381" s="264"/>
      <c r="GJ381" s="264"/>
      <c r="GK381" s="264"/>
      <c r="GL381" s="264"/>
      <c r="HD381" s="267"/>
      <c r="HE381" s="267"/>
      <c r="HF381" s="267"/>
      <c r="HG381" s="267"/>
      <c r="HH381" s="267"/>
      <c r="HI381" s="267"/>
      <c r="HJ381" s="267"/>
      <c r="HK381" s="267"/>
      <c r="HL381" s="267"/>
      <c r="HM381" s="267"/>
      <c r="HN381" s="267"/>
      <c r="HO381" s="267"/>
      <c r="HP381" s="267"/>
      <c r="HQ381" s="267"/>
      <c r="HR381" s="267"/>
      <c r="HS381" s="267"/>
      <c r="HT381" s="267"/>
      <c r="HU381" s="267"/>
      <c r="IH381" s="267"/>
      <c r="IK381" s="267"/>
      <c r="IN381" s="267"/>
      <c r="IQ381" s="267"/>
      <c r="IR381" s="267"/>
      <c r="IS381" s="267"/>
      <c r="IV381" s="267"/>
      <c r="IY381" s="267"/>
    </row>
    <row r="382" spans="10:259">
      <c r="J382" s="267"/>
      <c r="K382" s="267"/>
      <c r="L382" s="267"/>
      <c r="M382" s="267"/>
      <c r="N382" s="267"/>
      <c r="O382" s="267"/>
      <c r="P382" s="267"/>
      <c r="Q382" s="267"/>
      <c r="S382" s="267"/>
      <c r="T382" s="267"/>
      <c r="U382" s="267"/>
      <c r="V382" s="267"/>
      <c r="W382" s="264"/>
      <c r="Y382" s="267"/>
      <c r="Z382" s="267"/>
      <c r="AA382" s="267"/>
      <c r="AB382" s="267"/>
      <c r="AE382" s="267"/>
      <c r="AF382" s="267"/>
      <c r="AG382" s="267"/>
      <c r="AH382" s="267"/>
      <c r="AK382" s="267"/>
      <c r="AL382" s="267"/>
      <c r="AM382" s="267"/>
      <c r="AN382" s="267"/>
      <c r="AQ382" s="267"/>
      <c r="AR382" s="267"/>
      <c r="AS382" s="267"/>
      <c r="AT382" s="267"/>
      <c r="AW382" s="267"/>
      <c r="AX382" s="267"/>
      <c r="AY382" s="267"/>
      <c r="AZ382" s="267"/>
      <c r="BG382" s="269"/>
      <c r="BM382" s="269"/>
      <c r="BS382" s="269"/>
      <c r="BU382" s="267"/>
      <c r="BY382" s="267"/>
      <c r="CC382" s="267"/>
      <c r="CG382" s="267"/>
      <c r="CS382" s="267"/>
      <c r="CW382" s="270"/>
      <c r="CX382" s="267"/>
      <c r="DC382" s="267"/>
      <c r="DH382" s="267"/>
      <c r="DM382" s="267"/>
      <c r="DR382" s="267"/>
      <c r="DW382" s="267"/>
      <c r="EB382" s="267"/>
      <c r="EG382" s="267"/>
      <c r="EL382" s="267"/>
      <c r="EQ382" s="267"/>
      <c r="EU382" s="270"/>
      <c r="EV382" s="267"/>
      <c r="FC382" s="267"/>
      <c r="FD382" s="267"/>
      <c r="FE382" s="267"/>
      <c r="FF382" s="267"/>
      <c r="FG382" s="267"/>
      <c r="FL382" s="267"/>
      <c r="FM382" s="267"/>
      <c r="FN382" s="267"/>
      <c r="FO382" s="267"/>
      <c r="FP382" s="267"/>
      <c r="FQ382" s="264"/>
      <c r="FR382" s="264"/>
      <c r="FS382" s="264"/>
      <c r="FT382" s="264"/>
      <c r="FU382" s="267"/>
      <c r="FV382" s="267"/>
      <c r="FW382" s="267"/>
      <c r="FX382" s="267"/>
      <c r="FY382" s="267"/>
      <c r="GD382" s="267"/>
      <c r="GE382" s="267"/>
      <c r="GF382" s="267"/>
      <c r="GG382" s="267"/>
      <c r="GH382" s="267"/>
      <c r="GI382" s="264"/>
      <c r="GJ382" s="264"/>
      <c r="GK382" s="264"/>
      <c r="GL382" s="264"/>
      <c r="HD382" s="267"/>
      <c r="HE382" s="267"/>
      <c r="HF382" s="267"/>
      <c r="HG382" s="267"/>
      <c r="HH382" s="267"/>
      <c r="HI382" s="267"/>
      <c r="HJ382" s="267"/>
      <c r="HK382" s="267"/>
      <c r="HL382" s="267"/>
      <c r="HM382" s="267"/>
      <c r="HN382" s="267"/>
      <c r="HO382" s="267"/>
      <c r="HP382" s="267"/>
      <c r="HQ382" s="267"/>
      <c r="HR382" s="267"/>
      <c r="HS382" s="267"/>
      <c r="HT382" s="267"/>
      <c r="HU382" s="267"/>
      <c r="IH382" s="267"/>
      <c r="IK382" s="267"/>
      <c r="IN382" s="267"/>
      <c r="IQ382" s="267"/>
      <c r="IR382" s="267"/>
      <c r="IS382" s="267"/>
      <c r="IV382" s="267"/>
      <c r="IY382" s="267"/>
    </row>
    <row r="383" spans="10:259">
      <c r="J383" s="267"/>
      <c r="K383" s="267"/>
      <c r="L383" s="267"/>
      <c r="M383" s="267"/>
      <c r="N383" s="267"/>
      <c r="O383" s="267"/>
      <c r="P383" s="267"/>
      <c r="Q383" s="267"/>
      <c r="S383" s="267"/>
      <c r="T383" s="267"/>
      <c r="U383" s="267"/>
      <c r="V383" s="267"/>
      <c r="W383" s="264"/>
      <c r="Y383" s="267"/>
      <c r="Z383" s="267"/>
      <c r="AA383" s="267"/>
      <c r="AB383" s="267"/>
      <c r="AE383" s="267"/>
      <c r="AF383" s="267"/>
      <c r="AG383" s="267"/>
      <c r="AH383" s="267"/>
      <c r="AK383" s="267"/>
      <c r="AL383" s="267"/>
      <c r="AM383" s="267"/>
      <c r="AN383" s="267"/>
      <c r="AQ383" s="267"/>
      <c r="AR383" s="267"/>
      <c r="AS383" s="267"/>
      <c r="AT383" s="267"/>
      <c r="AW383" s="267"/>
      <c r="AX383" s="267"/>
      <c r="AY383" s="267"/>
      <c r="AZ383" s="267"/>
      <c r="BG383" s="269"/>
      <c r="BM383" s="269"/>
      <c r="BS383" s="269"/>
      <c r="BU383" s="267"/>
      <c r="BY383" s="267"/>
      <c r="CC383" s="267"/>
      <c r="CG383" s="267"/>
      <c r="CS383" s="267"/>
      <c r="CW383" s="270"/>
      <c r="CX383" s="267"/>
      <c r="DC383" s="267"/>
      <c r="DH383" s="267"/>
      <c r="DM383" s="267"/>
      <c r="DR383" s="267"/>
      <c r="DW383" s="267"/>
      <c r="EB383" s="267"/>
      <c r="EG383" s="267"/>
      <c r="EL383" s="267"/>
      <c r="EQ383" s="267"/>
      <c r="EU383" s="270"/>
      <c r="EV383" s="267"/>
      <c r="FC383" s="267"/>
      <c r="FD383" s="267"/>
      <c r="FE383" s="267"/>
      <c r="FF383" s="267"/>
      <c r="FG383" s="267"/>
      <c r="FL383" s="267"/>
      <c r="FM383" s="267"/>
      <c r="FN383" s="267"/>
      <c r="FO383" s="267"/>
      <c r="FP383" s="267"/>
      <c r="FQ383" s="264"/>
      <c r="FR383" s="264"/>
      <c r="FS383" s="264"/>
      <c r="FT383" s="264"/>
      <c r="FU383" s="267"/>
      <c r="FV383" s="267"/>
      <c r="FW383" s="267"/>
      <c r="FX383" s="267"/>
      <c r="FY383" s="267"/>
      <c r="GD383" s="267"/>
      <c r="GE383" s="267"/>
      <c r="GF383" s="267"/>
      <c r="GG383" s="267"/>
      <c r="GH383" s="267"/>
      <c r="GI383" s="264"/>
      <c r="GJ383" s="264"/>
      <c r="GK383" s="264"/>
      <c r="GL383" s="264"/>
      <c r="HD383" s="267"/>
      <c r="HE383" s="267"/>
      <c r="HF383" s="267"/>
      <c r="HG383" s="267"/>
      <c r="HH383" s="267"/>
      <c r="HI383" s="267"/>
      <c r="HJ383" s="267"/>
      <c r="HK383" s="267"/>
      <c r="HL383" s="267"/>
      <c r="HM383" s="267"/>
      <c r="HN383" s="267"/>
      <c r="HO383" s="267"/>
      <c r="HP383" s="267"/>
      <c r="HQ383" s="267"/>
      <c r="HR383" s="267"/>
      <c r="HS383" s="267"/>
      <c r="HT383" s="267"/>
      <c r="HU383" s="267"/>
      <c r="IH383" s="267"/>
      <c r="IK383" s="267"/>
      <c r="IN383" s="267"/>
      <c r="IQ383" s="267"/>
      <c r="IR383" s="267"/>
      <c r="IS383" s="267"/>
      <c r="IV383" s="267"/>
      <c r="IY383" s="267"/>
    </row>
    <row r="384" spans="10:259">
      <c r="J384" s="267"/>
      <c r="K384" s="267"/>
      <c r="L384" s="267"/>
      <c r="M384" s="267"/>
      <c r="N384" s="267"/>
      <c r="O384" s="267"/>
      <c r="P384" s="267"/>
      <c r="Q384" s="267"/>
      <c r="S384" s="267"/>
      <c r="T384" s="267"/>
      <c r="U384" s="267"/>
      <c r="V384" s="267"/>
      <c r="W384" s="264"/>
      <c r="Y384" s="267"/>
      <c r="Z384" s="267"/>
      <c r="AA384" s="267"/>
      <c r="AB384" s="267"/>
      <c r="AE384" s="267"/>
      <c r="AF384" s="267"/>
      <c r="AG384" s="267"/>
      <c r="AH384" s="267"/>
      <c r="AK384" s="267"/>
      <c r="AL384" s="267"/>
      <c r="AM384" s="267"/>
      <c r="AN384" s="267"/>
      <c r="AQ384" s="267"/>
      <c r="AR384" s="267"/>
      <c r="AS384" s="267"/>
      <c r="AT384" s="267"/>
      <c r="AW384" s="267"/>
      <c r="AX384" s="267"/>
      <c r="AY384" s="267"/>
      <c r="AZ384" s="267"/>
      <c r="BG384" s="269"/>
      <c r="BM384" s="269"/>
      <c r="BS384" s="269"/>
      <c r="BU384" s="267"/>
      <c r="BY384" s="267"/>
      <c r="CC384" s="267"/>
      <c r="CG384" s="267"/>
      <c r="CS384" s="267"/>
      <c r="CW384" s="270"/>
      <c r="CX384" s="267"/>
      <c r="DC384" s="267"/>
      <c r="DH384" s="267"/>
      <c r="DM384" s="267"/>
      <c r="DR384" s="267"/>
      <c r="DW384" s="267"/>
      <c r="EB384" s="267"/>
      <c r="EG384" s="267"/>
      <c r="EL384" s="267"/>
      <c r="EQ384" s="267"/>
      <c r="EU384" s="270"/>
      <c r="EV384" s="267"/>
      <c r="FC384" s="267"/>
      <c r="FD384" s="267"/>
      <c r="FE384" s="267"/>
      <c r="FF384" s="267"/>
      <c r="FG384" s="267"/>
      <c r="FL384" s="267"/>
      <c r="FM384" s="267"/>
      <c r="FN384" s="267"/>
      <c r="FO384" s="267"/>
      <c r="FP384" s="267"/>
      <c r="FQ384" s="264"/>
      <c r="FR384" s="264"/>
      <c r="FS384" s="264"/>
      <c r="FT384" s="264"/>
      <c r="FU384" s="267"/>
      <c r="FV384" s="267"/>
      <c r="FW384" s="267"/>
      <c r="FX384" s="267"/>
      <c r="FY384" s="267"/>
      <c r="GD384" s="267"/>
      <c r="GE384" s="267"/>
      <c r="GF384" s="267"/>
      <c r="GG384" s="267"/>
      <c r="GH384" s="267"/>
      <c r="GI384" s="264"/>
      <c r="GJ384" s="264"/>
      <c r="GK384" s="264"/>
      <c r="GL384" s="264"/>
      <c r="HD384" s="267"/>
      <c r="HE384" s="267"/>
      <c r="HF384" s="267"/>
      <c r="HG384" s="267"/>
      <c r="HH384" s="267"/>
      <c r="HI384" s="267"/>
      <c r="HJ384" s="267"/>
      <c r="HK384" s="267"/>
      <c r="HL384" s="267"/>
      <c r="HM384" s="267"/>
      <c r="HN384" s="267"/>
      <c r="HO384" s="267"/>
      <c r="HP384" s="267"/>
      <c r="HQ384" s="267"/>
      <c r="HR384" s="267"/>
      <c r="HS384" s="267"/>
      <c r="HT384" s="267"/>
      <c r="HU384" s="267"/>
      <c r="IH384" s="267"/>
      <c r="IK384" s="267"/>
      <c r="IN384" s="267"/>
      <c r="IQ384" s="267"/>
      <c r="IR384" s="267"/>
      <c r="IS384" s="267"/>
      <c r="IV384" s="267"/>
      <c r="IY384" s="267"/>
    </row>
    <row r="385" spans="10:259">
      <c r="J385" s="267"/>
      <c r="K385" s="267"/>
      <c r="L385" s="267"/>
      <c r="M385" s="267"/>
      <c r="N385" s="267"/>
      <c r="O385" s="267"/>
      <c r="P385" s="267"/>
      <c r="Q385" s="267"/>
      <c r="S385" s="267"/>
      <c r="T385" s="267"/>
      <c r="U385" s="267"/>
      <c r="V385" s="267"/>
      <c r="W385" s="264"/>
      <c r="Y385" s="267"/>
      <c r="Z385" s="267"/>
      <c r="AA385" s="267"/>
      <c r="AB385" s="267"/>
      <c r="AE385" s="267"/>
      <c r="AF385" s="267"/>
      <c r="AG385" s="267"/>
      <c r="AH385" s="267"/>
      <c r="AK385" s="267"/>
      <c r="AL385" s="267"/>
      <c r="AM385" s="267"/>
      <c r="AN385" s="267"/>
      <c r="AQ385" s="267"/>
      <c r="AR385" s="267"/>
      <c r="AS385" s="267"/>
      <c r="AT385" s="267"/>
      <c r="AW385" s="267"/>
      <c r="AX385" s="267"/>
      <c r="AY385" s="267"/>
      <c r="AZ385" s="267"/>
      <c r="BG385" s="269"/>
      <c r="BM385" s="269"/>
      <c r="BS385" s="269"/>
      <c r="BU385" s="267"/>
      <c r="BY385" s="267"/>
      <c r="CC385" s="267"/>
      <c r="CG385" s="267"/>
      <c r="CS385" s="267"/>
      <c r="CW385" s="270"/>
      <c r="CX385" s="267"/>
      <c r="DC385" s="267"/>
      <c r="DH385" s="267"/>
      <c r="DM385" s="267"/>
      <c r="DR385" s="267"/>
      <c r="DW385" s="267"/>
      <c r="EB385" s="267"/>
      <c r="EG385" s="267"/>
      <c r="EL385" s="267"/>
      <c r="EQ385" s="267"/>
      <c r="EU385" s="270"/>
      <c r="EV385" s="267"/>
      <c r="FC385" s="267"/>
      <c r="FD385" s="267"/>
      <c r="FE385" s="267"/>
      <c r="FF385" s="267"/>
      <c r="FG385" s="267"/>
      <c r="FL385" s="267"/>
      <c r="FM385" s="267"/>
      <c r="FN385" s="267"/>
      <c r="FO385" s="267"/>
      <c r="FP385" s="267"/>
      <c r="FQ385" s="264"/>
      <c r="FR385" s="264"/>
      <c r="FS385" s="264"/>
      <c r="FT385" s="264"/>
      <c r="FU385" s="267"/>
      <c r="FV385" s="267"/>
      <c r="FW385" s="267"/>
      <c r="FX385" s="267"/>
      <c r="FY385" s="267"/>
      <c r="GD385" s="267"/>
      <c r="GE385" s="267"/>
      <c r="GF385" s="267"/>
      <c r="GG385" s="267"/>
      <c r="GH385" s="267"/>
      <c r="GI385" s="264"/>
      <c r="GJ385" s="264"/>
      <c r="GK385" s="264"/>
      <c r="GL385" s="264"/>
      <c r="HD385" s="267"/>
      <c r="HE385" s="267"/>
      <c r="HF385" s="267"/>
      <c r="HG385" s="267"/>
      <c r="HH385" s="267"/>
      <c r="HI385" s="267"/>
      <c r="HJ385" s="267"/>
      <c r="HK385" s="267"/>
      <c r="HL385" s="267"/>
      <c r="HM385" s="267"/>
      <c r="HN385" s="267"/>
      <c r="HO385" s="267"/>
      <c r="HP385" s="267"/>
      <c r="HQ385" s="267"/>
      <c r="HR385" s="267"/>
      <c r="HS385" s="267"/>
      <c r="HT385" s="267"/>
      <c r="HU385" s="267"/>
      <c r="IH385" s="267"/>
      <c r="IK385" s="267"/>
      <c r="IN385" s="267"/>
      <c r="IQ385" s="267"/>
      <c r="IR385" s="267"/>
      <c r="IS385" s="267"/>
      <c r="IV385" s="267"/>
      <c r="IY385" s="267"/>
    </row>
    <row r="386" spans="10:259">
      <c r="J386" s="267"/>
      <c r="K386" s="267"/>
      <c r="L386" s="267"/>
      <c r="M386" s="267"/>
      <c r="N386" s="267"/>
      <c r="O386" s="267"/>
      <c r="P386" s="267"/>
      <c r="Q386" s="267"/>
      <c r="S386" s="267"/>
      <c r="T386" s="267"/>
      <c r="U386" s="267"/>
      <c r="V386" s="267"/>
      <c r="W386" s="264"/>
      <c r="Y386" s="267"/>
      <c r="Z386" s="267"/>
      <c r="AA386" s="267"/>
      <c r="AB386" s="267"/>
      <c r="AE386" s="267"/>
      <c r="AF386" s="267"/>
      <c r="AG386" s="267"/>
      <c r="AH386" s="267"/>
      <c r="AK386" s="267"/>
      <c r="AL386" s="267"/>
      <c r="AM386" s="267"/>
      <c r="AN386" s="267"/>
      <c r="AQ386" s="267"/>
      <c r="AR386" s="267"/>
      <c r="AS386" s="267"/>
      <c r="AT386" s="267"/>
      <c r="AW386" s="267"/>
      <c r="AX386" s="267"/>
      <c r="AY386" s="267"/>
      <c r="AZ386" s="267"/>
      <c r="BG386" s="269"/>
      <c r="BM386" s="269"/>
      <c r="BS386" s="269"/>
      <c r="BU386" s="267"/>
      <c r="BY386" s="267"/>
      <c r="CC386" s="267"/>
      <c r="CG386" s="267"/>
      <c r="CS386" s="267"/>
      <c r="CW386" s="270"/>
      <c r="CX386" s="267"/>
      <c r="DC386" s="267"/>
      <c r="DH386" s="267"/>
      <c r="DM386" s="267"/>
      <c r="DR386" s="267"/>
      <c r="DW386" s="267"/>
      <c r="EB386" s="267"/>
      <c r="EG386" s="267"/>
      <c r="EL386" s="267"/>
      <c r="EQ386" s="267"/>
      <c r="EU386" s="270"/>
      <c r="EV386" s="267"/>
      <c r="FC386" s="267"/>
      <c r="FD386" s="267"/>
      <c r="FE386" s="267"/>
      <c r="FF386" s="267"/>
      <c r="FG386" s="267"/>
      <c r="FL386" s="267"/>
      <c r="FM386" s="267"/>
      <c r="FN386" s="267"/>
      <c r="FO386" s="267"/>
      <c r="FP386" s="267"/>
      <c r="FQ386" s="264"/>
      <c r="FR386" s="264"/>
      <c r="FS386" s="264"/>
      <c r="FT386" s="264"/>
      <c r="FU386" s="267"/>
      <c r="FV386" s="267"/>
      <c r="FW386" s="267"/>
      <c r="FX386" s="267"/>
      <c r="FY386" s="267"/>
      <c r="GD386" s="267"/>
      <c r="GE386" s="267"/>
      <c r="GF386" s="267"/>
      <c r="GG386" s="267"/>
      <c r="GH386" s="267"/>
      <c r="GI386" s="264"/>
      <c r="GJ386" s="264"/>
      <c r="GK386" s="264"/>
      <c r="GL386" s="264"/>
      <c r="HD386" s="267"/>
      <c r="HE386" s="267"/>
      <c r="HF386" s="267"/>
      <c r="HG386" s="267"/>
      <c r="HH386" s="267"/>
      <c r="HI386" s="267"/>
      <c r="HJ386" s="267"/>
      <c r="HK386" s="267"/>
      <c r="HL386" s="267"/>
      <c r="HM386" s="267"/>
      <c r="HN386" s="267"/>
      <c r="HO386" s="267"/>
      <c r="HP386" s="267"/>
      <c r="HQ386" s="267"/>
      <c r="HR386" s="267"/>
      <c r="HS386" s="267"/>
      <c r="HT386" s="267"/>
      <c r="HU386" s="267"/>
      <c r="IH386" s="267"/>
      <c r="IK386" s="267"/>
      <c r="IN386" s="267"/>
      <c r="IQ386" s="267"/>
      <c r="IR386" s="267"/>
      <c r="IS386" s="267"/>
      <c r="IV386" s="267"/>
      <c r="IY386" s="267"/>
    </row>
    <row r="387" spans="10:259">
      <c r="J387" s="267"/>
      <c r="K387" s="267"/>
      <c r="L387" s="267"/>
      <c r="M387" s="267"/>
      <c r="N387" s="267"/>
      <c r="O387" s="267"/>
      <c r="P387" s="267"/>
      <c r="Q387" s="267"/>
      <c r="S387" s="267"/>
      <c r="T387" s="267"/>
      <c r="U387" s="267"/>
      <c r="V387" s="267"/>
      <c r="W387" s="264"/>
      <c r="Y387" s="267"/>
      <c r="Z387" s="267"/>
      <c r="AA387" s="267"/>
      <c r="AB387" s="267"/>
      <c r="AE387" s="267"/>
      <c r="AF387" s="267"/>
      <c r="AG387" s="267"/>
      <c r="AH387" s="267"/>
      <c r="AK387" s="267"/>
      <c r="AL387" s="267"/>
      <c r="AM387" s="267"/>
      <c r="AN387" s="267"/>
      <c r="AQ387" s="267"/>
      <c r="AR387" s="267"/>
      <c r="AS387" s="267"/>
      <c r="AT387" s="267"/>
      <c r="AW387" s="267"/>
      <c r="AX387" s="267"/>
      <c r="AY387" s="267"/>
      <c r="AZ387" s="267"/>
      <c r="BG387" s="269"/>
      <c r="BM387" s="269"/>
      <c r="BS387" s="269"/>
      <c r="BU387" s="267"/>
      <c r="BY387" s="267"/>
      <c r="CC387" s="267"/>
      <c r="CG387" s="267"/>
      <c r="CS387" s="267"/>
      <c r="CW387" s="270"/>
      <c r="CX387" s="267"/>
      <c r="DC387" s="267"/>
      <c r="DH387" s="267"/>
      <c r="DM387" s="267"/>
      <c r="DR387" s="267"/>
      <c r="DW387" s="267"/>
      <c r="EB387" s="267"/>
      <c r="EG387" s="267"/>
      <c r="EL387" s="267"/>
      <c r="EQ387" s="267"/>
      <c r="EU387" s="270"/>
      <c r="EV387" s="267"/>
      <c r="FC387" s="267"/>
      <c r="FD387" s="267"/>
      <c r="FE387" s="267"/>
      <c r="FF387" s="267"/>
      <c r="FG387" s="267"/>
      <c r="FL387" s="267"/>
      <c r="FM387" s="267"/>
      <c r="FN387" s="267"/>
      <c r="FO387" s="267"/>
      <c r="FP387" s="267"/>
      <c r="FQ387" s="264"/>
      <c r="FR387" s="264"/>
      <c r="FS387" s="264"/>
      <c r="FT387" s="264"/>
      <c r="FU387" s="267"/>
      <c r="FV387" s="267"/>
      <c r="FW387" s="267"/>
      <c r="FX387" s="267"/>
      <c r="FY387" s="267"/>
      <c r="GD387" s="267"/>
      <c r="GE387" s="267"/>
      <c r="GF387" s="267"/>
      <c r="GG387" s="267"/>
      <c r="GH387" s="267"/>
      <c r="GI387" s="264"/>
      <c r="GJ387" s="264"/>
      <c r="GK387" s="264"/>
      <c r="GL387" s="264"/>
      <c r="HD387" s="267"/>
      <c r="HE387" s="267"/>
      <c r="HF387" s="267"/>
      <c r="HG387" s="267"/>
      <c r="HH387" s="267"/>
      <c r="HI387" s="267"/>
      <c r="HJ387" s="267"/>
      <c r="HK387" s="267"/>
      <c r="HL387" s="267"/>
      <c r="HM387" s="267"/>
      <c r="HN387" s="267"/>
      <c r="HO387" s="267"/>
      <c r="HP387" s="267"/>
      <c r="HQ387" s="267"/>
      <c r="HR387" s="267"/>
      <c r="HS387" s="267"/>
      <c r="HT387" s="267"/>
      <c r="HU387" s="267"/>
      <c r="IH387" s="267"/>
      <c r="IK387" s="267"/>
      <c r="IN387" s="267"/>
      <c r="IQ387" s="267"/>
      <c r="IR387" s="267"/>
      <c r="IS387" s="267"/>
      <c r="IV387" s="267"/>
      <c r="IY387" s="267"/>
    </row>
    <row r="388" spans="10:259">
      <c r="J388" s="267"/>
      <c r="K388" s="267"/>
      <c r="L388" s="267"/>
      <c r="M388" s="267"/>
      <c r="N388" s="267"/>
      <c r="O388" s="267"/>
      <c r="P388" s="267"/>
      <c r="Q388" s="267"/>
      <c r="S388" s="267"/>
      <c r="T388" s="267"/>
      <c r="U388" s="267"/>
      <c r="V388" s="267"/>
      <c r="W388" s="264"/>
      <c r="Y388" s="267"/>
      <c r="Z388" s="267"/>
      <c r="AA388" s="267"/>
      <c r="AB388" s="267"/>
      <c r="AE388" s="267"/>
      <c r="AF388" s="267"/>
      <c r="AG388" s="267"/>
      <c r="AH388" s="267"/>
      <c r="AK388" s="267"/>
      <c r="AL388" s="267"/>
      <c r="AM388" s="267"/>
      <c r="AN388" s="267"/>
      <c r="AQ388" s="267"/>
      <c r="AR388" s="267"/>
      <c r="AS388" s="267"/>
      <c r="AT388" s="267"/>
      <c r="AW388" s="267"/>
      <c r="AX388" s="267"/>
      <c r="AY388" s="267"/>
      <c r="AZ388" s="267"/>
      <c r="BG388" s="269"/>
      <c r="BM388" s="269"/>
      <c r="BS388" s="269"/>
      <c r="BU388" s="267"/>
      <c r="BY388" s="267"/>
      <c r="CC388" s="267"/>
      <c r="CG388" s="267"/>
      <c r="CS388" s="267"/>
      <c r="CW388" s="270"/>
      <c r="CX388" s="267"/>
      <c r="DC388" s="267"/>
      <c r="DH388" s="267"/>
      <c r="DM388" s="267"/>
      <c r="DR388" s="267"/>
      <c r="DW388" s="267"/>
      <c r="EB388" s="267"/>
      <c r="EG388" s="267"/>
      <c r="EL388" s="267"/>
      <c r="EQ388" s="267"/>
      <c r="EU388" s="270"/>
      <c r="EV388" s="267"/>
      <c r="FC388" s="267"/>
      <c r="FD388" s="267"/>
      <c r="FE388" s="267"/>
      <c r="FF388" s="267"/>
      <c r="FG388" s="267"/>
      <c r="FL388" s="267"/>
      <c r="FM388" s="267"/>
      <c r="FN388" s="267"/>
      <c r="FO388" s="267"/>
      <c r="FP388" s="267"/>
      <c r="FQ388" s="264"/>
      <c r="FR388" s="264"/>
      <c r="FS388" s="264"/>
      <c r="FT388" s="264"/>
      <c r="FU388" s="267"/>
      <c r="FV388" s="267"/>
      <c r="FW388" s="267"/>
      <c r="FX388" s="267"/>
      <c r="FY388" s="267"/>
      <c r="GD388" s="267"/>
      <c r="GE388" s="267"/>
      <c r="GF388" s="267"/>
      <c r="GG388" s="267"/>
      <c r="GH388" s="267"/>
      <c r="GI388" s="264"/>
      <c r="GJ388" s="264"/>
      <c r="GK388" s="264"/>
      <c r="GL388" s="264"/>
      <c r="HD388" s="267"/>
      <c r="HE388" s="267"/>
      <c r="HF388" s="267"/>
      <c r="HG388" s="267"/>
      <c r="HH388" s="267"/>
      <c r="HI388" s="267"/>
      <c r="HJ388" s="267"/>
      <c r="HK388" s="267"/>
      <c r="HL388" s="267"/>
      <c r="HM388" s="267"/>
      <c r="HN388" s="267"/>
      <c r="HO388" s="267"/>
      <c r="HP388" s="267"/>
      <c r="HQ388" s="267"/>
      <c r="HR388" s="267"/>
      <c r="HS388" s="267"/>
      <c r="HT388" s="267"/>
      <c r="HU388" s="267"/>
      <c r="IH388" s="267"/>
      <c r="IK388" s="267"/>
      <c r="IN388" s="267"/>
      <c r="IQ388" s="267"/>
      <c r="IR388" s="267"/>
      <c r="IS388" s="267"/>
      <c r="IV388" s="267"/>
      <c r="IY388" s="267"/>
    </row>
    <row r="389" spans="10:259">
      <c r="J389" s="267"/>
      <c r="K389" s="267"/>
      <c r="L389" s="267"/>
      <c r="M389" s="267"/>
      <c r="N389" s="267"/>
      <c r="O389" s="267"/>
      <c r="P389" s="267"/>
      <c r="Q389" s="267"/>
      <c r="S389" s="267"/>
      <c r="T389" s="267"/>
      <c r="U389" s="267"/>
      <c r="V389" s="267"/>
      <c r="W389" s="264"/>
      <c r="Y389" s="267"/>
      <c r="Z389" s="267"/>
      <c r="AA389" s="267"/>
      <c r="AB389" s="267"/>
      <c r="AE389" s="267"/>
      <c r="AF389" s="267"/>
      <c r="AG389" s="267"/>
      <c r="AH389" s="267"/>
      <c r="AK389" s="267"/>
      <c r="AL389" s="267"/>
      <c r="AM389" s="267"/>
      <c r="AN389" s="267"/>
      <c r="AQ389" s="267"/>
      <c r="AR389" s="267"/>
      <c r="AS389" s="267"/>
      <c r="AT389" s="267"/>
      <c r="AW389" s="267"/>
      <c r="AX389" s="267"/>
      <c r="AY389" s="267"/>
      <c r="AZ389" s="267"/>
      <c r="BG389" s="269"/>
      <c r="BM389" s="269"/>
      <c r="BS389" s="269"/>
      <c r="BU389" s="267"/>
      <c r="BY389" s="267"/>
      <c r="CC389" s="267"/>
      <c r="CG389" s="267"/>
      <c r="CS389" s="267"/>
      <c r="CW389" s="270"/>
      <c r="CX389" s="267"/>
      <c r="DC389" s="267"/>
      <c r="DH389" s="267"/>
      <c r="DM389" s="267"/>
      <c r="DR389" s="267"/>
      <c r="DW389" s="267"/>
      <c r="EB389" s="267"/>
      <c r="EG389" s="267"/>
      <c r="EL389" s="267"/>
      <c r="EQ389" s="267"/>
      <c r="EU389" s="270"/>
      <c r="EV389" s="267"/>
      <c r="FC389" s="267"/>
      <c r="FD389" s="267"/>
      <c r="FE389" s="267"/>
      <c r="FF389" s="267"/>
      <c r="FG389" s="267"/>
      <c r="FL389" s="267"/>
      <c r="FM389" s="267"/>
      <c r="FN389" s="267"/>
      <c r="FO389" s="267"/>
      <c r="FP389" s="267"/>
      <c r="FQ389" s="264"/>
      <c r="FR389" s="264"/>
      <c r="FS389" s="264"/>
      <c r="FT389" s="264"/>
      <c r="FU389" s="267"/>
      <c r="FV389" s="267"/>
      <c r="FW389" s="267"/>
      <c r="FX389" s="267"/>
      <c r="FY389" s="267"/>
      <c r="GD389" s="267"/>
      <c r="GE389" s="267"/>
      <c r="GF389" s="267"/>
      <c r="GG389" s="267"/>
      <c r="GH389" s="267"/>
      <c r="GI389" s="264"/>
      <c r="GJ389" s="264"/>
      <c r="GK389" s="264"/>
      <c r="GL389" s="264"/>
      <c r="HD389" s="267"/>
      <c r="HE389" s="267"/>
      <c r="HF389" s="267"/>
      <c r="HG389" s="267"/>
      <c r="HH389" s="267"/>
      <c r="HI389" s="267"/>
      <c r="HJ389" s="267"/>
      <c r="HK389" s="267"/>
      <c r="HL389" s="267"/>
      <c r="HM389" s="267"/>
      <c r="HN389" s="267"/>
      <c r="HO389" s="267"/>
      <c r="HP389" s="267"/>
      <c r="HQ389" s="267"/>
      <c r="HR389" s="267"/>
      <c r="HS389" s="267"/>
      <c r="HT389" s="267"/>
      <c r="HU389" s="267"/>
      <c r="IH389" s="267"/>
      <c r="IK389" s="267"/>
      <c r="IN389" s="267"/>
      <c r="IQ389" s="267"/>
      <c r="IR389" s="267"/>
      <c r="IS389" s="267"/>
      <c r="IV389" s="267"/>
      <c r="IY389" s="267"/>
    </row>
    <row r="390" spans="10:259">
      <c r="J390" s="267"/>
      <c r="K390" s="267"/>
      <c r="L390" s="267"/>
      <c r="M390" s="267"/>
      <c r="N390" s="267"/>
      <c r="O390" s="267"/>
      <c r="P390" s="267"/>
      <c r="Q390" s="267"/>
      <c r="S390" s="267"/>
      <c r="T390" s="267"/>
      <c r="U390" s="267"/>
      <c r="V390" s="267"/>
      <c r="W390" s="264"/>
      <c r="Y390" s="267"/>
      <c r="Z390" s="267"/>
      <c r="AA390" s="267"/>
      <c r="AB390" s="267"/>
      <c r="AE390" s="267"/>
      <c r="AF390" s="267"/>
      <c r="AG390" s="267"/>
      <c r="AH390" s="267"/>
      <c r="AK390" s="267"/>
      <c r="AL390" s="267"/>
      <c r="AM390" s="267"/>
      <c r="AN390" s="267"/>
      <c r="AQ390" s="267"/>
      <c r="AR390" s="267"/>
      <c r="AS390" s="267"/>
      <c r="AT390" s="267"/>
      <c r="AW390" s="267"/>
      <c r="AX390" s="267"/>
      <c r="AY390" s="267"/>
      <c r="AZ390" s="267"/>
      <c r="BG390" s="269"/>
      <c r="BM390" s="269"/>
      <c r="BS390" s="269"/>
      <c r="BU390" s="267"/>
      <c r="BY390" s="267"/>
      <c r="CC390" s="267"/>
      <c r="CG390" s="267"/>
      <c r="CS390" s="267"/>
      <c r="CW390" s="270"/>
      <c r="CX390" s="267"/>
      <c r="DC390" s="267"/>
      <c r="DH390" s="267"/>
      <c r="DM390" s="267"/>
      <c r="DR390" s="267"/>
      <c r="DW390" s="267"/>
      <c r="EB390" s="267"/>
      <c r="EG390" s="267"/>
      <c r="EL390" s="267"/>
      <c r="EQ390" s="267"/>
      <c r="EU390" s="270"/>
      <c r="EV390" s="267"/>
      <c r="FC390" s="267"/>
      <c r="FD390" s="267"/>
      <c r="FE390" s="267"/>
      <c r="FF390" s="267"/>
      <c r="FG390" s="267"/>
      <c r="FL390" s="267"/>
      <c r="FM390" s="267"/>
      <c r="FN390" s="267"/>
      <c r="FO390" s="267"/>
      <c r="FP390" s="267"/>
      <c r="FQ390" s="264"/>
      <c r="FR390" s="264"/>
      <c r="FS390" s="264"/>
      <c r="FT390" s="264"/>
      <c r="FU390" s="267"/>
      <c r="FV390" s="267"/>
      <c r="FW390" s="267"/>
      <c r="FX390" s="267"/>
      <c r="FY390" s="267"/>
      <c r="GD390" s="267"/>
      <c r="GE390" s="267"/>
      <c r="GF390" s="267"/>
      <c r="GG390" s="267"/>
      <c r="GH390" s="267"/>
      <c r="GI390" s="264"/>
      <c r="GJ390" s="264"/>
      <c r="GK390" s="264"/>
      <c r="GL390" s="264"/>
      <c r="HD390" s="267"/>
      <c r="HE390" s="267"/>
      <c r="HF390" s="267"/>
      <c r="HG390" s="267"/>
      <c r="HH390" s="267"/>
      <c r="HI390" s="267"/>
      <c r="HJ390" s="267"/>
      <c r="HK390" s="267"/>
      <c r="HL390" s="267"/>
      <c r="HM390" s="267"/>
      <c r="HN390" s="267"/>
      <c r="HO390" s="267"/>
      <c r="HP390" s="267"/>
      <c r="HQ390" s="267"/>
      <c r="HR390" s="267"/>
      <c r="HS390" s="267"/>
      <c r="HT390" s="267"/>
      <c r="HU390" s="267"/>
      <c r="IH390" s="267"/>
      <c r="IK390" s="267"/>
      <c r="IN390" s="267"/>
      <c r="IQ390" s="267"/>
      <c r="IR390" s="267"/>
      <c r="IS390" s="267"/>
      <c r="IV390" s="267"/>
      <c r="IY390" s="267"/>
    </row>
    <row r="391" spans="10:259">
      <c r="J391" s="267"/>
      <c r="K391" s="267"/>
      <c r="L391" s="267"/>
      <c r="M391" s="267"/>
      <c r="N391" s="267"/>
      <c r="O391" s="267"/>
      <c r="P391" s="267"/>
      <c r="Q391" s="267"/>
      <c r="S391" s="267"/>
      <c r="T391" s="267"/>
      <c r="U391" s="267"/>
      <c r="V391" s="267"/>
      <c r="W391" s="264"/>
      <c r="Y391" s="267"/>
      <c r="Z391" s="267"/>
      <c r="AA391" s="267"/>
      <c r="AB391" s="267"/>
      <c r="AE391" s="267"/>
      <c r="AF391" s="267"/>
      <c r="AG391" s="267"/>
      <c r="AH391" s="267"/>
      <c r="AK391" s="267"/>
      <c r="AL391" s="267"/>
      <c r="AM391" s="267"/>
      <c r="AN391" s="267"/>
      <c r="AQ391" s="267"/>
      <c r="AR391" s="267"/>
      <c r="AS391" s="267"/>
      <c r="AT391" s="267"/>
      <c r="AW391" s="267"/>
      <c r="AX391" s="267"/>
      <c r="AY391" s="267"/>
      <c r="AZ391" s="267"/>
      <c r="BG391" s="269"/>
      <c r="BM391" s="269"/>
      <c r="BS391" s="269"/>
      <c r="BU391" s="267"/>
      <c r="BY391" s="267"/>
      <c r="CC391" s="267"/>
      <c r="CG391" s="267"/>
      <c r="CS391" s="267"/>
      <c r="CW391" s="270"/>
      <c r="CX391" s="267"/>
      <c r="DC391" s="267"/>
      <c r="DH391" s="267"/>
      <c r="DM391" s="267"/>
      <c r="DR391" s="267"/>
      <c r="DW391" s="267"/>
      <c r="EB391" s="267"/>
      <c r="EG391" s="267"/>
      <c r="EL391" s="267"/>
      <c r="EQ391" s="267"/>
      <c r="EU391" s="270"/>
      <c r="EV391" s="267"/>
      <c r="FC391" s="267"/>
      <c r="FD391" s="267"/>
      <c r="FE391" s="267"/>
      <c r="FF391" s="267"/>
      <c r="FG391" s="267"/>
      <c r="FL391" s="267"/>
      <c r="FM391" s="267"/>
      <c r="FN391" s="267"/>
      <c r="FO391" s="267"/>
      <c r="FP391" s="267"/>
      <c r="FQ391" s="264"/>
      <c r="FR391" s="264"/>
      <c r="FS391" s="264"/>
      <c r="FT391" s="264"/>
      <c r="FU391" s="267"/>
      <c r="FV391" s="267"/>
      <c r="FW391" s="267"/>
      <c r="FX391" s="267"/>
      <c r="FY391" s="267"/>
      <c r="GD391" s="267"/>
      <c r="GE391" s="267"/>
      <c r="GF391" s="267"/>
      <c r="GG391" s="267"/>
      <c r="GH391" s="267"/>
      <c r="GI391" s="264"/>
      <c r="GJ391" s="264"/>
      <c r="GK391" s="264"/>
      <c r="GL391" s="264"/>
      <c r="HD391" s="267"/>
      <c r="HE391" s="267"/>
      <c r="HF391" s="267"/>
      <c r="HG391" s="267"/>
      <c r="HH391" s="267"/>
      <c r="HI391" s="267"/>
      <c r="HJ391" s="267"/>
      <c r="HK391" s="267"/>
      <c r="HL391" s="267"/>
      <c r="HM391" s="267"/>
      <c r="HN391" s="267"/>
      <c r="HO391" s="267"/>
      <c r="HP391" s="267"/>
      <c r="HQ391" s="267"/>
      <c r="HR391" s="267"/>
      <c r="HS391" s="267"/>
      <c r="HT391" s="267"/>
      <c r="HU391" s="267"/>
      <c r="IH391" s="267"/>
      <c r="IK391" s="267"/>
      <c r="IN391" s="267"/>
      <c r="IQ391" s="267"/>
      <c r="IR391" s="267"/>
      <c r="IS391" s="267"/>
      <c r="IV391" s="267"/>
      <c r="IY391" s="267"/>
    </row>
    <row r="392" spans="10:259">
      <c r="J392" s="267"/>
      <c r="K392" s="267"/>
      <c r="L392" s="267"/>
      <c r="M392" s="267"/>
      <c r="N392" s="267"/>
      <c r="O392" s="267"/>
      <c r="P392" s="267"/>
      <c r="Q392" s="267"/>
      <c r="S392" s="267"/>
      <c r="T392" s="267"/>
      <c r="U392" s="267"/>
      <c r="V392" s="267"/>
      <c r="W392" s="264"/>
      <c r="Y392" s="267"/>
      <c r="Z392" s="267"/>
      <c r="AA392" s="267"/>
      <c r="AB392" s="267"/>
      <c r="AE392" s="267"/>
      <c r="AF392" s="267"/>
      <c r="AG392" s="267"/>
      <c r="AH392" s="267"/>
      <c r="AK392" s="267"/>
      <c r="AL392" s="267"/>
      <c r="AM392" s="267"/>
      <c r="AN392" s="267"/>
      <c r="AQ392" s="267"/>
      <c r="AR392" s="267"/>
      <c r="AS392" s="267"/>
      <c r="AT392" s="267"/>
      <c r="AW392" s="267"/>
      <c r="AX392" s="267"/>
      <c r="AY392" s="267"/>
      <c r="AZ392" s="267"/>
      <c r="BG392" s="269"/>
      <c r="BM392" s="269"/>
      <c r="BS392" s="269"/>
      <c r="BU392" s="267"/>
      <c r="BY392" s="267"/>
      <c r="CC392" s="267"/>
      <c r="CG392" s="267"/>
      <c r="CS392" s="267"/>
      <c r="CW392" s="270"/>
      <c r="CX392" s="267"/>
      <c r="DC392" s="267"/>
      <c r="DH392" s="267"/>
      <c r="DM392" s="267"/>
      <c r="DR392" s="267"/>
      <c r="DW392" s="267"/>
      <c r="EB392" s="267"/>
      <c r="EG392" s="267"/>
      <c r="EL392" s="267"/>
      <c r="EQ392" s="267"/>
      <c r="EU392" s="270"/>
      <c r="EV392" s="267"/>
      <c r="FC392" s="267"/>
      <c r="FD392" s="267"/>
      <c r="FE392" s="267"/>
      <c r="FF392" s="267"/>
      <c r="FG392" s="267"/>
      <c r="FL392" s="267"/>
      <c r="FM392" s="267"/>
      <c r="FN392" s="267"/>
      <c r="FO392" s="267"/>
      <c r="FP392" s="267"/>
      <c r="FQ392" s="264"/>
      <c r="FR392" s="264"/>
      <c r="FS392" s="264"/>
      <c r="FT392" s="264"/>
      <c r="FU392" s="267"/>
      <c r="FV392" s="267"/>
      <c r="FW392" s="267"/>
      <c r="FX392" s="267"/>
      <c r="FY392" s="267"/>
      <c r="GD392" s="267"/>
      <c r="GE392" s="267"/>
      <c r="GF392" s="267"/>
      <c r="GG392" s="267"/>
      <c r="GH392" s="267"/>
      <c r="GI392" s="264"/>
      <c r="GJ392" s="264"/>
      <c r="GK392" s="264"/>
      <c r="GL392" s="264"/>
      <c r="HD392" s="267"/>
      <c r="HE392" s="267"/>
      <c r="HF392" s="267"/>
      <c r="HG392" s="267"/>
      <c r="HH392" s="267"/>
      <c r="HI392" s="267"/>
      <c r="HJ392" s="267"/>
      <c r="HK392" s="267"/>
      <c r="HL392" s="267"/>
      <c r="HM392" s="267"/>
      <c r="HN392" s="267"/>
      <c r="HO392" s="267"/>
      <c r="HP392" s="267"/>
      <c r="HQ392" s="267"/>
      <c r="HR392" s="267"/>
      <c r="HS392" s="267"/>
      <c r="HT392" s="267"/>
      <c r="HU392" s="267"/>
      <c r="IH392" s="267"/>
      <c r="IK392" s="267"/>
      <c r="IN392" s="267"/>
      <c r="IQ392" s="267"/>
      <c r="IR392" s="267"/>
      <c r="IS392" s="267"/>
      <c r="IV392" s="267"/>
      <c r="IY392" s="267"/>
    </row>
    <row r="393" spans="10:259">
      <c r="J393" s="267"/>
      <c r="K393" s="267"/>
      <c r="L393" s="267"/>
      <c r="M393" s="267"/>
      <c r="N393" s="267"/>
      <c r="O393" s="267"/>
      <c r="P393" s="267"/>
      <c r="Q393" s="267"/>
      <c r="S393" s="267"/>
      <c r="T393" s="267"/>
      <c r="U393" s="267"/>
      <c r="V393" s="267"/>
      <c r="W393" s="264"/>
      <c r="Y393" s="267"/>
      <c r="Z393" s="267"/>
      <c r="AA393" s="267"/>
      <c r="AB393" s="267"/>
      <c r="AE393" s="267"/>
      <c r="AF393" s="267"/>
      <c r="AG393" s="267"/>
      <c r="AH393" s="267"/>
      <c r="AK393" s="267"/>
      <c r="AL393" s="267"/>
      <c r="AM393" s="267"/>
      <c r="AN393" s="267"/>
      <c r="AQ393" s="267"/>
      <c r="AR393" s="267"/>
      <c r="AS393" s="267"/>
      <c r="AT393" s="267"/>
      <c r="AW393" s="267"/>
      <c r="AX393" s="267"/>
      <c r="AY393" s="267"/>
      <c r="AZ393" s="267"/>
      <c r="BG393" s="269"/>
      <c r="BM393" s="269"/>
      <c r="BS393" s="269"/>
      <c r="BU393" s="267"/>
      <c r="BY393" s="267"/>
      <c r="CC393" s="267"/>
      <c r="CG393" s="267"/>
      <c r="CS393" s="267"/>
      <c r="CW393" s="270"/>
      <c r="CX393" s="267"/>
      <c r="DC393" s="267"/>
      <c r="DH393" s="267"/>
      <c r="DM393" s="267"/>
      <c r="DR393" s="267"/>
      <c r="DW393" s="267"/>
      <c r="EB393" s="267"/>
      <c r="EG393" s="267"/>
      <c r="EL393" s="267"/>
      <c r="EQ393" s="267"/>
      <c r="EU393" s="270"/>
      <c r="EV393" s="267"/>
      <c r="FC393" s="267"/>
      <c r="FD393" s="267"/>
      <c r="FE393" s="267"/>
      <c r="FF393" s="267"/>
      <c r="FG393" s="267"/>
      <c r="FL393" s="267"/>
      <c r="FM393" s="267"/>
      <c r="FN393" s="267"/>
      <c r="FO393" s="267"/>
      <c r="FP393" s="267"/>
      <c r="FQ393" s="264"/>
      <c r="FR393" s="264"/>
      <c r="FS393" s="264"/>
      <c r="FT393" s="264"/>
      <c r="FU393" s="267"/>
      <c r="FV393" s="267"/>
      <c r="FW393" s="267"/>
      <c r="FX393" s="267"/>
      <c r="FY393" s="267"/>
      <c r="GD393" s="267"/>
      <c r="GE393" s="267"/>
      <c r="GF393" s="267"/>
      <c r="GG393" s="267"/>
      <c r="GH393" s="267"/>
      <c r="GI393" s="264"/>
      <c r="GJ393" s="264"/>
      <c r="GK393" s="264"/>
      <c r="GL393" s="264"/>
      <c r="HD393" s="267"/>
      <c r="HE393" s="267"/>
      <c r="HF393" s="267"/>
      <c r="HG393" s="267"/>
      <c r="HH393" s="267"/>
      <c r="HI393" s="267"/>
      <c r="HJ393" s="267"/>
      <c r="HK393" s="267"/>
      <c r="HL393" s="267"/>
      <c r="HM393" s="267"/>
      <c r="HN393" s="267"/>
      <c r="HO393" s="267"/>
      <c r="HP393" s="267"/>
      <c r="HQ393" s="267"/>
      <c r="HR393" s="267"/>
      <c r="HS393" s="267"/>
      <c r="HT393" s="267"/>
      <c r="HU393" s="267"/>
      <c r="IH393" s="267"/>
      <c r="IK393" s="267"/>
      <c r="IN393" s="267"/>
      <c r="IQ393" s="267"/>
      <c r="IR393" s="267"/>
      <c r="IS393" s="267"/>
      <c r="IV393" s="267"/>
      <c r="IY393" s="267"/>
    </row>
    <row r="394" spans="10:259">
      <c r="J394" s="267"/>
      <c r="K394" s="267"/>
      <c r="L394" s="267"/>
      <c r="M394" s="267"/>
      <c r="N394" s="267"/>
      <c r="O394" s="267"/>
      <c r="P394" s="267"/>
      <c r="Q394" s="267"/>
      <c r="S394" s="267"/>
      <c r="T394" s="267"/>
      <c r="U394" s="267"/>
      <c r="V394" s="267"/>
      <c r="W394" s="264"/>
      <c r="Y394" s="267"/>
      <c r="Z394" s="267"/>
      <c r="AA394" s="267"/>
      <c r="AB394" s="267"/>
      <c r="AE394" s="267"/>
      <c r="AF394" s="267"/>
      <c r="AG394" s="267"/>
      <c r="AH394" s="267"/>
      <c r="AK394" s="267"/>
      <c r="AL394" s="267"/>
      <c r="AM394" s="267"/>
      <c r="AN394" s="267"/>
      <c r="AQ394" s="267"/>
      <c r="AR394" s="267"/>
      <c r="AS394" s="267"/>
      <c r="AT394" s="267"/>
      <c r="AW394" s="267"/>
      <c r="AX394" s="267"/>
      <c r="AY394" s="267"/>
      <c r="AZ394" s="267"/>
      <c r="BG394" s="269"/>
      <c r="BM394" s="269"/>
      <c r="BS394" s="269"/>
      <c r="BU394" s="267"/>
      <c r="BY394" s="267"/>
      <c r="CC394" s="267"/>
      <c r="CG394" s="267"/>
      <c r="CS394" s="267"/>
      <c r="CW394" s="270"/>
      <c r="CX394" s="267"/>
      <c r="DC394" s="267"/>
      <c r="DH394" s="267"/>
      <c r="DM394" s="267"/>
      <c r="DR394" s="267"/>
      <c r="DW394" s="267"/>
      <c r="EB394" s="267"/>
      <c r="EG394" s="267"/>
      <c r="EL394" s="267"/>
      <c r="EQ394" s="267"/>
      <c r="EU394" s="270"/>
      <c r="EV394" s="267"/>
      <c r="FC394" s="267"/>
      <c r="FD394" s="267"/>
      <c r="FE394" s="267"/>
      <c r="FF394" s="267"/>
      <c r="FG394" s="267"/>
      <c r="FL394" s="267"/>
      <c r="FM394" s="267"/>
      <c r="FN394" s="267"/>
      <c r="FO394" s="267"/>
      <c r="FP394" s="267"/>
      <c r="FQ394" s="264"/>
      <c r="FR394" s="264"/>
      <c r="FS394" s="264"/>
      <c r="FT394" s="264"/>
      <c r="FU394" s="267"/>
      <c r="FV394" s="267"/>
      <c r="FW394" s="267"/>
      <c r="FX394" s="267"/>
      <c r="FY394" s="267"/>
      <c r="GD394" s="267"/>
      <c r="GE394" s="267"/>
      <c r="GF394" s="267"/>
      <c r="GG394" s="267"/>
      <c r="GH394" s="267"/>
      <c r="GI394" s="264"/>
      <c r="GJ394" s="264"/>
      <c r="GK394" s="264"/>
      <c r="GL394" s="264"/>
      <c r="HD394" s="267"/>
      <c r="HE394" s="267"/>
      <c r="HF394" s="267"/>
      <c r="HG394" s="267"/>
      <c r="HH394" s="267"/>
      <c r="HI394" s="267"/>
      <c r="HJ394" s="267"/>
      <c r="HK394" s="267"/>
      <c r="HL394" s="267"/>
      <c r="HM394" s="267"/>
      <c r="HN394" s="267"/>
      <c r="HO394" s="267"/>
      <c r="HP394" s="267"/>
      <c r="HQ394" s="267"/>
      <c r="HR394" s="267"/>
      <c r="HS394" s="267"/>
      <c r="HT394" s="267"/>
      <c r="HU394" s="267"/>
      <c r="IH394" s="267"/>
      <c r="IK394" s="267"/>
      <c r="IN394" s="267"/>
      <c r="IQ394" s="267"/>
      <c r="IR394" s="267"/>
      <c r="IS394" s="267"/>
      <c r="IV394" s="267"/>
      <c r="IY394" s="267"/>
    </row>
    <row r="395" spans="10:259">
      <c r="J395" s="267"/>
      <c r="K395" s="267"/>
      <c r="L395" s="267"/>
      <c r="M395" s="267"/>
      <c r="N395" s="267"/>
      <c r="O395" s="267"/>
      <c r="P395" s="267"/>
      <c r="Q395" s="267"/>
      <c r="S395" s="267"/>
      <c r="T395" s="267"/>
      <c r="U395" s="267"/>
      <c r="V395" s="267"/>
      <c r="W395" s="264"/>
      <c r="Y395" s="267"/>
      <c r="Z395" s="267"/>
      <c r="AA395" s="267"/>
      <c r="AB395" s="267"/>
      <c r="AE395" s="267"/>
      <c r="AF395" s="267"/>
      <c r="AG395" s="267"/>
      <c r="AH395" s="267"/>
      <c r="AK395" s="267"/>
      <c r="AL395" s="267"/>
      <c r="AM395" s="267"/>
      <c r="AN395" s="267"/>
      <c r="AQ395" s="267"/>
      <c r="AR395" s="267"/>
      <c r="AS395" s="267"/>
      <c r="AT395" s="267"/>
      <c r="AW395" s="267"/>
      <c r="AX395" s="267"/>
      <c r="AY395" s="267"/>
      <c r="AZ395" s="267"/>
      <c r="BG395" s="269"/>
      <c r="BM395" s="269"/>
      <c r="BS395" s="269"/>
      <c r="BU395" s="267"/>
      <c r="BY395" s="267"/>
      <c r="CC395" s="267"/>
      <c r="CG395" s="267"/>
      <c r="CS395" s="267"/>
      <c r="CW395" s="270"/>
      <c r="CX395" s="267"/>
      <c r="DC395" s="267"/>
      <c r="DH395" s="267"/>
      <c r="DM395" s="267"/>
      <c r="DR395" s="267"/>
      <c r="DW395" s="267"/>
      <c r="EB395" s="267"/>
      <c r="EG395" s="267"/>
      <c r="EL395" s="267"/>
      <c r="EQ395" s="267"/>
      <c r="EU395" s="270"/>
      <c r="EV395" s="267"/>
      <c r="FC395" s="267"/>
      <c r="FD395" s="267"/>
      <c r="FE395" s="267"/>
      <c r="FF395" s="267"/>
      <c r="FG395" s="267"/>
      <c r="FL395" s="267"/>
      <c r="FM395" s="267"/>
      <c r="FN395" s="267"/>
      <c r="FO395" s="267"/>
      <c r="FP395" s="267"/>
      <c r="FQ395" s="264"/>
      <c r="FR395" s="264"/>
      <c r="FS395" s="264"/>
      <c r="FT395" s="264"/>
      <c r="FU395" s="267"/>
      <c r="FV395" s="267"/>
      <c r="FW395" s="267"/>
      <c r="FX395" s="267"/>
      <c r="FY395" s="267"/>
      <c r="GD395" s="267"/>
      <c r="GE395" s="267"/>
      <c r="GF395" s="267"/>
      <c r="GG395" s="267"/>
      <c r="GH395" s="267"/>
      <c r="GI395" s="264"/>
      <c r="GJ395" s="264"/>
      <c r="GK395" s="264"/>
      <c r="GL395" s="264"/>
      <c r="HD395" s="267"/>
      <c r="HE395" s="267"/>
      <c r="HF395" s="267"/>
      <c r="HG395" s="267"/>
      <c r="HH395" s="267"/>
      <c r="HI395" s="267"/>
      <c r="HJ395" s="267"/>
      <c r="HK395" s="267"/>
      <c r="HL395" s="267"/>
      <c r="HM395" s="267"/>
      <c r="HN395" s="267"/>
      <c r="HO395" s="267"/>
      <c r="HP395" s="267"/>
      <c r="HQ395" s="267"/>
      <c r="HR395" s="267"/>
      <c r="HS395" s="267"/>
      <c r="HT395" s="267"/>
      <c r="HU395" s="267"/>
      <c r="IH395" s="267"/>
      <c r="IK395" s="267"/>
      <c r="IN395" s="267"/>
      <c r="IQ395" s="267"/>
      <c r="IR395" s="267"/>
      <c r="IS395" s="267"/>
      <c r="IV395" s="267"/>
      <c r="IY395" s="267"/>
    </row>
    <row r="396" spans="10:259">
      <c r="J396" s="267"/>
      <c r="K396" s="267"/>
      <c r="L396" s="267"/>
      <c r="M396" s="267"/>
      <c r="N396" s="267"/>
      <c r="O396" s="267"/>
      <c r="P396" s="267"/>
      <c r="Q396" s="267"/>
      <c r="S396" s="267"/>
      <c r="T396" s="267"/>
      <c r="U396" s="267"/>
      <c r="V396" s="267"/>
      <c r="W396" s="264"/>
      <c r="Y396" s="267"/>
      <c r="Z396" s="267"/>
      <c r="AA396" s="267"/>
      <c r="AB396" s="267"/>
      <c r="AE396" s="267"/>
      <c r="AF396" s="267"/>
      <c r="AG396" s="267"/>
      <c r="AH396" s="267"/>
      <c r="AK396" s="267"/>
      <c r="AL396" s="267"/>
      <c r="AM396" s="267"/>
      <c r="AN396" s="267"/>
      <c r="AQ396" s="267"/>
      <c r="AR396" s="267"/>
      <c r="AS396" s="267"/>
      <c r="AT396" s="267"/>
      <c r="AW396" s="267"/>
      <c r="AX396" s="267"/>
      <c r="AY396" s="267"/>
      <c r="AZ396" s="267"/>
      <c r="BG396" s="269"/>
      <c r="BM396" s="269"/>
      <c r="BS396" s="269"/>
      <c r="BU396" s="267"/>
      <c r="BY396" s="267"/>
      <c r="CC396" s="267"/>
      <c r="CG396" s="267"/>
      <c r="CS396" s="267"/>
      <c r="CW396" s="270"/>
      <c r="CX396" s="267"/>
      <c r="DC396" s="267"/>
      <c r="DH396" s="267"/>
      <c r="DM396" s="267"/>
      <c r="DR396" s="267"/>
      <c r="DW396" s="267"/>
      <c r="EB396" s="267"/>
      <c r="EG396" s="267"/>
      <c r="EL396" s="267"/>
      <c r="EQ396" s="267"/>
      <c r="EU396" s="270"/>
      <c r="EV396" s="267"/>
      <c r="FC396" s="267"/>
      <c r="FD396" s="267"/>
      <c r="FE396" s="267"/>
      <c r="FF396" s="267"/>
      <c r="FG396" s="267"/>
      <c r="FL396" s="267"/>
      <c r="FM396" s="267"/>
      <c r="FN396" s="267"/>
      <c r="FO396" s="267"/>
      <c r="FP396" s="267"/>
      <c r="FQ396" s="264"/>
      <c r="FR396" s="264"/>
      <c r="FS396" s="264"/>
      <c r="FT396" s="264"/>
      <c r="FU396" s="267"/>
      <c r="FV396" s="267"/>
      <c r="FW396" s="267"/>
      <c r="FX396" s="267"/>
      <c r="FY396" s="267"/>
      <c r="GD396" s="267"/>
      <c r="GE396" s="267"/>
      <c r="GF396" s="267"/>
      <c r="GG396" s="267"/>
      <c r="GH396" s="267"/>
      <c r="GI396" s="264"/>
      <c r="GJ396" s="264"/>
      <c r="GK396" s="264"/>
      <c r="GL396" s="264"/>
      <c r="HD396" s="267"/>
      <c r="HE396" s="267"/>
      <c r="HF396" s="267"/>
      <c r="HG396" s="267"/>
      <c r="HH396" s="267"/>
      <c r="HI396" s="267"/>
      <c r="HJ396" s="267"/>
      <c r="HK396" s="267"/>
      <c r="HL396" s="267"/>
      <c r="HM396" s="267"/>
      <c r="HN396" s="267"/>
      <c r="HO396" s="267"/>
      <c r="HP396" s="267"/>
      <c r="HQ396" s="267"/>
      <c r="HR396" s="267"/>
      <c r="HS396" s="267"/>
      <c r="HT396" s="267"/>
      <c r="HU396" s="267"/>
      <c r="IH396" s="267"/>
      <c r="IK396" s="267"/>
      <c r="IN396" s="267"/>
      <c r="IQ396" s="267"/>
      <c r="IR396" s="267"/>
      <c r="IS396" s="267"/>
      <c r="IV396" s="267"/>
      <c r="IY396" s="267"/>
    </row>
    <row r="397" spans="10:259">
      <c r="J397" s="267"/>
      <c r="K397" s="267"/>
      <c r="L397" s="267"/>
      <c r="M397" s="267"/>
      <c r="N397" s="267"/>
      <c r="O397" s="267"/>
      <c r="P397" s="267"/>
      <c r="Q397" s="267"/>
      <c r="S397" s="267"/>
      <c r="T397" s="267"/>
      <c r="U397" s="267"/>
      <c r="V397" s="267"/>
      <c r="W397" s="264"/>
      <c r="Y397" s="267"/>
      <c r="Z397" s="267"/>
      <c r="AA397" s="267"/>
      <c r="AB397" s="267"/>
      <c r="AE397" s="267"/>
      <c r="AF397" s="267"/>
      <c r="AG397" s="267"/>
      <c r="AH397" s="267"/>
      <c r="AK397" s="267"/>
      <c r="AL397" s="267"/>
      <c r="AM397" s="267"/>
      <c r="AN397" s="267"/>
      <c r="AQ397" s="267"/>
      <c r="AR397" s="267"/>
      <c r="AS397" s="267"/>
      <c r="AT397" s="267"/>
      <c r="AW397" s="267"/>
      <c r="AX397" s="267"/>
      <c r="AY397" s="267"/>
      <c r="AZ397" s="267"/>
      <c r="BG397" s="269"/>
      <c r="BM397" s="269"/>
      <c r="BS397" s="269"/>
      <c r="BU397" s="267"/>
      <c r="BY397" s="267"/>
      <c r="CC397" s="267"/>
      <c r="CG397" s="267"/>
      <c r="CS397" s="267"/>
      <c r="CW397" s="270"/>
      <c r="CX397" s="267"/>
      <c r="DC397" s="267"/>
      <c r="DH397" s="267"/>
      <c r="DM397" s="267"/>
      <c r="DR397" s="267"/>
      <c r="DW397" s="267"/>
      <c r="EB397" s="267"/>
      <c r="EG397" s="267"/>
      <c r="EL397" s="267"/>
      <c r="EQ397" s="267"/>
      <c r="EU397" s="270"/>
      <c r="EV397" s="267"/>
      <c r="FC397" s="267"/>
      <c r="FD397" s="267"/>
      <c r="FE397" s="267"/>
      <c r="FF397" s="267"/>
      <c r="FG397" s="267"/>
      <c r="FL397" s="267"/>
      <c r="FM397" s="267"/>
      <c r="FN397" s="267"/>
      <c r="FO397" s="267"/>
      <c r="FP397" s="267"/>
      <c r="FQ397" s="264"/>
      <c r="FR397" s="264"/>
      <c r="FS397" s="264"/>
      <c r="FT397" s="264"/>
      <c r="FU397" s="267"/>
      <c r="FV397" s="267"/>
      <c r="FW397" s="267"/>
      <c r="FX397" s="267"/>
      <c r="FY397" s="267"/>
      <c r="GD397" s="267"/>
      <c r="GE397" s="267"/>
      <c r="GF397" s="267"/>
      <c r="GG397" s="267"/>
      <c r="GH397" s="267"/>
      <c r="GI397" s="264"/>
      <c r="GJ397" s="264"/>
      <c r="GK397" s="264"/>
      <c r="GL397" s="264"/>
      <c r="HD397" s="267"/>
      <c r="HE397" s="267"/>
      <c r="HF397" s="267"/>
      <c r="HG397" s="267"/>
      <c r="HH397" s="267"/>
      <c r="HI397" s="267"/>
      <c r="HJ397" s="267"/>
      <c r="HK397" s="267"/>
      <c r="HL397" s="267"/>
      <c r="HM397" s="267"/>
      <c r="HN397" s="267"/>
      <c r="HO397" s="267"/>
      <c r="HP397" s="267"/>
      <c r="HQ397" s="267"/>
      <c r="HR397" s="267"/>
      <c r="HS397" s="267"/>
      <c r="HT397" s="267"/>
      <c r="HU397" s="267"/>
      <c r="IH397" s="267"/>
      <c r="IK397" s="267"/>
      <c r="IN397" s="267"/>
      <c r="IQ397" s="267"/>
      <c r="IR397" s="267"/>
      <c r="IS397" s="267"/>
      <c r="IV397" s="267"/>
      <c r="IY397" s="267"/>
    </row>
    <row r="398" spans="10:259">
      <c r="J398" s="267"/>
      <c r="K398" s="267"/>
      <c r="L398" s="267"/>
      <c r="M398" s="267"/>
      <c r="N398" s="267"/>
      <c r="O398" s="267"/>
      <c r="P398" s="267"/>
      <c r="Q398" s="267"/>
      <c r="S398" s="267"/>
      <c r="T398" s="267"/>
      <c r="U398" s="267"/>
      <c r="V398" s="267"/>
      <c r="W398" s="264"/>
      <c r="Y398" s="267"/>
      <c r="Z398" s="267"/>
      <c r="AA398" s="267"/>
      <c r="AB398" s="267"/>
      <c r="AE398" s="267"/>
      <c r="AF398" s="267"/>
      <c r="AG398" s="267"/>
      <c r="AH398" s="267"/>
      <c r="AK398" s="267"/>
      <c r="AL398" s="267"/>
      <c r="AM398" s="267"/>
      <c r="AN398" s="267"/>
      <c r="AQ398" s="267"/>
      <c r="AR398" s="267"/>
      <c r="AS398" s="267"/>
      <c r="AT398" s="267"/>
      <c r="AW398" s="267"/>
      <c r="AX398" s="267"/>
      <c r="AY398" s="267"/>
      <c r="AZ398" s="267"/>
      <c r="BG398" s="269"/>
      <c r="BM398" s="269"/>
      <c r="BS398" s="269"/>
      <c r="BU398" s="267"/>
      <c r="BY398" s="267"/>
      <c r="CC398" s="267"/>
      <c r="CG398" s="267"/>
      <c r="CS398" s="267"/>
      <c r="CW398" s="270"/>
      <c r="CX398" s="267"/>
      <c r="DC398" s="267"/>
      <c r="DH398" s="267"/>
      <c r="DM398" s="267"/>
      <c r="DR398" s="267"/>
      <c r="DW398" s="267"/>
      <c r="EB398" s="267"/>
      <c r="EG398" s="267"/>
      <c r="EL398" s="267"/>
      <c r="EQ398" s="267"/>
      <c r="EU398" s="270"/>
      <c r="EV398" s="267"/>
      <c r="FC398" s="267"/>
      <c r="FD398" s="267"/>
      <c r="FE398" s="267"/>
      <c r="FF398" s="267"/>
      <c r="FG398" s="267"/>
      <c r="FL398" s="267"/>
      <c r="FM398" s="267"/>
      <c r="FN398" s="267"/>
      <c r="FO398" s="267"/>
      <c r="FP398" s="267"/>
      <c r="FQ398" s="264"/>
      <c r="FR398" s="264"/>
      <c r="FS398" s="264"/>
      <c r="FT398" s="264"/>
      <c r="FU398" s="267"/>
      <c r="FV398" s="267"/>
      <c r="FW398" s="267"/>
      <c r="FX398" s="267"/>
      <c r="FY398" s="267"/>
      <c r="GD398" s="267"/>
      <c r="GE398" s="267"/>
      <c r="GF398" s="267"/>
      <c r="GG398" s="267"/>
      <c r="GH398" s="267"/>
      <c r="GI398" s="264"/>
      <c r="GJ398" s="264"/>
      <c r="GK398" s="264"/>
      <c r="GL398" s="264"/>
      <c r="HD398" s="267"/>
      <c r="HE398" s="267"/>
      <c r="HF398" s="267"/>
      <c r="HG398" s="267"/>
      <c r="HH398" s="267"/>
      <c r="HI398" s="267"/>
      <c r="HJ398" s="267"/>
      <c r="HK398" s="267"/>
      <c r="HL398" s="267"/>
      <c r="HM398" s="267"/>
      <c r="HN398" s="267"/>
      <c r="HO398" s="267"/>
      <c r="HP398" s="267"/>
      <c r="HQ398" s="267"/>
      <c r="HR398" s="267"/>
      <c r="HS398" s="267"/>
      <c r="HT398" s="267"/>
      <c r="HU398" s="267"/>
      <c r="IH398" s="267"/>
      <c r="IK398" s="267"/>
      <c r="IN398" s="267"/>
      <c r="IQ398" s="267"/>
      <c r="IR398" s="267"/>
      <c r="IS398" s="267"/>
      <c r="IV398" s="267"/>
      <c r="IY398" s="267"/>
    </row>
    <row r="399" spans="10:259">
      <c r="J399" s="267"/>
      <c r="K399" s="267"/>
      <c r="L399" s="267"/>
      <c r="M399" s="267"/>
      <c r="N399" s="267"/>
      <c r="O399" s="267"/>
      <c r="P399" s="267"/>
      <c r="Q399" s="267"/>
      <c r="S399" s="267"/>
      <c r="T399" s="267"/>
      <c r="U399" s="267"/>
      <c r="V399" s="267"/>
      <c r="W399" s="264"/>
      <c r="Y399" s="267"/>
      <c r="Z399" s="267"/>
      <c r="AA399" s="267"/>
      <c r="AB399" s="267"/>
      <c r="AE399" s="267"/>
      <c r="AF399" s="267"/>
      <c r="AG399" s="267"/>
      <c r="AH399" s="267"/>
      <c r="AK399" s="267"/>
      <c r="AL399" s="267"/>
      <c r="AM399" s="267"/>
      <c r="AN399" s="267"/>
      <c r="AQ399" s="267"/>
      <c r="AR399" s="267"/>
      <c r="AS399" s="267"/>
      <c r="AT399" s="267"/>
      <c r="AW399" s="267"/>
      <c r="AX399" s="267"/>
      <c r="AY399" s="267"/>
      <c r="AZ399" s="267"/>
      <c r="BG399" s="269"/>
      <c r="BM399" s="269"/>
      <c r="BS399" s="269"/>
      <c r="BU399" s="267"/>
      <c r="BY399" s="267"/>
      <c r="CC399" s="267"/>
      <c r="CG399" s="267"/>
      <c r="CS399" s="267"/>
      <c r="CW399" s="270"/>
      <c r="CX399" s="267"/>
      <c r="DC399" s="267"/>
      <c r="DH399" s="267"/>
      <c r="DM399" s="267"/>
      <c r="DR399" s="267"/>
      <c r="DW399" s="267"/>
      <c r="EB399" s="267"/>
      <c r="EG399" s="267"/>
      <c r="EL399" s="267"/>
      <c r="EQ399" s="267"/>
      <c r="EU399" s="270"/>
      <c r="EV399" s="267"/>
      <c r="FC399" s="267"/>
      <c r="FD399" s="267"/>
      <c r="FE399" s="267"/>
      <c r="FF399" s="267"/>
      <c r="FG399" s="267"/>
      <c r="FL399" s="267"/>
      <c r="FM399" s="267"/>
      <c r="FN399" s="267"/>
      <c r="FO399" s="267"/>
      <c r="FP399" s="267"/>
      <c r="FQ399" s="264"/>
      <c r="FR399" s="264"/>
      <c r="FS399" s="264"/>
      <c r="FT399" s="264"/>
      <c r="FU399" s="267"/>
      <c r="FV399" s="267"/>
      <c r="FW399" s="267"/>
      <c r="FX399" s="267"/>
      <c r="FY399" s="267"/>
      <c r="GD399" s="267"/>
      <c r="GE399" s="267"/>
      <c r="GF399" s="267"/>
      <c r="GG399" s="267"/>
      <c r="GH399" s="267"/>
      <c r="GI399" s="264"/>
      <c r="GJ399" s="264"/>
      <c r="GK399" s="264"/>
      <c r="GL399" s="264"/>
      <c r="HD399" s="267"/>
      <c r="HE399" s="267"/>
      <c r="HF399" s="267"/>
      <c r="HG399" s="267"/>
      <c r="HH399" s="267"/>
      <c r="HI399" s="267"/>
      <c r="HJ399" s="267"/>
      <c r="HK399" s="267"/>
      <c r="HL399" s="267"/>
      <c r="HM399" s="267"/>
      <c r="HN399" s="267"/>
      <c r="HO399" s="267"/>
      <c r="HP399" s="267"/>
      <c r="HQ399" s="267"/>
      <c r="HR399" s="267"/>
      <c r="HS399" s="267"/>
      <c r="HT399" s="267"/>
      <c r="HU399" s="267"/>
      <c r="IH399" s="267"/>
      <c r="IK399" s="267"/>
      <c r="IN399" s="267"/>
      <c r="IQ399" s="267"/>
      <c r="IR399" s="267"/>
      <c r="IS399" s="267"/>
      <c r="IV399" s="267"/>
      <c r="IY399" s="267"/>
    </row>
    <row r="400" spans="10:259">
      <c r="J400" s="267"/>
      <c r="K400" s="267"/>
      <c r="L400" s="267"/>
      <c r="M400" s="267"/>
      <c r="N400" s="267"/>
      <c r="O400" s="267"/>
      <c r="P400" s="267"/>
      <c r="Q400" s="267"/>
      <c r="S400" s="267"/>
      <c r="T400" s="267"/>
      <c r="U400" s="267"/>
      <c r="V400" s="267"/>
      <c r="W400" s="264"/>
      <c r="Y400" s="267"/>
      <c r="Z400" s="267"/>
      <c r="AA400" s="267"/>
      <c r="AB400" s="267"/>
      <c r="AE400" s="267"/>
      <c r="AF400" s="267"/>
      <c r="AG400" s="267"/>
      <c r="AH400" s="267"/>
      <c r="AK400" s="267"/>
      <c r="AL400" s="267"/>
      <c r="AM400" s="267"/>
      <c r="AN400" s="267"/>
      <c r="AQ400" s="267"/>
      <c r="AR400" s="267"/>
      <c r="AS400" s="267"/>
      <c r="AT400" s="267"/>
      <c r="AW400" s="267"/>
      <c r="AX400" s="267"/>
      <c r="AY400" s="267"/>
      <c r="AZ400" s="267"/>
      <c r="BG400" s="269"/>
      <c r="BM400" s="269"/>
      <c r="BS400" s="269"/>
      <c r="BU400" s="267"/>
      <c r="BY400" s="267"/>
      <c r="CC400" s="267"/>
      <c r="CG400" s="267"/>
      <c r="CS400" s="267"/>
      <c r="CW400" s="270"/>
      <c r="CX400" s="267"/>
      <c r="DC400" s="267"/>
      <c r="DH400" s="267"/>
      <c r="DM400" s="267"/>
      <c r="DR400" s="267"/>
      <c r="DW400" s="267"/>
      <c r="EB400" s="267"/>
      <c r="EG400" s="267"/>
      <c r="EL400" s="267"/>
      <c r="EQ400" s="267"/>
      <c r="EU400" s="270"/>
      <c r="EV400" s="267"/>
      <c r="FC400" s="267"/>
      <c r="FD400" s="267"/>
      <c r="FE400" s="267"/>
      <c r="FF400" s="267"/>
      <c r="FG400" s="267"/>
      <c r="FL400" s="267"/>
      <c r="FM400" s="267"/>
      <c r="FN400" s="267"/>
      <c r="FO400" s="267"/>
      <c r="FP400" s="267"/>
      <c r="FQ400" s="264"/>
      <c r="FR400" s="264"/>
      <c r="FS400" s="264"/>
      <c r="FT400" s="264"/>
      <c r="FU400" s="267"/>
      <c r="FV400" s="267"/>
      <c r="FW400" s="267"/>
      <c r="FX400" s="267"/>
      <c r="FY400" s="267"/>
      <c r="GD400" s="267"/>
      <c r="GE400" s="267"/>
      <c r="GF400" s="267"/>
      <c r="GG400" s="267"/>
      <c r="GH400" s="267"/>
      <c r="GI400" s="264"/>
      <c r="GJ400" s="264"/>
      <c r="GK400" s="264"/>
      <c r="GL400" s="264"/>
      <c r="HD400" s="267"/>
      <c r="HE400" s="267"/>
      <c r="HF400" s="267"/>
      <c r="HG400" s="267"/>
      <c r="HH400" s="267"/>
      <c r="HI400" s="267"/>
      <c r="HJ400" s="267"/>
      <c r="HK400" s="267"/>
      <c r="HL400" s="267"/>
      <c r="HM400" s="267"/>
      <c r="HN400" s="267"/>
      <c r="HO400" s="267"/>
      <c r="HP400" s="267"/>
      <c r="HQ400" s="267"/>
      <c r="HR400" s="267"/>
      <c r="HS400" s="267"/>
      <c r="HT400" s="267"/>
      <c r="HU400" s="267"/>
      <c r="IH400" s="267"/>
      <c r="IK400" s="267"/>
      <c r="IN400" s="267"/>
      <c r="IQ400" s="267"/>
      <c r="IR400" s="267"/>
      <c r="IS400" s="267"/>
      <c r="IV400" s="267"/>
      <c r="IY400" s="267"/>
    </row>
    <row r="401" spans="10:259">
      <c r="J401" s="267"/>
      <c r="K401" s="267"/>
      <c r="L401" s="267"/>
      <c r="M401" s="267"/>
      <c r="N401" s="267"/>
      <c r="O401" s="267"/>
      <c r="P401" s="267"/>
      <c r="Q401" s="267"/>
      <c r="S401" s="267"/>
      <c r="T401" s="267"/>
      <c r="U401" s="267"/>
      <c r="V401" s="267"/>
      <c r="W401" s="264"/>
      <c r="Y401" s="267"/>
      <c r="Z401" s="267"/>
      <c r="AA401" s="267"/>
      <c r="AB401" s="267"/>
      <c r="AE401" s="267"/>
      <c r="AF401" s="267"/>
      <c r="AG401" s="267"/>
      <c r="AH401" s="267"/>
      <c r="AK401" s="267"/>
      <c r="AL401" s="267"/>
      <c r="AM401" s="267"/>
      <c r="AN401" s="267"/>
      <c r="AQ401" s="267"/>
      <c r="AR401" s="267"/>
      <c r="AS401" s="267"/>
      <c r="AT401" s="267"/>
      <c r="AW401" s="267"/>
      <c r="AX401" s="267"/>
      <c r="AY401" s="267"/>
      <c r="AZ401" s="267"/>
      <c r="BG401" s="269"/>
      <c r="BM401" s="269"/>
      <c r="BS401" s="269"/>
      <c r="BU401" s="267"/>
      <c r="BY401" s="267"/>
      <c r="CC401" s="267"/>
      <c r="CG401" s="267"/>
      <c r="CS401" s="267"/>
      <c r="CW401" s="270"/>
      <c r="CX401" s="267"/>
      <c r="DC401" s="267"/>
      <c r="DH401" s="267"/>
      <c r="DM401" s="267"/>
      <c r="DR401" s="267"/>
      <c r="DW401" s="267"/>
      <c r="EB401" s="267"/>
      <c r="EG401" s="267"/>
      <c r="EL401" s="267"/>
      <c r="EQ401" s="267"/>
      <c r="EU401" s="270"/>
      <c r="EV401" s="267"/>
      <c r="FC401" s="267"/>
      <c r="FD401" s="267"/>
      <c r="FE401" s="267"/>
      <c r="FF401" s="267"/>
      <c r="FG401" s="267"/>
      <c r="FL401" s="267"/>
      <c r="FM401" s="267"/>
      <c r="FN401" s="267"/>
      <c r="FO401" s="267"/>
      <c r="FP401" s="267"/>
      <c r="FQ401" s="264"/>
      <c r="FR401" s="264"/>
      <c r="FS401" s="264"/>
      <c r="FT401" s="264"/>
      <c r="FU401" s="267"/>
      <c r="FV401" s="267"/>
      <c r="FW401" s="267"/>
      <c r="FX401" s="267"/>
      <c r="FY401" s="267"/>
      <c r="GD401" s="267"/>
      <c r="GE401" s="267"/>
      <c r="GF401" s="267"/>
      <c r="GG401" s="267"/>
      <c r="GH401" s="267"/>
      <c r="GI401" s="264"/>
      <c r="GJ401" s="264"/>
      <c r="GK401" s="264"/>
      <c r="GL401" s="264"/>
      <c r="HD401" s="267"/>
      <c r="HE401" s="267"/>
      <c r="HF401" s="267"/>
      <c r="HG401" s="267"/>
      <c r="HH401" s="267"/>
      <c r="HI401" s="267"/>
      <c r="HJ401" s="267"/>
      <c r="HK401" s="267"/>
      <c r="HL401" s="267"/>
      <c r="HM401" s="267"/>
      <c r="HN401" s="267"/>
      <c r="HO401" s="267"/>
      <c r="HP401" s="267"/>
      <c r="HQ401" s="267"/>
      <c r="HR401" s="267"/>
      <c r="HS401" s="267"/>
      <c r="HT401" s="267"/>
      <c r="HU401" s="267"/>
      <c r="IH401" s="267"/>
      <c r="IK401" s="267"/>
      <c r="IN401" s="267"/>
      <c r="IQ401" s="267"/>
      <c r="IR401" s="267"/>
      <c r="IS401" s="267"/>
      <c r="IV401" s="267"/>
      <c r="IY401" s="267"/>
    </row>
    <row r="402" spans="10:259">
      <c r="J402" s="267"/>
      <c r="K402" s="267"/>
      <c r="L402" s="267"/>
      <c r="M402" s="267"/>
      <c r="N402" s="267"/>
      <c r="O402" s="267"/>
      <c r="P402" s="267"/>
      <c r="Q402" s="267"/>
      <c r="S402" s="267"/>
      <c r="T402" s="267"/>
      <c r="U402" s="267"/>
      <c r="V402" s="267"/>
      <c r="W402" s="264"/>
      <c r="Y402" s="267"/>
      <c r="Z402" s="267"/>
      <c r="AA402" s="267"/>
      <c r="AB402" s="267"/>
      <c r="AE402" s="267"/>
      <c r="AF402" s="267"/>
      <c r="AG402" s="267"/>
      <c r="AH402" s="267"/>
      <c r="AK402" s="267"/>
      <c r="AL402" s="267"/>
      <c r="AM402" s="267"/>
      <c r="AN402" s="267"/>
      <c r="AQ402" s="267"/>
      <c r="AR402" s="267"/>
      <c r="AS402" s="267"/>
      <c r="AT402" s="267"/>
      <c r="AW402" s="267"/>
      <c r="AX402" s="267"/>
      <c r="AY402" s="267"/>
      <c r="AZ402" s="267"/>
      <c r="BG402" s="269"/>
      <c r="BM402" s="269"/>
      <c r="BS402" s="269"/>
      <c r="BU402" s="267"/>
      <c r="BY402" s="267"/>
      <c r="CC402" s="267"/>
      <c r="CG402" s="267"/>
      <c r="CS402" s="267"/>
      <c r="CW402" s="270"/>
      <c r="CX402" s="267"/>
      <c r="DC402" s="267"/>
      <c r="DH402" s="267"/>
      <c r="DM402" s="267"/>
      <c r="DR402" s="267"/>
      <c r="DW402" s="267"/>
      <c r="EB402" s="267"/>
      <c r="EG402" s="267"/>
      <c r="EL402" s="267"/>
      <c r="EQ402" s="267"/>
      <c r="EU402" s="270"/>
      <c r="EV402" s="267"/>
      <c r="FC402" s="267"/>
      <c r="FD402" s="267"/>
      <c r="FE402" s="267"/>
      <c r="FF402" s="267"/>
      <c r="FG402" s="267"/>
      <c r="FL402" s="267"/>
      <c r="FM402" s="267"/>
      <c r="FN402" s="267"/>
      <c r="FO402" s="267"/>
      <c r="FP402" s="267"/>
      <c r="FQ402" s="264"/>
      <c r="FR402" s="264"/>
      <c r="FS402" s="264"/>
      <c r="FT402" s="264"/>
      <c r="FU402" s="267"/>
      <c r="FV402" s="267"/>
      <c r="FW402" s="267"/>
      <c r="FX402" s="267"/>
      <c r="FY402" s="267"/>
      <c r="GD402" s="267"/>
      <c r="GE402" s="267"/>
      <c r="GF402" s="267"/>
      <c r="GG402" s="267"/>
      <c r="GH402" s="267"/>
      <c r="GI402" s="264"/>
      <c r="GJ402" s="264"/>
      <c r="GK402" s="264"/>
      <c r="GL402" s="264"/>
      <c r="HD402" s="267"/>
      <c r="HE402" s="267"/>
      <c r="HF402" s="267"/>
      <c r="HG402" s="267"/>
      <c r="HH402" s="267"/>
      <c r="HI402" s="267"/>
      <c r="HJ402" s="267"/>
      <c r="HK402" s="267"/>
      <c r="HL402" s="267"/>
      <c r="HM402" s="267"/>
      <c r="HN402" s="267"/>
      <c r="HO402" s="267"/>
      <c r="HP402" s="267"/>
      <c r="HQ402" s="267"/>
      <c r="HR402" s="267"/>
      <c r="HS402" s="267"/>
      <c r="HT402" s="267"/>
      <c r="HU402" s="267"/>
      <c r="IH402" s="267"/>
      <c r="IK402" s="267"/>
      <c r="IN402" s="267"/>
      <c r="IQ402" s="267"/>
      <c r="IR402" s="267"/>
      <c r="IS402" s="267"/>
      <c r="IV402" s="267"/>
      <c r="IY402" s="267"/>
    </row>
    <row r="403" spans="10:259">
      <c r="J403" s="267"/>
      <c r="K403" s="267"/>
      <c r="L403" s="267"/>
      <c r="M403" s="267"/>
      <c r="N403" s="267"/>
      <c r="O403" s="267"/>
      <c r="P403" s="267"/>
      <c r="Q403" s="267"/>
      <c r="S403" s="267"/>
      <c r="T403" s="267"/>
      <c r="U403" s="267"/>
      <c r="V403" s="267"/>
      <c r="W403" s="264"/>
      <c r="Y403" s="267"/>
      <c r="Z403" s="267"/>
      <c r="AA403" s="267"/>
      <c r="AB403" s="267"/>
      <c r="AE403" s="267"/>
      <c r="AF403" s="267"/>
      <c r="AG403" s="267"/>
      <c r="AH403" s="267"/>
      <c r="AK403" s="267"/>
      <c r="AL403" s="267"/>
      <c r="AM403" s="267"/>
      <c r="AN403" s="267"/>
      <c r="AQ403" s="267"/>
      <c r="AR403" s="267"/>
      <c r="AS403" s="267"/>
      <c r="AT403" s="267"/>
      <c r="AW403" s="267"/>
      <c r="AX403" s="267"/>
      <c r="AY403" s="267"/>
      <c r="AZ403" s="267"/>
      <c r="BG403" s="269"/>
      <c r="BM403" s="269"/>
      <c r="BS403" s="269"/>
      <c r="BU403" s="267"/>
      <c r="BY403" s="267"/>
      <c r="CC403" s="267"/>
      <c r="CG403" s="267"/>
      <c r="CS403" s="267"/>
      <c r="CW403" s="270"/>
      <c r="CX403" s="267"/>
      <c r="DC403" s="267"/>
      <c r="DH403" s="267"/>
      <c r="DM403" s="267"/>
      <c r="DR403" s="267"/>
      <c r="DW403" s="267"/>
      <c r="EB403" s="267"/>
      <c r="EG403" s="267"/>
      <c r="EL403" s="267"/>
      <c r="EQ403" s="267"/>
      <c r="EU403" s="270"/>
      <c r="EV403" s="267"/>
      <c r="FC403" s="267"/>
      <c r="FD403" s="267"/>
      <c r="FE403" s="267"/>
      <c r="FF403" s="267"/>
      <c r="FG403" s="267"/>
      <c r="FL403" s="267"/>
      <c r="FM403" s="267"/>
      <c r="FN403" s="267"/>
      <c r="FO403" s="267"/>
      <c r="FP403" s="267"/>
      <c r="FQ403" s="264"/>
      <c r="FR403" s="264"/>
      <c r="FS403" s="264"/>
      <c r="FT403" s="264"/>
      <c r="FU403" s="267"/>
      <c r="FV403" s="267"/>
      <c r="FW403" s="267"/>
      <c r="FX403" s="267"/>
      <c r="FY403" s="267"/>
      <c r="GD403" s="267"/>
      <c r="GE403" s="267"/>
      <c r="GF403" s="267"/>
      <c r="GG403" s="267"/>
      <c r="GH403" s="267"/>
      <c r="GI403" s="264"/>
      <c r="GJ403" s="264"/>
      <c r="GK403" s="264"/>
      <c r="GL403" s="264"/>
      <c r="HD403" s="267"/>
      <c r="HE403" s="267"/>
      <c r="HF403" s="267"/>
      <c r="HG403" s="267"/>
      <c r="HH403" s="267"/>
      <c r="HI403" s="267"/>
      <c r="HJ403" s="267"/>
      <c r="HK403" s="267"/>
      <c r="HL403" s="267"/>
      <c r="HM403" s="267"/>
      <c r="HN403" s="267"/>
      <c r="HO403" s="267"/>
      <c r="HP403" s="267"/>
      <c r="HQ403" s="267"/>
      <c r="HR403" s="267"/>
      <c r="HS403" s="267"/>
      <c r="HT403" s="267"/>
      <c r="HU403" s="267"/>
      <c r="IH403" s="267"/>
      <c r="IK403" s="267"/>
      <c r="IN403" s="267"/>
      <c r="IQ403" s="267"/>
      <c r="IR403" s="267"/>
      <c r="IS403" s="267"/>
      <c r="IV403" s="267"/>
      <c r="IY403" s="267"/>
    </row>
    <row r="404" spans="10:259">
      <c r="J404" s="267"/>
      <c r="K404" s="267"/>
      <c r="L404" s="267"/>
      <c r="M404" s="267"/>
      <c r="N404" s="267"/>
      <c r="O404" s="267"/>
      <c r="P404" s="267"/>
      <c r="Q404" s="267"/>
      <c r="S404" s="267"/>
      <c r="T404" s="267"/>
      <c r="U404" s="267"/>
      <c r="V404" s="267"/>
      <c r="W404" s="264"/>
      <c r="Y404" s="267"/>
      <c r="Z404" s="267"/>
      <c r="AA404" s="267"/>
      <c r="AB404" s="267"/>
      <c r="AE404" s="267"/>
      <c r="AF404" s="267"/>
      <c r="AG404" s="267"/>
      <c r="AH404" s="267"/>
      <c r="AK404" s="267"/>
      <c r="AL404" s="267"/>
      <c r="AM404" s="267"/>
      <c r="AN404" s="267"/>
      <c r="AQ404" s="267"/>
      <c r="AR404" s="267"/>
      <c r="AS404" s="267"/>
      <c r="AT404" s="267"/>
      <c r="AW404" s="267"/>
      <c r="AX404" s="267"/>
      <c r="AY404" s="267"/>
      <c r="AZ404" s="267"/>
      <c r="BG404" s="269"/>
      <c r="BM404" s="269"/>
      <c r="BS404" s="269"/>
      <c r="BU404" s="267"/>
      <c r="BY404" s="267"/>
      <c r="CC404" s="267"/>
      <c r="CG404" s="267"/>
      <c r="CS404" s="267"/>
      <c r="CW404" s="270"/>
      <c r="CX404" s="267"/>
      <c r="DC404" s="267"/>
      <c r="DH404" s="267"/>
      <c r="DM404" s="267"/>
      <c r="DR404" s="267"/>
      <c r="DW404" s="267"/>
      <c r="EB404" s="267"/>
      <c r="EG404" s="267"/>
      <c r="EL404" s="267"/>
      <c r="EQ404" s="267"/>
      <c r="EU404" s="270"/>
      <c r="EV404" s="267"/>
      <c r="FC404" s="267"/>
      <c r="FD404" s="267"/>
      <c r="FE404" s="267"/>
      <c r="FF404" s="267"/>
      <c r="FG404" s="267"/>
      <c r="FL404" s="267"/>
      <c r="FM404" s="267"/>
      <c r="FN404" s="267"/>
      <c r="FO404" s="267"/>
      <c r="FP404" s="267"/>
      <c r="FQ404" s="264"/>
      <c r="FR404" s="264"/>
      <c r="FS404" s="264"/>
      <c r="FT404" s="264"/>
      <c r="FU404" s="267"/>
      <c r="FV404" s="267"/>
      <c r="FW404" s="267"/>
      <c r="FX404" s="267"/>
      <c r="FY404" s="267"/>
      <c r="GD404" s="267"/>
      <c r="GE404" s="267"/>
      <c r="GF404" s="267"/>
      <c r="GG404" s="267"/>
      <c r="GH404" s="267"/>
      <c r="GI404" s="264"/>
      <c r="GJ404" s="264"/>
      <c r="GK404" s="264"/>
      <c r="GL404" s="264"/>
      <c r="HD404" s="267"/>
      <c r="HE404" s="267"/>
      <c r="HF404" s="267"/>
      <c r="HG404" s="267"/>
      <c r="HH404" s="267"/>
      <c r="HI404" s="267"/>
      <c r="HJ404" s="267"/>
      <c r="HK404" s="267"/>
      <c r="HL404" s="267"/>
      <c r="HM404" s="267"/>
      <c r="HN404" s="267"/>
      <c r="HO404" s="267"/>
      <c r="HP404" s="267"/>
      <c r="HQ404" s="267"/>
      <c r="HR404" s="267"/>
      <c r="HS404" s="267"/>
      <c r="HT404" s="267"/>
      <c r="HU404" s="267"/>
      <c r="IH404" s="267"/>
      <c r="IK404" s="267"/>
      <c r="IN404" s="267"/>
      <c r="IQ404" s="267"/>
      <c r="IR404" s="267"/>
      <c r="IS404" s="267"/>
      <c r="IV404" s="267"/>
      <c r="IY404" s="267"/>
    </row>
    <row r="405" spans="10:259">
      <c r="J405" s="267"/>
      <c r="K405" s="267"/>
      <c r="L405" s="267"/>
      <c r="M405" s="267"/>
      <c r="N405" s="267"/>
      <c r="O405" s="267"/>
      <c r="P405" s="267"/>
      <c r="Q405" s="267"/>
      <c r="S405" s="267"/>
      <c r="T405" s="267"/>
      <c r="U405" s="267"/>
      <c r="V405" s="267"/>
      <c r="W405" s="264"/>
      <c r="Y405" s="267"/>
      <c r="Z405" s="267"/>
      <c r="AA405" s="267"/>
      <c r="AB405" s="267"/>
      <c r="AE405" s="267"/>
      <c r="AF405" s="267"/>
      <c r="AG405" s="267"/>
      <c r="AH405" s="267"/>
      <c r="AK405" s="267"/>
      <c r="AL405" s="267"/>
      <c r="AM405" s="267"/>
      <c r="AN405" s="267"/>
      <c r="AQ405" s="267"/>
      <c r="AR405" s="267"/>
      <c r="AS405" s="267"/>
      <c r="AT405" s="267"/>
      <c r="AW405" s="267"/>
      <c r="AX405" s="267"/>
      <c r="AY405" s="267"/>
      <c r="AZ405" s="267"/>
      <c r="BG405" s="269"/>
      <c r="BM405" s="269"/>
      <c r="BS405" s="269"/>
      <c r="BU405" s="267"/>
      <c r="BY405" s="267"/>
      <c r="CC405" s="267"/>
      <c r="CG405" s="267"/>
      <c r="CS405" s="267"/>
      <c r="CW405" s="270"/>
      <c r="CX405" s="267"/>
      <c r="DC405" s="267"/>
      <c r="DH405" s="267"/>
      <c r="DM405" s="267"/>
      <c r="DR405" s="267"/>
      <c r="DW405" s="267"/>
      <c r="EB405" s="267"/>
      <c r="EG405" s="267"/>
      <c r="EL405" s="267"/>
      <c r="EQ405" s="267"/>
      <c r="EU405" s="270"/>
      <c r="EV405" s="267"/>
      <c r="FC405" s="267"/>
      <c r="FD405" s="267"/>
      <c r="FE405" s="267"/>
      <c r="FF405" s="267"/>
      <c r="FG405" s="267"/>
      <c r="FL405" s="267"/>
      <c r="FM405" s="267"/>
      <c r="FN405" s="267"/>
      <c r="FO405" s="267"/>
      <c r="FP405" s="267"/>
      <c r="FQ405" s="264"/>
      <c r="FR405" s="264"/>
      <c r="FS405" s="264"/>
      <c r="FT405" s="264"/>
      <c r="FU405" s="267"/>
      <c r="FV405" s="267"/>
      <c r="FW405" s="267"/>
      <c r="FX405" s="267"/>
      <c r="FY405" s="267"/>
      <c r="GD405" s="267"/>
      <c r="GE405" s="267"/>
      <c r="GF405" s="267"/>
      <c r="GG405" s="267"/>
      <c r="GH405" s="267"/>
      <c r="GI405" s="264"/>
      <c r="GJ405" s="264"/>
      <c r="GK405" s="264"/>
      <c r="GL405" s="264"/>
      <c r="HD405" s="267"/>
      <c r="HE405" s="267"/>
      <c r="HF405" s="267"/>
      <c r="HG405" s="267"/>
      <c r="HH405" s="267"/>
      <c r="HI405" s="267"/>
      <c r="HJ405" s="267"/>
      <c r="HK405" s="267"/>
      <c r="HL405" s="267"/>
      <c r="HM405" s="267"/>
      <c r="HN405" s="267"/>
      <c r="HO405" s="267"/>
      <c r="HP405" s="267"/>
      <c r="HQ405" s="267"/>
      <c r="HR405" s="267"/>
      <c r="HS405" s="267"/>
      <c r="HT405" s="267"/>
      <c r="HU405" s="267"/>
      <c r="IH405" s="267"/>
      <c r="IK405" s="267"/>
      <c r="IN405" s="267"/>
      <c r="IQ405" s="267"/>
      <c r="IR405" s="267"/>
      <c r="IS405" s="267"/>
      <c r="IV405" s="267"/>
      <c r="IY405" s="267"/>
    </row>
    <row r="406" spans="10:259">
      <c r="J406" s="267"/>
      <c r="K406" s="267"/>
      <c r="L406" s="267"/>
      <c r="M406" s="267"/>
      <c r="N406" s="267"/>
      <c r="O406" s="267"/>
      <c r="P406" s="267"/>
      <c r="Q406" s="267"/>
      <c r="S406" s="267"/>
      <c r="T406" s="267"/>
      <c r="U406" s="267"/>
      <c r="V406" s="267"/>
      <c r="W406" s="264"/>
      <c r="Y406" s="267"/>
      <c r="Z406" s="267"/>
      <c r="AA406" s="267"/>
      <c r="AB406" s="267"/>
      <c r="AE406" s="267"/>
      <c r="AF406" s="267"/>
      <c r="AG406" s="267"/>
      <c r="AH406" s="267"/>
      <c r="AK406" s="267"/>
      <c r="AL406" s="267"/>
      <c r="AM406" s="267"/>
      <c r="AN406" s="267"/>
      <c r="AQ406" s="267"/>
      <c r="AR406" s="267"/>
      <c r="AS406" s="267"/>
      <c r="AT406" s="267"/>
      <c r="AW406" s="267"/>
      <c r="AX406" s="267"/>
      <c r="AY406" s="267"/>
      <c r="AZ406" s="267"/>
      <c r="BG406" s="269"/>
      <c r="BM406" s="269"/>
      <c r="BS406" s="269"/>
      <c r="BU406" s="267"/>
      <c r="BY406" s="267"/>
      <c r="CC406" s="267"/>
      <c r="CG406" s="267"/>
      <c r="CS406" s="267"/>
      <c r="CW406" s="270"/>
      <c r="CX406" s="267"/>
      <c r="DC406" s="267"/>
      <c r="DH406" s="267"/>
      <c r="DM406" s="267"/>
      <c r="DR406" s="267"/>
      <c r="DW406" s="267"/>
      <c r="EB406" s="267"/>
      <c r="EG406" s="267"/>
      <c r="EL406" s="267"/>
      <c r="EQ406" s="267"/>
      <c r="EU406" s="270"/>
      <c r="EV406" s="267"/>
      <c r="FC406" s="267"/>
      <c r="FD406" s="267"/>
      <c r="FE406" s="267"/>
      <c r="FF406" s="267"/>
      <c r="FG406" s="267"/>
      <c r="FL406" s="267"/>
      <c r="FM406" s="267"/>
      <c r="FN406" s="267"/>
      <c r="FO406" s="267"/>
      <c r="FP406" s="267"/>
      <c r="FQ406" s="264"/>
      <c r="FR406" s="264"/>
      <c r="FS406" s="264"/>
      <c r="FT406" s="264"/>
      <c r="FU406" s="267"/>
      <c r="FV406" s="267"/>
      <c r="FW406" s="267"/>
      <c r="FX406" s="267"/>
      <c r="FY406" s="267"/>
      <c r="GD406" s="267"/>
      <c r="GE406" s="267"/>
      <c r="GF406" s="267"/>
      <c r="GG406" s="267"/>
      <c r="GH406" s="267"/>
      <c r="GI406" s="264"/>
      <c r="GJ406" s="264"/>
      <c r="GK406" s="264"/>
      <c r="GL406" s="264"/>
      <c r="HD406" s="267"/>
      <c r="HE406" s="267"/>
      <c r="HF406" s="267"/>
      <c r="HG406" s="267"/>
      <c r="HH406" s="267"/>
      <c r="HI406" s="267"/>
      <c r="HJ406" s="267"/>
      <c r="HK406" s="267"/>
      <c r="HL406" s="267"/>
      <c r="HM406" s="267"/>
      <c r="HN406" s="267"/>
      <c r="HO406" s="267"/>
      <c r="HP406" s="267"/>
      <c r="HQ406" s="267"/>
      <c r="HR406" s="267"/>
      <c r="HS406" s="267"/>
      <c r="HT406" s="267"/>
      <c r="HU406" s="267"/>
      <c r="IH406" s="267"/>
      <c r="IK406" s="267"/>
      <c r="IN406" s="267"/>
      <c r="IQ406" s="267"/>
      <c r="IR406" s="267"/>
      <c r="IS406" s="267"/>
      <c r="IV406" s="267"/>
      <c r="IY406" s="267"/>
    </row>
    <row r="407" spans="10:259">
      <c r="J407" s="267"/>
      <c r="K407" s="267"/>
      <c r="L407" s="267"/>
      <c r="M407" s="267"/>
      <c r="N407" s="267"/>
      <c r="O407" s="267"/>
      <c r="P407" s="267"/>
      <c r="Q407" s="267"/>
      <c r="S407" s="267"/>
      <c r="T407" s="267"/>
      <c r="U407" s="267"/>
      <c r="V407" s="267"/>
      <c r="W407" s="264"/>
      <c r="Y407" s="267"/>
      <c r="Z407" s="267"/>
      <c r="AA407" s="267"/>
      <c r="AB407" s="267"/>
      <c r="AE407" s="267"/>
      <c r="AF407" s="267"/>
      <c r="AG407" s="267"/>
      <c r="AH407" s="267"/>
      <c r="AK407" s="267"/>
      <c r="AL407" s="267"/>
      <c r="AM407" s="267"/>
      <c r="AN407" s="267"/>
      <c r="AQ407" s="267"/>
      <c r="AR407" s="267"/>
      <c r="AS407" s="267"/>
      <c r="AT407" s="267"/>
      <c r="AW407" s="267"/>
      <c r="AX407" s="267"/>
      <c r="AY407" s="267"/>
      <c r="AZ407" s="267"/>
      <c r="BG407" s="269"/>
      <c r="BM407" s="269"/>
      <c r="BS407" s="269"/>
      <c r="BU407" s="267"/>
      <c r="BY407" s="267"/>
      <c r="CC407" s="267"/>
      <c r="CG407" s="267"/>
      <c r="CS407" s="267"/>
      <c r="CW407" s="270"/>
      <c r="CX407" s="267"/>
      <c r="DC407" s="267"/>
      <c r="DH407" s="267"/>
      <c r="DM407" s="267"/>
      <c r="DR407" s="267"/>
      <c r="DW407" s="267"/>
      <c r="EB407" s="267"/>
      <c r="EG407" s="267"/>
      <c r="EL407" s="267"/>
      <c r="EQ407" s="267"/>
      <c r="EU407" s="270"/>
      <c r="EV407" s="267"/>
      <c r="FC407" s="267"/>
      <c r="FD407" s="267"/>
      <c r="FE407" s="267"/>
      <c r="FF407" s="267"/>
      <c r="FG407" s="267"/>
      <c r="FL407" s="267"/>
      <c r="FM407" s="267"/>
      <c r="FN407" s="267"/>
      <c r="FO407" s="267"/>
      <c r="FP407" s="267"/>
      <c r="FQ407" s="264"/>
      <c r="FR407" s="264"/>
      <c r="FS407" s="264"/>
      <c r="FT407" s="264"/>
      <c r="FU407" s="267"/>
      <c r="FV407" s="267"/>
      <c r="FW407" s="267"/>
      <c r="FX407" s="267"/>
      <c r="FY407" s="267"/>
      <c r="GD407" s="267"/>
      <c r="GE407" s="267"/>
      <c r="GF407" s="267"/>
      <c r="GG407" s="267"/>
      <c r="GH407" s="267"/>
      <c r="GI407" s="264"/>
      <c r="GJ407" s="264"/>
      <c r="GK407" s="264"/>
      <c r="GL407" s="264"/>
      <c r="HD407" s="267"/>
      <c r="HE407" s="267"/>
      <c r="HF407" s="267"/>
      <c r="HG407" s="267"/>
      <c r="HH407" s="267"/>
      <c r="HI407" s="267"/>
      <c r="HJ407" s="267"/>
      <c r="HK407" s="267"/>
      <c r="HL407" s="267"/>
      <c r="HM407" s="267"/>
      <c r="HN407" s="267"/>
      <c r="HO407" s="267"/>
      <c r="HP407" s="267"/>
      <c r="HQ407" s="267"/>
      <c r="HR407" s="267"/>
      <c r="HS407" s="267"/>
      <c r="HT407" s="267"/>
      <c r="HU407" s="267"/>
      <c r="IH407" s="267"/>
      <c r="IK407" s="267"/>
      <c r="IN407" s="267"/>
      <c r="IQ407" s="267"/>
      <c r="IR407" s="267"/>
      <c r="IS407" s="267"/>
      <c r="IV407" s="267"/>
      <c r="IY407" s="267"/>
    </row>
    <row r="408" spans="10:259">
      <c r="J408" s="267"/>
      <c r="K408" s="267"/>
      <c r="L408" s="267"/>
      <c r="M408" s="267"/>
      <c r="N408" s="267"/>
      <c r="O408" s="267"/>
      <c r="P408" s="267"/>
      <c r="Q408" s="267"/>
      <c r="S408" s="267"/>
      <c r="T408" s="267"/>
      <c r="U408" s="267"/>
      <c r="V408" s="267"/>
      <c r="W408" s="264"/>
      <c r="Y408" s="267"/>
      <c r="Z408" s="267"/>
      <c r="AA408" s="267"/>
      <c r="AB408" s="267"/>
      <c r="AE408" s="267"/>
      <c r="AF408" s="267"/>
      <c r="AG408" s="267"/>
      <c r="AH408" s="267"/>
      <c r="AK408" s="267"/>
      <c r="AL408" s="267"/>
      <c r="AM408" s="267"/>
      <c r="AN408" s="267"/>
      <c r="AQ408" s="267"/>
      <c r="AR408" s="267"/>
      <c r="AS408" s="267"/>
      <c r="AT408" s="267"/>
      <c r="AW408" s="267"/>
      <c r="AX408" s="267"/>
      <c r="AY408" s="267"/>
      <c r="AZ408" s="267"/>
      <c r="BG408" s="269"/>
      <c r="BM408" s="269"/>
      <c r="BS408" s="269"/>
      <c r="BU408" s="267"/>
      <c r="BY408" s="267"/>
      <c r="CC408" s="267"/>
      <c r="CG408" s="267"/>
      <c r="CS408" s="267"/>
      <c r="CW408" s="270"/>
      <c r="CX408" s="267"/>
      <c r="DC408" s="267"/>
      <c r="DH408" s="267"/>
      <c r="DM408" s="267"/>
      <c r="DR408" s="267"/>
      <c r="DW408" s="267"/>
      <c r="EB408" s="267"/>
      <c r="EG408" s="267"/>
      <c r="EL408" s="267"/>
      <c r="EQ408" s="267"/>
      <c r="EU408" s="270"/>
      <c r="EV408" s="267"/>
      <c r="FC408" s="267"/>
      <c r="FD408" s="267"/>
      <c r="FE408" s="267"/>
      <c r="FF408" s="267"/>
      <c r="FG408" s="267"/>
      <c r="FL408" s="267"/>
      <c r="FM408" s="267"/>
      <c r="FN408" s="267"/>
      <c r="FO408" s="267"/>
      <c r="FP408" s="267"/>
      <c r="FQ408" s="264"/>
      <c r="FR408" s="264"/>
      <c r="FS408" s="264"/>
      <c r="FT408" s="264"/>
      <c r="FU408" s="267"/>
      <c r="FV408" s="267"/>
      <c r="FW408" s="267"/>
      <c r="FX408" s="267"/>
      <c r="FY408" s="267"/>
      <c r="GD408" s="267"/>
      <c r="GE408" s="267"/>
      <c r="GF408" s="267"/>
      <c r="GG408" s="267"/>
      <c r="GH408" s="267"/>
      <c r="GI408" s="264"/>
      <c r="GJ408" s="264"/>
      <c r="GK408" s="264"/>
      <c r="GL408" s="264"/>
      <c r="HD408" s="267"/>
      <c r="HE408" s="267"/>
      <c r="HF408" s="267"/>
      <c r="HG408" s="267"/>
      <c r="HH408" s="267"/>
      <c r="HI408" s="267"/>
      <c r="HJ408" s="267"/>
      <c r="HK408" s="267"/>
      <c r="HL408" s="267"/>
      <c r="HM408" s="267"/>
      <c r="HN408" s="267"/>
      <c r="HO408" s="267"/>
      <c r="HP408" s="267"/>
      <c r="HQ408" s="267"/>
      <c r="HR408" s="267"/>
      <c r="HS408" s="267"/>
      <c r="HT408" s="267"/>
      <c r="HU408" s="267"/>
      <c r="IH408" s="267"/>
      <c r="IK408" s="267"/>
      <c r="IN408" s="267"/>
      <c r="IQ408" s="267"/>
      <c r="IR408" s="267"/>
      <c r="IS408" s="267"/>
      <c r="IV408" s="267"/>
      <c r="IY408" s="267"/>
    </row>
    <row r="409" spans="10:259">
      <c r="J409" s="267"/>
      <c r="K409" s="267"/>
      <c r="L409" s="267"/>
      <c r="M409" s="267"/>
      <c r="N409" s="267"/>
      <c r="O409" s="267"/>
      <c r="P409" s="267"/>
      <c r="Q409" s="267"/>
      <c r="S409" s="267"/>
      <c r="T409" s="267"/>
      <c r="U409" s="267"/>
      <c r="V409" s="267"/>
      <c r="W409" s="264"/>
      <c r="Y409" s="267"/>
      <c r="Z409" s="267"/>
      <c r="AA409" s="267"/>
      <c r="AB409" s="267"/>
      <c r="AE409" s="267"/>
      <c r="AF409" s="267"/>
      <c r="AG409" s="267"/>
      <c r="AH409" s="267"/>
      <c r="AK409" s="267"/>
      <c r="AL409" s="267"/>
      <c r="AM409" s="267"/>
      <c r="AN409" s="267"/>
      <c r="AQ409" s="267"/>
      <c r="AR409" s="267"/>
      <c r="AS409" s="267"/>
      <c r="AT409" s="267"/>
      <c r="AW409" s="267"/>
      <c r="AX409" s="267"/>
      <c r="AY409" s="267"/>
      <c r="AZ409" s="267"/>
      <c r="BG409" s="269"/>
      <c r="BM409" s="269"/>
      <c r="BS409" s="269"/>
      <c r="BU409" s="267"/>
      <c r="BY409" s="267"/>
      <c r="CC409" s="267"/>
      <c r="CG409" s="267"/>
      <c r="CS409" s="267"/>
      <c r="CW409" s="270"/>
      <c r="CX409" s="267"/>
      <c r="DC409" s="267"/>
      <c r="DH409" s="267"/>
      <c r="DM409" s="267"/>
      <c r="DR409" s="267"/>
      <c r="DW409" s="267"/>
      <c r="EB409" s="267"/>
      <c r="EG409" s="267"/>
      <c r="EL409" s="267"/>
      <c r="EQ409" s="267"/>
      <c r="EU409" s="270"/>
      <c r="EV409" s="267"/>
      <c r="FC409" s="267"/>
      <c r="FD409" s="267"/>
      <c r="FE409" s="267"/>
      <c r="FF409" s="267"/>
      <c r="FG409" s="267"/>
      <c r="FL409" s="267"/>
      <c r="FM409" s="267"/>
      <c r="FN409" s="267"/>
      <c r="FO409" s="267"/>
      <c r="FP409" s="267"/>
      <c r="FQ409" s="264"/>
      <c r="FR409" s="264"/>
      <c r="FS409" s="264"/>
      <c r="FT409" s="264"/>
      <c r="FU409" s="267"/>
      <c r="FV409" s="267"/>
      <c r="FW409" s="267"/>
      <c r="FX409" s="267"/>
      <c r="FY409" s="267"/>
      <c r="GD409" s="267"/>
      <c r="GE409" s="267"/>
      <c r="GF409" s="267"/>
      <c r="GG409" s="267"/>
      <c r="GH409" s="267"/>
      <c r="GI409" s="264"/>
      <c r="GJ409" s="264"/>
      <c r="GK409" s="264"/>
      <c r="GL409" s="264"/>
      <c r="HD409" s="267"/>
      <c r="HE409" s="267"/>
      <c r="HF409" s="267"/>
      <c r="HG409" s="267"/>
      <c r="HH409" s="267"/>
      <c r="HI409" s="267"/>
      <c r="HJ409" s="267"/>
      <c r="HK409" s="267"/>
      <c r="HL409" s="267"/>
      <c r="HM409" s="267"/>
      <c r="HN409" s="267"/>
      <c r="HO409" s="267"/>
      <c r="HP409" s="267"/>
      <c r="HQ409" s="267"/>
      <c r="HR409" s="267"/>
      <c r="HS409" s="267"/>
      <c r="HT409" s="267"/>
      <c r="HU409" s="267"/>
      <c r="IH409" s="267"/>
      <c r="IK409" s="267"/>
      <c r="IN409" s="267"/>
      <c r="IQ409" s="267"/>
      <c r="IR409" s="267"/>
      <c r="IS409" s="267"/>
      <c r="IV409" s="267"/>
      <c r="IY409" s="267"/>
    </row>
    <row r="410" spans="10:259">
      <c r="J410" s="267"/>
      <c r="K410" s="267"/>
      <c r="L410" s="267"/>
      <c r="M410" s="267"/>
      <c r="N410" s="267"/>
      <c r="O410" s="267"/>
      <c r="P410" s="267"/>
      <c r="Q410" s="267"/>
      <c r="S410" s="267"/>
      <c r="T410" s="267"/>
      <c r="U410" s="267"/>
      <c r="V410" s="267"/>
      <c r="W410" s="264"/>
      <c r="Y410" s="267"/>
      <c r="Z410" s="267"/>
      <c r="AA410" s="267"/>
      <c r="AB410" s="267"/>
      <c r="AE410" s="267"/>
      <c r="AF410" s="267"/>
      <c r="AG410" s="267"/>
      <c r="AH410" s="267"/>
      <c r="AK410" s="267"/>
      <c r="AL410" s="267"/>
      <c r="AM410" s="267"/>
      <c r="AN410" s="267"/>
      <c r="AQ410" s="267"/>
      <c r="AR410" s="267"/>
      <c r="AS410" s="267"/>
      <c r="AT410" s="267"/>
      <c r="AW410" s="267"/>
      <c r="AX410" s="267"/>
      <c r="AY410" s="267"/>
      <c r="AZ410" s="267"/>
      <c r="BG410" s="269"/>
      <c r="BM410" s="269"/>
      <c r="BS410" s="269"/>
      <c r="BU410" s="267"/>
      <c r="BY410" s="267"/>
      <c r="CC410" s="267"/>
      <c r="CG410" s="267"/>
      <c r="CS410" s="267"/>
      <c r="CW410" s="270"/>
      <c r="CX410" s="267"/>
      <c r="DC410" s="267"/>
      <c r="DH410" s="267"/>
      <c r="DM410" s="267"/>
      <c r="DR410" s="267"/>
      <c r="DW410" s="267"/>
      <c r="EB410" s="267"/>
      <c r="EG410" s="267"/>
      <c r="EL410" s="267"/>
      <c r="EQ410" s="267"/>
      <c r="EU410" s="270"/>
      <c r="EV410" s="267"/>
      <c r="FC410" s="267"/>
      <c r="FD410" s="267"/>
      <c r="FE410" s="267"/>
      <c r="FF410" s="267"/>
      <c r="FG410" s="267"/>
      <c r="FL410" s="267"/>
      <c r="FM410" s="267"/>
      <c r="FN410" s="267"/>
      <c r="FO410" s="267"/>
      <c r="FP410" s="267"/>
      <c r="FQ410" s="264"/>
      <c r="FR410" s="264"/>
      <c r="FS410" s="264"/>
      <c r="FT410" s="264"/>
      <c r="FU410" s="267"/>
      <c r="FV410" s="267"/>
      <c r="FW410" s="267"/>
      <c r="FX410" s="267"/>
      <c r="FY410" s="267"/>
      <c r="GD410" s="267"/>
      <c r="GE410" s="267"/>
      <c r="GF410" s="267"/>
      <c r="GG410" s="267"/>
      <c r="GH410" s="267"/>
      <c r="GI410" s="264"/>
      <c r="GJ410" s="264"/>
      <c r="GK410" s="264"/>
      <c r="GL410" s="264"/>
      <c r="HD410" s="267"/>
      <c r="HE410" s="267"/>
      <c r="HF410" s="267"/>
      <c r="HG410" s="267"/>
      <c r="HH410" s="267"/>
      <c r="HI410" s="267"/>
      <c r="HJ410" s="267"/>
      <c r="HK410" s="267"/>
      <c r="HL410" s="267"/>
      <c r="HM410" s="267"/>
      <c r="HN410" s="267"/>
      <c r="HO410" s="267"/>
      <c r="HP410" s="267"/>
      <c r="HQ410" s="267"/>
      <c r="HR410" s="267"/>
      <c r="HS410" s="267"/>
      <c r="HT410" s="267"/>
      <c r="HU410" s="267"/>
      <c r="IH410" s="267"/>
      <c r="IK410" s="267"/>
      <c r="IN410" s="267"/>
      <c r="IQ410" s="267"/>
      <c r="IR410" s="267"/>
      <c r="IS410" s="267"/>
      <c r="IV410" s="267"/>
      <c r="IY410" s="267"/>
    </row>
    <row r="411" spans="10:259">
      <c r="J411" s="267"/>
      <c r="K411" s="267"/>
      <c r="L411" s="267"/>
      <c r="M411" s="267"/>
      <c r="N411" s="267"/>
      <c r="O411" s="267"/>
      <c r="P411" s="267"/>
      <c r="Q411" s="267"/>
      <c r="S411" s="267"/>
      <c r="T411" s="267"/>
      <c r="U411" s="267"/>
      <c r="V411" s="267"/>
      <c r="W411" s="264"/>
      <c r="Y411" s="267"/>
      <c r="Z411" s="267"/>
      <c r="AA411" s="267"/>
      <c r="AB411" s="267"/>
      <c r="AE411" s="267"/>
      <c r="AF411" s="267"/>
      <c r="AG411" s="267"/>
      <c r="AH411" s="267"/>
      <c r="AK411" s="267"/>
      <c r="AL411" s="267"/>
      <c r="AM411" s="267"/>
      <c r="AN411" s="267"/>
      <c r="AQ411" s="267"/>
      <c r="AR411" s="267"/>
      <c r="AS411" s="267"/>
      <c r="AT411" s="267"/>
      <c r="AW411" s="267"/>
      <c r="AX411" s="267"/>
      <c r="AY411" s="267"/>
      <c r="AZ411" s="267"/>
      <c r="BG411" s="269"/>
      <c r="BM411" s="269"/>
      <c r="BS411" s="269"/>
      <c r="BU411" s="267"/>
      <c r="BY411" s="267"/>
      <c r="CC411" s="267"/>
      <c r="CG411" s="267"/>
      <c r="CS411" s="267"/>
      <c r="CW411" s="270"/>
      <c r="CX411" s="267"/>
      <c r="DC411" s="267"/>
      <c r="DH411" s="267"/>
      <c r="DM411" s="267"/>
      <c r="DR411" s="267"/>
      <c r="DW411" s="267"/>
      <c r="EB411" s="267"/>
      <c r="EG411" s="267"/>
      <c r="EL411" s="267"/>
      <c r="EQ411" s="267"/>
      <c r="EU411" s="270"/>
      <c r="EV411" s="267"/>
      <c r="FC411" s="267"/>
      <c r="FD411" s="267"/>
      <c r="FE411" s="267"/>
      <c r="FF411" s="267"/>
      <c r="FG411" s="267"/>
      <c r="FL411" s="267"/>
      <c r="FM411" s="267"/>
      <c r="FN411" s="267"/>
      <c r="FO411" s="267"/>
      <c r="FP411" s="267"/>
      <c r="FQ411" s="264"/>
      <c r="FR411" s="264"/>
      <c r="FS411" s="264"/>
      <c r="FT411" s="264"/>
      <c r="FU411" s="267"/>
      <c r="FV411" s="267"/>
      <c r="FW411" s="267"/>
      <c r="FX411" s="267"/>
      <c r="FY411" s="267"/>
      <c r="GD411" s="267"/>
      <c r="GE411" s="267"/>
      <c r="GF411" s="267"/>
      <c r="GG411" s="267"/>
      <c r="GH411" s="267"/>
      <c r="GI411" s="264"/>
      <c r="GJ411" s="264"/>
      <c r="GK411" s="264"/>
      <c r="GL411" s="264"/>
      <c r="HD411" s="267"/>
      <c r="HE411" s="267"/>
      <c r="HF411" s="267"/>
      <c r="HG411" s="267"/>
      <c r="HH411" s="267"/>
      <c r="HI411" s="267"/>
      <c r="HJ411" s="267"/>
      <c r="HK411" s="267"/>
      <c r="HL411" s="267"/>
      <c r="HM411" s="267"/>
      <c r="HN411" s="267"/>
      <c r="HO411" s="267"/>
      <c r="HP411" s="267"/>
      <c r="HQ411" s="267"/>
      <c r="HR411" s="267"/>
      <c r="HS411" s="267"/>
      <c r="HT411" s="267"/>
      <c r="HU411" s="267"/>
      <c r="IH411" s="267"/>
      <c r="IK411" s="267"/>
      <c r="IN411" s="267"/>
      <c r="IQ411" s="267"/>
      <c r="IR411" s="267"/>
      <c r="IS411" s="267"/>
      <c r="IV411" s="267"/>
      <c r="IY411" s="267"/>
    </row>
    <row r="412" spans="10:259">
      <c r="J412" s="267"/>
      <c r="K412" s="267"/>
      <c r="L412" s="267"/>
      <c r="M412" s="267"/>
      <c r="N412" s="267"/>
      <c r="O412" s="267"/>
      <c r="P412" s="267"/>
      <c r="Q412" s="267"/>
      <c r="S412" s="267"/>
      <c r="T412" s="267"/>
      <c r="U412" s="267"/>
      <c r="V412" s="267"/>
      <c r="W412" s="264"/>
      <c r="Y412" s="267"/>
      <c r="Z412" s="267"/>
      <c r="AA412" s="267"/>
      <c r="AB412" s="267"/>
      <c r="AE412" s="267"/>
      <c r="AF412" s="267"/>
      <c r="AG412" s="267"/>
      <c r="AH412" s="267"/>
      <c r="AK412" s="267"/>
      <c r="AL412" s="267"/>
      <c r="AM412" s="267"/>
      <c r="AN412" s="267"/>
      <c r="AQ412" s="267"/>
      <c r="AR412" s="267"/>
      <c r="AS412" s="267"/>
      <c r="AT412" s="267"/>
      <c r="AW412" s="267"/>
      <c r="AX412" s="267"/>
      <c r="AY412" s="267"/>
      <c r="AZ412" s="267"/>
      <c r="BG412" s="269"/>
      <c r="BM412" s="269"/>
      <c r="BS412" s="269"/>
      <c r="BU412" s="267"/>
      <c r="BY412" s="267"/>
      <c r="CC412" s="267"/>
      <c r="CG412" s="267"/>
      <c r="CS412" s="267"/>
      <c r="CW412" s="270"/>
      <c r="CX412" s="267"/>
      <c r="DC412" s="267"/>
      <c r="DH412" s="267"/>
      <c r="DM412" s="267"/>
      <c r="DR412" s="267"/>
      <c r="DW412" s="267"/>
      <c r="EB412" s="267"/>
      <c r="EG412" s="267"/>
      <c r="EL412" s="267"/>
      <c r="EQ412" s="267"/>
      <c r="EU412" s="270"/>
      <c r="EV412" s="267"/>
      <c r="FC412" s="267"/>
      <c r="FD412" s="267"/>
      <c r="FE412" s="267"/>
      <c r="FF412" s="267"/>
      <c r="FG412" s="267"/>
      <c r="FL412" s="267"/>
      <c r="FM412" s="267"/>
      <c r="FN412" s="267"/>
      <c r="FO412" s="267"/>
      <c r="FP412" s="267"/>
      <c r="FQ412" s="264"/>
      <c r="FR412" s="264"/>
      <c r="FS412" s="264"/>
      <c r="FT412" s="264"/>
      <c r="FU412" s="267"/>
      <c r="FV412" s="267"/>
      <c r="FW412" s="267"/>
      <c r="FX412" s="267"/>
      <c r="FY412" s="267"/>
      <c r="GD412" s="267"/>
      <c r="GE412" s="267"/>
      <c r="GF412" s="267"/>
      <c r="GG412" s="267"/>
      <c r="GH412" s="267"/>
      <c r="GI412" s="264"/>
      <c r="GJ412" s="264"/>
      <c r="GK412" s="264"/>
      <c r="GL412" s="264"/>
      <c r="HD412" s="267"/>
      <c r="HE412" s="267"/>
      <c r="HF412" s="267"/>
      <c r="HG412" s="267"/>
      <c r="HH412" s="267"/>
      <c r="HI412" s="267"/>
      <c r="HJ412" s="267"/>
      <c r="HK412" s="267"/>
      <c r="HL412" s="267"/>
      <c r="HM412" s="267"/>
      <c r="HN412" s="267"/>
      <c r="HO412" s="267"/>
      <c r="HP412" s="267"/>
      <c r="HQ412" s="267"/>
      <c r="HR412" s="267"/>
      <c r="HS412" s="267"/>
      <c r="HT412" s="267"/>
      <c r="HU412" s="267"/>
      <c r="IH412" s="267"/>
      <c r="IK412" s="267"/>
      <c r="IN412" s="267"/>
      <c r="IQ412" s="267"/>
      <c r="IR412" s="267"/>
      <c r="IS412" s="267"/>
      <c r="IV412" s="267"/>
      <c r="IY412" s="267"/>
    </row>
    <row r="413" spans="10:259">
      <c r="J413" s="267"/>
      <c r="K413" s="267"/>
      <c r="L413" s="267"/>
      <c r="M413" s="267"/>
      <c r="N413" s="267"/>
      <c r="O413" s="267"/>
      <c r="P413" s="267"/>
      <c r="Q413" s="267"/>
      <c r="S413" s="267"/>
      <c r="T413" s="267"/>
      <c r="U413" s="267"/>
      <c r="V413" s="267"/>
      <c r="W413" s="264"/>
      <c r="Y413" s="267"/>
      <c r="Z413" s="267"/>
      <c r="AA413" s="267"/>
      <c r="AB413" s="267"/>
      <c r="AE413" s="267"/>
      <c r="AF413" s="267"/>
      <c r="AG413" s="267"/>
      <c r="AH413" s="267"/>
      <c r="AK413" s="267"/>
      <c r="AL413" s="267"/>
      <c r="AM413" s="267"/>
      <c r="AN413" s="267"/>
      <c r="AQ413" s="267"/>
      <c r="AR413" s="267"/>
      <c r="AS413" s="267"/>
      <c r="AT413" s="267"/>
      <c r="AW413" s="267"/>
      <c r="AX413" s="267"/>
      <c r="AY413" s="267"/>
      <c r="AZ413" s="267"/>
      <c r="BG413" s="269"/>
      <c r="BM413" s="269"/>
      <c r="BS413" s="269"/>
      <c r="BU413" s="267"/>
      <c r="BY413" s="267"/>
      <c r="CC413" s="267"/>
      <c r="CG413" s="267"/>
      <c r="CS413" s="267"/>
      <c r="CW413" s="270"/>
      <c r="CX413" s="267"/>
      <c r="DC413" s="267"/>
      <c r="DH413" s="267"/>
      <c r="DM413" s="267"/>
      <c r="DR413" s="267"/>
      <c r="DW413" s="267"/>
      <c r="EB413" s="267"/>
      <c r="EG413" s="267"/>
      <c r="EL413" s="267"/>
      <c r="EQ413" s="267"/>
      <c r="EU413" s="270"/>
      <c r="EV413" s="267"/>
      <c r="FC413" s="267"/>
      <c r="FD413" s="267"/>
      <c r="FE413" s="267"/>
      <c r="FF413" s="267"/>
      <c r="FG413" s="267"/>
      <c r="FL413" s="267"/>
      <c r="FM413" s="267"/>
      <c r="FN413" s="267"/>
      <c r="FO413" s="267"/>
      <c r="FP413" s="267"/>
      <c r="FQ413" s="264"/>
      <c r="FR413" s="264"/>
      <c r="FS413" s="264"/>
      <c r="FT413" s="264"/>
      <c r="FU413" s="267"/>
      <c r="FV413" s="267"/>
      <c r="FW413" s="267"/>
      <c r="FX413" s="267"/>
      <c r="FY413" s="267"/>
      <c r="GD413" s="267"/>
      <c r="GE413" s="267"/>
      <c r="GF413" s="267"/>
      <c r="GG413" s="267"/>
      <c r="GH413" s="267"/>
      <c r="GI413" s="264"/>
      <c r="GJ413" s="264"/>
      <c r="GK413" s="264"/>
      <c r="GL413" s="264"/>
      <c r="HD413" s="267"/>
      <c r="HE413" s="267"/>
      <c r="HF413" s="267"/>
      <c r="HG413" s="267"/>
      <c r="HH413" s="267"/>
      <c r="HI413" s="267"/>
      <c r="HJ413" s="267"/>
      <c r="HK413" s="267"/>
      <c r="HL413" s="267"/>
      <c r="HM413" s="267"/>
      <c r="HN413" s="267"/>
      <c r="HO413" s="267"/>
      <c r="HP413" s="267"/>
      <c r="HQ413" s="267"/>
      <c r="HR413" s="267"/>
      <c r="HS413" s="267"/>
      <c r="HT413" s="267"/>
      <c r="HU413" s="267"/>
      <c r="IH413" s="267"/>
      <c r="IK413" s="267"/>
      <c r="IN413" s="267"/>
      <c r="IQ413" s="267"/>
      <c r="IR413" s="267"/>
      <c r="IS413" s="267"/>
      <c r="IV413" s="267"/>
      <c r="IY413" s="267"/>
    </row>
    <row r="414" spans="10:259">
      <c r="J414" s="267"/>
      <c r="K414" s="267"/>
      <c r="L414" s="267"/>
      <c r="M414" s="267"/>
      <c r="N414" s="267"/>
      <c r="O414" s="267"/>
      <c r="P414" s="267"/>
      <c r="Q414" s="267"/>
      <c r="S414" s="267"/>
      <c r="T414" s="267"/>
      <c r="U414" s="267"/>
      <c r="V414" s="267"/>
      <c r="W414" s="264"/>
      <c r="Y414" s="267"/>
      <c r="Z414" s="267"/>
      <c r="AA414" s="267"/>
      <c r="AB414" s="267"/>
      <c r="AE414" s="267"/>
      <c r="AF414" s="267"/>
      <c r="AG414" s="267"/>
      <c r="AH414" s="267"/>
      <c r="AK414" s="267"/>
      <c r="AL414" s="267"/>
      <c r="AM414" s="267"/>
      <c r="AN414" s="267"/>
      <c r="AQ414" s="267"/>
      <c r="AR414" s="267"/>
      <c r="AS414" s="267"/>
      <c r="AT414" s="267"/>
      <c r="AW414" s="267"/>
      <c r="AX414" s="267"/>
      <c r="AY414" s="267"/>
      <c r="AZ414" s="267"/>
      <c r="BG414" s="269"/>
      <c r="BM414" s="269"/>
      <c r="BS414" s="269"/>
      <c r="BU414" s="267"/>
      <c r="BY414" s="267"/>
      <c r="CC414" s="267"/>
      <c r="CG414" s="267"/>
      <c r="CS414" s="267"/>
      <c r="CW414" s="270"/>
      <c r="CX414" s="267"/>
      <c r="DC414" s="267"/>
      <c r="DH414" s="267"/>
      <c r="DM414" s="267"/>
      <c r="DR414" s="267"/>
      <c r="DW414" s="267"/>
      <c r="EB414" s="267"/>
      <c r="EG414" s="267"/>
      <c r="EL414" s="267"/>
      <c r="EQ414" s="267"/>
      <c r="EU414" s="270"/>
      <c r="EV414" s="267"/>
      <c r="FC414" s="267"/>
      <c r="FD414" s="267"/>
      <c r="FE414" s="267"/>
      <c r="FF414" s="267"/>
      <c r="FG414" s="267"/>
      <c r="FL414" s="267"/>
      <c r="FM414" s="267"/>
      <c r="FN414" s="267"/>
      <c r="FO414" s="267"/>
      <c r="FP414" s="267"/>
      <c r="FQ414" s="264"/>
      <c r="FR414" s="264"/>
      <c r="FS414" s="264"/>
      <c r="FT414" s="264"/>
      <c r="FU414" s="267"/>
      <c r="FV414" s="267"/>
      <c r="FW414" s="267"/>
      <c r="FX414" s="267"/>
      <c r="FY414" s="267"/>
      <c r="GD414" s="267"/>
      <c r="GE414" s="267"/>
      <c r="GF414" s="267"/>
      <c r="GG414" s="267"/>
      <c r="GH414" s="267"/>
      <c r="GI414" s="264"/>
      <c r="GJ414" s="264"/>
      <c r="GK414" s="264"/>
      <c r="GL414" s="264"/>
      <c r="HD414" s="267"/>
      <c r="HE414" s="267"/>
      <c r="HF414" s="267"/>
      <c r="HG414" s="267"/>
      <c r="HH414" s="267"/>
      <c r="HI414" s="267"/>
      <c r="HJ414" s="267"/>
      <c r="HK414" s="267"/>
      <c r="HL414" s="267"/>
      <c r="HM414" s="267"/>
      <c r="HN414" s="267"/>
      <c r="HO414" s="267"/>
      <c r="HP414" s="267"/>
      <c r="HQ414" s="267"/>
      <c r="HR414" s="267"/>
      <c r="HS414" s="267"/>
      <c r="HT414" s="267"/>
      <c r="HU414" s="267"/>
      <c r="IH414" s="267"/>
      <c r="IK414" s="267"/>
      <c r="IN414" s="267"/>
      <c r="IQ414" s="267"/>
      <c r="IR414" s="267"/>
      <c r="IS414" s="267"/>
      <c r="IV414" s="267"/>
      <c r="IY414" s="267"/>
    </row>
    <row r="415" spans="10:259">
      <c r="J415" s="267"/>
      <c r="K415" s="267"/>
      <c r="L415" s="267"/>
      <c r="M415" s="267"/>
      <c r="N415" s="267"/>
      <c r="O415" s="267"/>
      <c r="P415" s="267"/>
      <c r="Q415" s="267"/>
      <c r="S415" s="267"/>
      <c r="T415" s="267"/>
      <c r="U415" s="267"/>
      <c r="V415" s="267"/>
      <c r="W415" s="264"/>
      <c r="Y415" s="267"/>
      <c r="Z415" s="267"/>
      <c r="AA415" s="267"/>
      <c r="AB415" s="267"/>
      <c r="AE415" s="267"/>
      <c r="AF415" s="267"/>
      <c r="AG415" s="267"/>
      <c r="AH415" s="267"/>
      <c r="AK415" s="267"/>
      <c r="AL415" s="267"/>
      <c r="AM415" s="267"/>
      <c r="AN415" s="267"/>
      <c r="AQ415" s="267"/>
      <c r="AR415" s="267"/>
      <c r="AS415" s="267"/>
      <c r="AT415" s="267"/>
      <c r="AW415" s="267"/>
      <c r="AX415" s="267"/>
      <c r="AY415" s="267"/>
      <c r="AZ415" s="267"/>
      <c r="BG415" s="269"/>
      <c r="BM415" s="269"/>
      <c r="BS415" s="269"/>
      <c r="BU415" s="267"/>
      <c r="BY415" s="267"/>
      <c r="CC415" s="267"/>
      <c r="CG415" s="267"/>
      <c r="CS415" s="267"/>
      <c r="CW415" s="270"/>
      <c r="CX415" s="267"/>
      <c r="DC415" s="267"/>
      <c r="DH415" s="267"/>
      <c r="DM415" s="267"/>
      <c r="DR415" s="267"/>
      <c r="DW415" s="267"/>
      <c r="EB415" s="267"/>
      <c r="EG415" s="267"/>
      <c r="EL415" s="267"/>
      <c r="EQ415" s="267"/>
      <c r="EU415" s="270"/>
      <c r="EV415" s="267"/>
      <c r="FC415" s="267"/>
      <c r="FD415" s="267"/>
      <c r="FE415" s="267"/>
      <c r="FF415" s="267"/>
      <c r="FG415" s="267"/>
      <c r="FL415" s="267"/>
      <c r="FM415" s="267"/>
      <c r="FN415" s="267"/>
      <c r="FO415" s="267"/>
      <c r="FP415" s="267"/>
      <c r="FQ415" s="264"/>
      <c r="FR415" s="264"/>
      <c r="FS415" s="264"/>
      <c r="FT415" s="264"/>
      <c r="FU415" s="267"/>
      <c r="FV415" s="267"/>
      <c r="FW415" s="267"/>
      <c r="FX415" s="267"/>
      <c r="FY415" s="267"/>
      <c r="GD415" s="267"/>
      <c r="GE415" s="267"/>
      <c r="GF415" s="267"/>
      <c r="GG415" s="267"/>
      <c r="GH415" s="267"/>
      <c r="GI415" s="264"/>
      <c r="GJ415" s="264"/>
      <c r="GK415" s="264"/>
      <c r="GL415" s="264"/>
      <c r="HD415" s="267"/>
      <c r="HE415" s="267"/>
      <c r="HF415" s="267"/>
      <c r="HG415" s="267"/>
      <c r="HH415" s="267"/>
      <c r="HI415" s="267"/>
      <c r="HJ415" s="267"/>
      <c r="HK415" s="267"/>
      <c r="HL415" s="267"/>
      <c r="HM415" s="267"/>
      <c r="HN415" s="267"/>
      <c r="HO415" s="267"/>
      <c r="HP415" s="267"/>
      <c r="HQ415" s="267"/>
      <c r="HR415" s="267"/>
      <c r="HS415" s="267"/>
      <c r="HT415" s="267"/>
      <c r="HU415" s="267"/>
      <c r="IH415" s="267"/>
      <c r="IK415" s="267"/>
      <c r="IN415" s="267"/>
      <c r="IQ415" s="267"/>
      <c r="IR415" s="267"/>
      <c r="IS415" s="267"/>
      <c r="IV415" s="267"/>
      <c r="IY415" s="267"/>
    </row>
    <row r="416" spans="10:259">
      <c r="J416" s="267"/>
      <c r="K416" s="267"/>
      <c r="L416" s="267"/>
      <c r="M416" s="267"/>
      <c r="N416" s="267"/>
      <c r="O416" s="267"/>
      <c r="P416" s="267"/>
      <c r="Q416" s="267"/>
      <c r="S416" s="267"/>
      <c r="T416" s="267"/>
      <c r="U416" s="267"/>
      <c r="V416" s="267"/>
      <c r="W416" s="264"/>
      <c r="Y416" s="267"/>
      <c r="Z416" s="267"/>
      <c r="AA416" s="267"/>
      <c r="AB416" s="267"/>
      <c r="AE416" s="267"/>
      <c r="AF416" s="267"/>
      <c r="AG416" s="267"/>
      <c r="AH416" s="267"/>
      <c r="AK416" s="267"/>
      <c r="AL416" s="267"/>
      <c r="AM416" s="267"/>
      <c r="AN416" s="267"/>
      <c r="AQ416" s="267"/>
      <c r="AR416" s="267"/>
      <c r="AS416" s="267"/>
      <c r="AT416" s="267"/>
      <c r="AW416" s="267"/>
      <c r="AX416" s="267"/>
      <c r="AY416" s="267"/>
      <c r="AZ416" s="267"/>
      <c r="BG416" s="269"/>
      <c r="BM416" s="269"/>
      <c r="BS416" s="269"/>
      <c r="BU416" s="267"/>
      <c r="BY416" s="267"/>
      <c r="CC416" s="267"/>
      <c r="CG416" s="267"/>
      <c r="CS416" s="267"/>
      <c r="CW416" s="270"/>
      <c r="CX416" s="267"/>
      <c r="DC416" s="267"/>
      <c r="DH416" s="267"/>
      <c r="DM416" s="267"/>
      <c r="DR416" s="267"/>
      <c r="DW416" s="267"/>
      <c r="EB416" s="267"/>
      <c r="EG416" s="267"/>
      <c r="EL416" s="267"/>
      <c r="EQ416" s="267"/>
      <c r="EU416" s="270"/>
      <c r="EV416" s="267"/>
      <c r="FC416" s="267"/>
      <c r="FD416" s="267"/>
      <c r="FE416" s="267"/>
      <c r="FF416" s="267"/>
      <c r="FG416" s="267"/>
      <c r="FL416" s="267"/>
      <c r="FM416" s="267"/>
      <c r="FN416" s="267"/>
      <c r="FO416" s="267"/>
      <c r="FP416" s="267"/>
      <c r="FQ416" s="264"/>
      <c r="FR416" s="264"/>
      <c r="FS416" s="264"/>
      <c r="FT416" s="264"/>
      <c r="FU416" s="267"/>
      <c r="FV416" s="267"/>
      <c r="FW416" s="267"/>
      <c r="FX416" s="267"/>
      <c r="FY416" s="267"/>
      <c r="GD416" s="267"/>
      <c r="GE416" s="267"/>
      <c r="GF416" s="267"/>
      <c r="GG416" s="267"/>
      <c r="GH416" s="267"/>
      <c r="GI416" s="264"/>
      <c r="GJ416" s="264"/>
      <c r="GK416" s="264"/>
      <c r="GL416" s="264"/>
      <c r="HD416" s="267"/>
      <c r="HE416" s="267"/>
      <c r="HF416" s="267"/>
      <c r="HG416" s="267"/>
      <c r="HH416" s="267"/>
      <c r="HI416" s="267"/>
      <c r="HJ416" s="267"/>
      <c r="HK416" s="267"/>
      <c r="HL416" s="267"/>
      <c r="HM416" s="267"/>
      <c r="HN416" s="267"/>
      <c r="HO416" s="267"/>
      <c r="HP416" s="267"/>
      <c r="HQ416" s="267"/>
      <c r="HR416" s="267"/>
      <c r="HS416" s="267"/>
      <c r="HT416" s="267"/>
      <c r="HU416" s="267"/>
      <c r="IH416" s="267"/>
      <c r="IK416" s="267"/>
      <c r="IN416" s="267"/>
      <c r="IQ416" s="267"/>
      <c r="IR416" s="267"/>
      <c r="IS416" s="267"/>
      <c r="IV416" s="267"/>
      <c r="IY416" s="267"/>
    </row>
    <row r="417" spans="10:259">
      <c r="J417" s="267"/>
      <c r="K417" s="267"/>
      <c r="L417" s="267"/>
      <c r="M417" s="267"/>
      <c r="N417" s="267"/>
      <c r="O417" s="267"/>
      <c r="P417" s="267"/>
      <c r="Q417" s="267"/>
      <c r="S417" s="267"/>
      <c r="T417" s="267"/>
      <c r="U417" s="267"/>
      <c r="V417" s="267"/>
      <c r="W417" s="264"/>
      <c r="Y417" s="267"/>
      <c r="Z417" s="267"/>
      <c r="AA417" s="267"/>
      <c r="AB417" s="267"/>
      <c r="AE417" s="267"/>
      <c r="AF417" s="267"/>
      <c r="AG417" s="267"/>
      <c r="AH417" s="267"/>
      <c r="AK417" s="267"/>
      <c r="AL417" s="267"/>
      <c r="AM417" s="267"/>
      <c r="AN417" s="267"/>
      <c r="AQ417" s="267"/>
      <c r="AR417" s="267"/>
      <c r="AS417" s="267"/>
      <c r="AT417" s="267"/>
      <c r="AW417" s="267"/>
      <c r="AX417" s="267"/>
      <c r="AY417" s="267"/>
      <c r="AZ417" s="267"/>
      <c r="BG417" s="269"/>
      <c r="BM417" s="269"/>
      <c r="BS417" s="269"/>
      <c r="BU417" s="267"/>
      <c r="BY417" s="267"/>
      <c r="CC417" s="267"/>
      <c r="CG417" s="267"/>
      <c r="CS417" s="267"/>
      <c r="CW417" s="270"/>
      <c r="CX417" s="267"/>
      <c r="DC417" s="267"/>
      <c r="DH417" s="267"/>
      <c r="DM417" s="267"/>
      <c r="DR417" s="267"/>
      <c r="DW417" s="267"/>
      <c r="EB417" s="267"/>
      <c r="EG417" s="267"/>
      <c r="EL417" s="267"/>
      <c r="EQ417" s="267"/>
      <c r="EU417" s="270"/>
      <c r="EV417" s="267"/>
      <c r="FC417" s="267"/>
      <c r="FD417" s="267"/>
      <c r="FE417" s="267"/>
      <c r="FF417" s="267"/>
      <c r="FG417" s="267"/>
      <c r="FL417" s="267"/>
      <c r="FM417" s="267"/>
      <c r="FN417" s="267"/>
      <c r="FO417" s="267"/>
      <c r="FP417" s="267"/>
      <c r="FQ417" s="264"/>
      <c r="FR417" s="264"/>
      <c r="FS417" s="264"/>
      <c r="FT417" s="264"/>
      <c r="FU417" s="267"/>
      <c r="FV417" s="267"/>
      <c r="FW417" s="267"/>
      <c r="FX417" s="267"/>
      <c r="FY417" s="267"/>
      <c r="GD417" s="267"/>
      <c r="GE417" s="267"/>
      <c r="GF417" s="267"/>
      <c r="GG417" s="267"/>
      <c r="GH417" s="267"/>
      <c r="GI417" s="264"/>
      <c r="GJ417" s="264"/>
      <c r="GK417" s="264"/>
      <c r="GL417" s="264"/>
      <c r="HD417" s="267"/>
      <c r="HE417" s="267"/>
      <c r="HF417" s="267"/>
      <c r="HG417" s="267"/>
      <c r="HH417" s="267"/>
      <c r="HI417" s="267"/>
      <c r="HJ417" s="267"/>
      <c r="HK417" s="267"/>
      <c r="HL417" s="267"/>
      <c r="HM417" s="267"/>
      <c r="HN417" s="267"/>
      <c r="HO417" s="267"/>
      <c r="HP417" s="267"/>
      <c r="HQ417" s="267"/>
      <c r="HR417" s="267"/>
      <c r="HS417" s="267"/>
      <c r="HT417" s="267"/>
      <c r="HU417" s="267"/>
      <c r="IH417" s="267"/>
      <c r="IK417" s="267"/>
      <c r="IN417" s="267"/>
      <c r="IQ417" s="267"/>
      <c r="IR417" s="267"/>
      <c r="IS417" s="267"/>
      <c r="IV417" s="267"/>
      <c r="IY417" s="267"/>
    </row>
    <row r="418" spans="10:259">
      <c r="J418" s="267"/>
      <c r="K418" s="267"/>
      <c r="L418" s="267"/>
      <c r="M418" s="267"/>
      <c r="N418" s="267"/>
      <c r="O418" s="267"/>
      <c r="P418" s="267"/>
      <c r="Q418" s="267"/>
      <c r="S418" s="267"/>
      <c r="T418" s="267"/>
      <c r="U418" s="267"/>
      <c r="V418" s="267"/>
      <c r="W418" s="264"/>
      <c r="Y418" s="267"/>
      <c r="Z418" s="267"/>
      <c r="AA418" s="267"/>
      <c r="AB418" s="267"/>
      <c r="AE418" s="267"/>
      <c r="AF418" s="267"/>
      <c r="AG418" s="267"/>
      <c r="AH418" s="267"/>
      <c r="AK418" s="267"/>
      <c r="AL418" s="267"/>
      <c r="AM418" s="267"/>
      <c r="AN418" s="267"/>
      <c r="AQ418" s="267"/>
      <c r="AR418" s="267"/>
      <c r="AS418" s="267"/>
      <c r="AT418" s="267"/>
      <c r="AW418" s="267"/>
      <c r="AX418" s="267"/>
      <c r="AY418" s="267"/>
      <c r="AZ418" s="267"/>
      <c r="BG418" s="269"/>
      <c r="BM418" s="269"/>
      <c r="BS418" s="269"/>
      <c r="BU418" s="267"/>
      <c r="BY418" s="267"/>
      <c r="CC418" s="267"/>
      <c r="CG418" s="267"/>
      <c r="CS418" s="267"/>
      <c r="CW418" s="270"/>
      <c r="CX418" s="267"/>
      <c r="DC418" s="267"/>
      <c r="DH418" s="267"/>
      <c r="DM418" s="267"/>
      <c r="DR418" s="267"/>
      <c r="DW418" s="267"/>
      <c r="EB418" s="267"/>
      <c r="EG418" s="267"/>
      <c r="EL418" s="267"/>
      <c r="EQ418" s="267"/>
      <c r="EU418" s="270"/>
      <c r="EV418" s="267"/>
      <c r="FC418" s="267"/>
      <c r="FD418" s="267"/>
      <c r="FE418" s="267"/>
      <c r="FF418" s="267"/>
      <c r="FG418" s="267"/>
      <c r="FL418" s="267"/>
      <c r="FM418" s="267"/>
      <c r="FN418" s="267"/>
      <c r="FO418" s="267"/>
      <c r="FP418" s="267"/>
      <c r="FQ418" s="264"/>
      <c r="FR418" s="264"/>
      <c r="FS418" s="264"/>
      <c r="FT418" s="264"/>
      <c r="FU418" s="267"/>
      <c r="FV418" s="267"/>
      <c r="FW418" s="267"/>
      <c r="FX418" s="267"/>
      <c r="FY418" s="267"/>
      <c r="GD418" s="267"/>
      <c r="GE418" s="267"/>
      <c r="GF418" s="267"/>
      <c r="GG418" s="267"/>
      <c r="GH418" s="267"/>
      <c r="GI418" s="264"/>
      <c r="GJ418" s="264"/>
      <c r="GK418" s="264"/>
      <c r="GL418" s="264"/>
      <c r="HD418" s="267"/>
      <c r="HE418" s="267"/>
      <c r="HF418" s="267"/>
      <c r="HG418" s="267"/>
      <c r="HH418" s="267"/>
      <c r="HI418" s="267"/>
      <c r="HJ418" s="267"/>
      <c r="HK418" s="267"/>
      <c r="HL418" s="267"/>
      <c r="HM418" s="267"/>
      <c r="HN418" s="267"/>
      <c r="HO418" s="267"/>
      <c r="HP418" s="267"/>
      <c r="HQ418" s="267"/>
      <c r="HR418" s="267"/>
      <c r="HS418" s="267"/>
      <c r="HT418" s="267"/>
      <c r="HU418" s="267"/>
      <c r="IH418" s="267"/>
      <c r="IK418" s="267"/>
      <c r="IN418" s="267"/>
      <c r="IQ418" s="267"/>
      <c r="IR418" s="267"/>
      <c r="IS418" s="267"/>
      <c r="IV418" s="267"/>
      <c r="IY418" s="267"/>
    </row>
    <row r="419" spans="10:259">
      <c r="J419" s="267"/>
      <c r="K419" s="267"/>
      <c r="L419" s="267"/>
      <c r="M419" s="267"/>
      <c r="N419" s="267"/>
      <c r="O419" s="267"/>
      <c r="P419" s="267"/>
      <c r="Q419" s="267"/>
      <c r="S419" s="267"/>
      <c r="T419" s="267"/>
      <c r="U419" s="267"/>
      <c r="V419" s="267"/>
      <c r="W419" s="264"/>
      <c r="Y419" s="267"/>
      <c r="Z419" s="267"/>
      <c r="AA419" s="267"/>
      <c r="AB419" s="267"/>
      <c r="AE419" s="267"/>
      <c r="AF419" s="267"/>
      <c r="AG419" s="267"/>
      <c r="AH419" s="267"/>
      <c r="AK419" s="267"/>
      <c r="AL419" s="267"/>
      <c r="AM419" s="267"/>
      <c r="AN419" s="267"/>
      <c r="AQ419" s="267"/>
      <c r="AR419" s="267"/>
      <c r="AS419" s="267"/>
      <c r="AT419" s="267"/>
      <c r="AW419" s="267"/>
      <c r="AX419" s="267"/>
      <c r="AY419" s="267"/>
      <c r="AZ419" s="267"/>
      <c r="BG419" s="269"/>
      <c r="BM419" s="269"/>
      <c r="BS419" s="269"/>
      <c r="BU419" s="267"/>
      <c r="BY419" s="267"/>
      <c r="CC419" s="267"/>
      <c r="CG419" s="267"/>
      <c r="CS419" s="267"/>
      <c r="CW419" s="270"/>
      <c r="CX419" s="267"/>
      <c r="DC419" s="267"/>
      <c r="DH419" s="267"/>
      <c r="DM419" s="267"/>
      <c r="DR419" s="267"/>
      <c r="DW419" s="267"/>
      <c r="EB419" s="267"/>
      <c r="EG419" s="267"/>
      <c r="EL419" s="267"/>
      <c r="EQ419" s="267"/>
      <c r="EU419" s="270"/>
      <c r="EV419" s="267"/>
      <c r="FC419" s="267"/>
      <c r="FD419" s="267"/>
      <c r="FE419" s="267"/>
      <c r="FF419" s="267"/>
      <c r="FG419" s="267"/>
      <c r="FL419" s="267"/>
      <c r="FM419" s="267"/>
      <c r="FN419" s="267"/>
      <c r="FO419" s="267"/>
      <c r="FP419" s="267"/>
      <c r="FQ419" s="264"/>
      <c r="FR419" s="264"/>
      <c r="FS419" s="264"/>
      <c r="FT419" s="264"/>
      <c r="FU419" s="267"/>
      <c r="FV419" s="267"/>
      <c r="FW419" s="267"/>
      <c r="FX419" s="267"/>
      <c r="FY419" s="267"/>
      <c r="GD419" s="267"/>
      <c r="GE419" s="267"/>
      <c r="GF419" s="267"/>
      <c r="GG419" s="267"/>
      <c r="GH419" s="267"/>
      <c r="GI419" s="264"/>
      <c r="GJ419" s="264"/>
      <c r="GK419" s="264"/>
      <c r="GL419" s="264"/>
      <c r="HD419" s="267"/>
      <c r="HE419" s="267"/>
      <c r="HF419" s="267"/>
      <c r="HG419" s="267"/>
      <c r="HH419" s="267"/>
      <c r="HI419" s="267"/>
      <c r="HJ419" s="267"/>
      <c r="HK419" s="267"/>
      <c r="HL419" s="267"/>
      <c r="HM419" s="267"/>
      <c r="HN419" s="267"/>
      <c r="HO419" s="267"/>
      <c r="HP419" s="267"/>
      <c r="HQ419" s="267"/>
      <c r="HR419" s="267"/>
      <c r="HS419" s="267"/>
      <c r="HT419" s="267"/>
      <c r="HU419" s="267"/>
      <c r="IH419" s="267"/>
      <c r="IK419" s="267"/>
      <c r="IN419" s="267"/>
      <c r="IQ419" s="267"/>
      <c r="IR419" s="267"/>
      <c r="IS419" s="267"/>
      <c r="IV419" s="267"/>
      <c r="IY419" s="267"/>
    </row>
    <row r="420" spans="10:259">
      <c r="J420" s="267"/>
      <c r="K420" s="267"/>
      <c r="L420" s="267"/>
      <c r="M420" s="267"/>
      <c r="N420" s="267"/>
      <c r="O420" s="267"/>
      <c r="P420" s="267"/>
      <c r="Q420" s="267"/>
      <c r="S420" s="267"/>
      <c r="T420" s="267"/>
      <c r="U420" s="267"/>
      <c r="V420" s="267"/>
      <c r="W420" s="264"/>
      <c r="Y420" s="267"/>
      <c r="Z420" s="267"/>
      <c r="AA420" s="267"/>
      <c r="AB420" s="267"/>
      <c r="AE420" s="267"/>
      <c r="AF420" s="267"/>
      <c r="AG420" s="267"/>
      <c r="AH420" s="267"/>
      <c r="AK420" s="267"/>
      <c r="AL420" s="267"/>
      <c r="AM420" s="267"/>
      <c r="AN420" s="267"/>
      <c r="AQ420" s="267"/>
      <c r="AR420" s="267"/>
      <c r="AS420" s="267"/>
      <c r="AT420" s="267"/>
      <c r="AW420" s="267"/>
      <c r="AX420" s="267"/>
      <c r="AY420" s="267"/>
      <c r="AZ420" s="267"/>
      <c r="BG420" s="269"/>
      <c r="BM420" s="269"/>
      <c r="BS420" s="269"/>
      <c r="BU420" s="267"/>
      <c r="BY420" s="267"/>
      <c r="CC420" s="267"/>
      <c r="CG420" s="267"/>
      <c r="CS420" s="267"/>
      <c r="CW420" s="270"/>
      <c r="CX420" s="267"/>
      <c r="DC420" s="267"/>
      <c r="DH420" s="267"/>
      <c r="DM420" s="267"/>
      <c r="DR420" s="267"/>
      <c r="DW420" s="267"/>
      <c r="EB420" s="267"/>
      <c r="EG420" s="267"/>
      <c r="EL420" s="267"/>
      <c r="EQ420" s="267"/>
      <c r="EU420" s="270"/>
      <c r="EV420" s="267"/>
      <c r="FC420" s="267"/>
      <c r="FD420" s="267"/>
      <c r="FE420" s="267"/>
      <c r="FF420" s="267"/>
      <c r="FG420" s="267"/>
      <c r="FL420" s="267"/>
      <c r="FM420" s="267"/>
      <c r="FN420" s="267"/>
      <c r="FO420" s="267"/>
      <c r="FP420" s="267"/>
      <c r="FQ420" s="264"/>
      <c r="FR420" s="264"/>
      <c r="FS420" s="264"/>
      <c r="FT420" s="264"/>
      <c r="FU420" s="267"/>
      <c r="FV420" s="267"/>
      <c r="FW420" s="267"/>
      <c r="FX420" s="267"/>
      <c r="FY420" s="267"/>
      <c r="GD420" s="267"/>
      <c r="GE420" s="267"/>
      <c r="GF420" s="267"/>
      <c r="GG420" s="267"/>
      <c r="GH420" s="267"/>
      <c r="GI420" s="264"/>
      <c r="GJ420" s="264"/>
      <c r="GK420" s="264"/>
      <c r="GL420" s="264"/>
      <c r="HD420" s="267"/>
      <c r="HE420" s="267"/>
      <c r="HF420" s="267"/>
      <c r="HG420" s="267"/>
      <c r="HH420" s="267"/>
      <c r="HI420" s="267"/>
      <c r="HJ420" s="267"/>
      <c r="HK420" s="267"/>
      <c r="HL420" s="267"/>
      <c r="HM420" s="267"/>
      <c r="HN420" s="267"/>
      <c r="HO420" s="267"/>
      <c r="HP420" s="267"/>
      <c r="HQ420" s="267"/>
      <c r="HR420" s="267"/>
      <c r="HS420" s="267"/>
      <c r="HT420" s="267"/>
      <c r="HU420" s="267"/>
      <c r="IH420" s="267"/>
      <c r="IK420" s="267"/>
      <c r="IN420" s="267"/>
      <c r="IQ420" s="267"/>
      <c r="IR420" s="267"/>
      <c r="IS420" s="267"/>
      <c r="IV420" s="267"/>
      <c r="IY420" s="267"/>
    </row>
    <row r="421" spans="10:259">
      <c r="J421" s="267"/>
      <c r="K421" s="267"/>
      <c r="L421" s="267"/>
      <c r="M421" s="267"/>
      <c r="N421" s="267"/>
      <c r="O421" s="267"/>
      <c r="P421" s="267"/>
      <c r="Q421" s="267"/>
      <c r="S421" s="267"/>
      <c r="T421" s="267"/>
      <c r="U421" s="267"/>
      <c r="V421" s="267"/>
      <c r="W421" s="264"/>
      <c r="Y421" s="267"/>
      <c r="Z421" s="267"/>
      <c r="AA421" s="267"/>
      <c r="AB421" s="267"/>
      <c r="AE421" s="267"/>
      <c r="AF421" s="267"/>
      <c r="AG421" s="267"/>
      <c r="AH421" s="267"/>
      <c r="AK421" s="267"/>
      <c r="AL421" s="267"/>
      <c r="AM421" s="267"/>
      <c r="AN421" s="267"/>
      <c r="AQ421" s="267"/>
      <c r="AR421" s="267"/>
      <c r="AS421" s="267"/>
      <c r="AT421" s="267"/>
      <c r="AW421" s="267"/>
      <c r="AX421" s="267"/>
      <c r="AY421" s="267"/>
      <c r="AZ421" s="267"/>
      <c r="BG421" s="269"/>
      <c r="BM421" s="269"/>
      <c r="BS421" s="269"/>
      <c r="BU421" s="267"/>
      <c r="BY421" s="267"/>
      <c r="CC421" s="267"/>
      <c r="CG421" s="267"/>
      <c r="CS421" s="267"/>
      <c r="CW421" s="270"/>
      <c r="CX421" s="267"/>
      <c r="DC421" s="267"/>
      <c r="DH421" s="267"/>
      <c r="DM421" s="267"/>
      <c r="DR421" s="267"/>
      <c r="DW421" s="267"/>
      <c r="EB421" s="267"/>
      <c r="EG421" s="267"/>
      <c r="EL421" s="267"/>
      <c r="EQ421" s="267"/>
      <c r="EU421" s="270"/>
      <c r="EV421" s="267"/>
      <c r="FC421" s="267"/>
      <c r="FD421" s="267"/>
      <c r="FE421" s="267"/>
      <c r="FF421" s="267"/>
      <c r="FG421" s="267"/>
      <c r="FL421" s="267"/>
      <c r="FM421" s="267"/>
      <c r="FN421" s="267"/>
      <c r="FO421" s="267"/>
      <c r="FP421" s="267"/>
      <c r="FQ421" s="264"/>
      <c r="FR421" s="264"/>
      <c r="FS421" s="264"/>
      <c r="FT421" s="264"/>
      <c r="FU421" s="267"/>
      <c r="FV421" s="267"/>
      <c r="FW421" s="267"/>
      <c r="FX421" s="267"/>
      <c r="FY421" s="267"/>
      <c r="GD421" s="267"/>
      <c r="GE421" s="267"/>
      <c r="GF421" s="267"/>
      <c r="GG421" s="267"/>
      <c r="GH421" s="267"/>
      <c r="GI421" s="264"/>
      <c r="GJ421" s="264"/>
      <c r="GK421" s="264"/>
      <c r="GL421" s="264"/>
      <c r="HD421" s="267"/>
      <c r="HE421" s="267"/>
      <c r="HF421" s="267"/>
      <c r="HG421" s="267"/>
      <c r="HH421" s="267"/>
      <c r="HI421" s="267"/>
      <c r="HJ421" s="267"/>
      <c r="HK421" s="267"/>
      <c r="HL421" s="267"/>
      <c r="HM421" s="267"/>
      <c r="HN421" s="267"/>
      <c r="HO421" s="267"/>
      <c r="HP421" s="267"/>
      <c r="HQ421" s="267"/>
      <c r="HR421" s="267"/>
      <c r="HS421" s="267"/>
      <c r="HT421" s="267"/>
      <c r="HU421" s="267"/>
      <c r="IH421" s="267"/>
      <c r="IK421" s="267"/>
      <c r="IN421" s="267"/>
      <c r="IQ421" s="267"/>
      <c r="IR421" s="267"/>
      <c r="IS421" s="267"/>
      <c r="IV421" s="267"/>
      <c r="IY421" s="267"/>
    </row>
    <row r="422" spans="10:259">
      <c r="J422" s="267"/>
      <c r="K422" s="267"/>
      <c r="L422" s="267"/>
      <c r="M422" s="267"/>
      <c r="N422" s="267"/>
      <c r="O422" s="267"/>
      <c r="P422" s="267"/>
      <c r="Q422" s="267"/>
      <c r="S422" s="267"/>
      <c r="T422" s="267"/>
      <c r="U422" s="267"/>
      <c r="V422" s="267"/>
      <c r="W422" s="264"/>
      <c r="Y422" s="267"/>
      <c r="Z422" s="267"/>
      <c r="AA422" s="267"/>
      <c r="AB422" s="267"/>
      <c r="AE422" s="267"/>
      <c r="AF422" s="267"/>
      <c r="AG422" s="267"/>
      <c r="AH422" s="267"/>
      <c r="AK422" s="267"/>
      <c r="AL422" s="267"/>
      <c r="AM422" s="267"/>
      <c r="AN422" s="267"/>
      <c r="AQ422" s="267"/>
      <c r="AR422" s="267"/>
      <c r="AS422" s="267"/>
      <c r="AT422" s="267"/>
      <c r="AW422" s="267"/>
      <c r="AX422" s="267"/>
      <c r="AY422" s="267"/>
      <c r="AZ422" s="267"/>
      <c r="BG422" s="269"/>
      <c r="BM422" s="269"/>
      <c r="BS422" s="269"/>
      <c r="BU422" s="267"/>
      <c r="BY422" s="267"/>
      <c r="CC422" s="267"/>
      <c r="CG422" s="267"/>
      <c r="CS422" s="267"/>
      <c r="CW422" s="270"/>
      <c r="CX422" s="267"/>
      <c r="DC422" s="267"/>
      <c r="DH422" s="267"/>
      <c r="DM422" s="267"/>
      <c r="DR422" s="267"/>
      <c r="DW422" s="267"/>
      <c r="EB422" s="267"/>
      <c r="EG422" s="267"/>
      <c r="EL422" s="267"/>
      <c r="EQ422" s="267"/>
      <c r="EU422" s="270"/>
      <c r="EV422" s="267"/>
      <c r="FC422" s="267"/>
      <c r="FD422" s="267"/>
      <c r="FE422" s="267"/>
      <c r="FF422" s="267"/>
      <c r="FG422" s="267"/>
      <c r="FL422" s="267"/>
      <c r="FM422" s="267"/>
      <c r="FN422" s="267"/>
      <c r="FO422" s="267"/>
      <c r="FP422" s="267"/>
      <c r="FQ422" s="264"/>
      <c r="FR422" s="264"/>
      <c r="FS422" s="264"/>
      <c r="FT422" s="264"/>
      <c r="FU422" s="267"/>
      <c r="FV422" s="267"/>
      <c r="FW422" s="267"/>
      <c r="FX422" s="267"/>
      <c r="FY422" s="267"/>
      <c r="GD422" s="267"/>
      <c r="GE422" s="267"/>
      <c r="GF422" s="267"/>
      <c r="GG422" s="267"/>
      <c r="GH422" s="267"/>
      <c r="GI422" s="264"/>
      <c r="GJ422" s="264"/>
      <c r="GK422" s="264"/>
      <c r="GL422" s="264"/>
      <c r="HD422" s="267"/>
      <c r="HE422" s="267"/>
      <c r="HF422" s="267"/>
      <c r="HG422" s="267"/>
      <c r="HH422" s="267"/>
      <c r="HI422" s="267"/>
      <c r="HJ422" s="267"/>
      <c r="HK422" s="267"/>
      <c r="HL422" s="267"/>
      <c r="HM422" s="267"/>
      <c r="HN422" s="267"/>
      <c r="HO422" s="267"/>
      <c r="HP422" s="267"/>
      <c r="HQ422" s="267"/>
      <c r="HR422" s="267"/>
      <c r="HS422" s="267"/>
      <c r="HT422" s="267"/>
      <c r="HU422" s="267"/>
      <c r="IH422" s="267"/>
      <c r="IK422" s="267"/>
      <c r="IN422" s="267"/>
      <c r="IQ422" s="267"/>
      <c r="IR422" s="267"/>
      <c r="IS422" s="267"/>
      <c r="IV422" s="267"/>
      <c r="IY422" s="267"/>
    </row>
    <row r="423" spans="10:259">
      <c r="J423" s="267"/>
      <c r="K423" s="267"/>
      <c r="L423" s="267"/>
      <c r="M423" s="267"/>
      <c r="N423" s="267"/>
      <c r="O423" s="267"/>
      <c r="P423" s="267"/>
      <c r="Q423" s="267"/>
      <c r="S423" s="267"/>
      <c r="T423" s="267"/>
      <c r="U423" s="267"/>
      <c r="V423" s="267"/>
      <c r="W423" s="264"/>
      <c r="Y423" s="267"/>
      <c r="Z423" s="267"/>
      <c r="AA423" s="267"/>
      <c r="AB423" s="267"/>
      <c r="AE423" s="267"/>
      <c r="AF423" s="267"/>
      <c r="AG423" s="267"/>
      <c r="AH423" s="267"/>
      <c r="AK423" s="267"/>
      <c r="AL423" s="267"/>
      <c r="AM423" s="267"/>
      <c r="AN423" s="267"/>
      <c r="AQ423" s="267"/>
      <c r="AR423" s="267"/>
      <c r="AS423" s="267"/>
      <c r="AT423" s="267"/>
      <c r="AW423" s="267"/>
      <c r="AX423" s="267"/>
      <c r="AY423" s="267"/>
      <c r="AZ423" s="267"/>
      <c r="BG423" s="269"/>
      <c r="BM423" s="269"/>
      <c r="BS423" s="269"/>
      <c r="BU423" s="267"/>
      <c r="BY423" s="267"/>
      <c r="CC423" s="267"/>
      <c r="CG423" s="267"/>
      <c r="CS423" s="267"/>
      <c r="CW423" s="270"/>
      <c r="CX423" s="267"/>
      <c r="DC423" s="267"/>
      <c r="DH423" s="267"/>
      <c r="DM423" s="267"/>
      <c r="DR423" s="267"/>
      <c r="DW423" s="267"/>
      <c r="EB423" s="267"/>
      <c r="EG423" s="267"/>
      <c r="EL423" s="267"/>
      <c r="EQ423" s="267"/>
      <c r="EU423" s="270"/>
      <c r="EV423" s="267"/>
      <c r="FC423" s="267"/>
      <c r="FD423" s="267"/>
      <c r="FE423" s="267"/>
      <c r="FF423" s="267"/>
      <c r="FG423" s="267"/>
      <c r="FL423" s="267"/>
      <c r="FM423" s="267"/>
      <c r="FN423" s="267"/>
      <c r="FO423" s="267"/>
      <c r="FP423" s="267"/>
      <c r="FQ423" s="264"/>
      <c r="FR423" s="264"/>
      <c r="FS423" s="264"/>
      <c r="FT423" s="264"/>
      <c r="FU423" s="267"/>
      <c r="FV423" s="267"/>
      <c r="FW423" s="267"/>
      <c r="FX423" s="267"/>
      <c r="FY423" s="267"/>
      <c r="GD423" s="267"/>
      <c r="GE423" s="267"/>
      <c r="GF423" s="267"/>
      <c r="GG423" s="267"/>
      <c r="GH423" s="267"/>
      <c r="GI423" s="264"/>
      <c r="GJ423" s="264"/>
      <c r="GK423" s="264"/>
      <c r="GL423" s="264"/>
      <c r="HD423" s="267"/>
      <c r="HE423" s="267"/>
      <c r="HF423" s="267"/>
      <c r="HG423" s="267"/>
      <c r="HH423" s="267"/>
      <c r="HI423" s="267"/>
      <c r="HJ423" s="267"/>
      <c r="HK423" s="267"/>
      <c r="HL423" s="267"/>
      <c r="HM423" s="267"/>
      <c r="HN423" s="267"/>
      <c r="HO423" s="267"/>
      <c r="HP423" s="267"/>
      <c r="HQ423" s="267"/>
      <c r="HR423" s="267"/>
      <c r="HS423" s="267"/>
      <c r="HT423" s="267"/>
      <c r="HU423" s="267"/>
      <c r="IH423" s="267"/>
      <c r="IK423" s="267"/>
      <c r="IN423" s="267"/>
      <c r="IQ423" s="267"/>
      <c r="IR423" s="267"/>
      <c r="IS423" s="267"/>
      <c r="IV423" s="267"/>
      <c r="IY423" s="267"/>
    </row>
    <row r="424" spans="10:259">
      <c r="J424" s="267"/>
      <c r="K424" s="267"/>
      <c r="L424" s="267"/>
      <c r="M424" s="267"/>
      <c r="N424" s="267"/>
      <c r="O424" s="267"/>
      <c r="P424" s="267"/>
      <c r="Q424" s="267"/>
      <c r="S424" s="267"/>
      <c r="T424" s="267"/>
      <c r="U424" s="267"/>
      <c r="V424" s="267"/>
      <c r="W424" s="264"/>
      <c r="Y424" s="267"/>
      <c r="Z424" s="267"/>
      <c r="AA424" s="267"/>
      <c r="AB424" s="267"/>
      <c r="AE424" s="267"/>
      <c r="AF424" s="267"/>
      <c r="AG424" s="267"/>
      <c r="AH424" s="267"/>
      <c r="AK424" s="267"/>
      <c r="AL424" s="267"/>
      <c r="AM424" s="267"/>
      <c r="AN424" s="267"/>
      <c r="AQ424" s="267"/>
      <c r="AR424" s="267"/>
      <c r="AS424" s="267"/>
      <c r="AT424" s="267"/>
      <c r="AW424" s="267"/>
      <c r="AX424" s="267"/>
      <c r="AY424" s="267"/>
      <c r="AZ424" s="267"/>
      <c r="BG424" s="269"/>
      <c r="BM424" s="269"/>
      <c r="BS424" s="269"/>
      <c r="BU424" s="267"/>
      <c r="BY424" s="267"/>
      <c r="CC424" s="267"/>
      <c r="CG424" s="267"/>
      <c r="CS424" s="267"/>
      <c r="CW424" s="270"/>
      <c r="CX424" s="267"/>
      <c r="DC424" s="267"/>
      <c r="DH424" s="267"/>
      <c r="DM424" s="267"/>
      <c r="DR424" s="267"/>
      <c r="DW424" s="267"/>
      <c r="EB424" s="267"/>
      <c r="EG424" s="267"/>
      <c r="EL424" s="267"/>
      <c r="EQ424" s="267"/>
      <c r="EU424" s="270"/>
      <c r="EV424" s="267"/>
      <c r="FC424" s="267"/>
      <c r="FD424" s="267"/>
      <c r="FE424" s="267"/>
      <c r="FF424" s="267"/>
      <c r="FG424" s="267"/>
      <c r="FL424" s="267"/>
      <c r="FM424" s="267"/>
      <c r="FN424" s="267"/>
      <c r="FO424" s="267"/>
      <c r="FP424" s="267"/>
      <c r="FQ424" s="264"/>
      <c r="FR424" s="264"/>
      <c r="FS424" s="264"/>
      <c r="FT424" s="264"/>
      <c r="FU424" s="267"/>
      <c r="FV424" s="267"/>
      <c r="FW424" s="267"/>
      <c r="FX424" s="267"/>
      <c r="FY424" s="267"/>
      <c r="GD424" s="267"/>
      <c r="GE424" s="267"/>
      <c r="GF424" s="267"/>
      <c r="GG424" s="267"/>
      <c r="GH424" s="267"/>
      <c r="GI424" s="264"/>
      <c r="GJ424" s="264"/>
      <c r="GK424" s="264"/>
      <c r="GL424" s="264"/>
      <c r="HD424" s="267"/>
      <c r="HE424" s="267"/>
      <c r="HF424" s="267"/>
      <c r="HG424" s="267"/>
      <c r="HH424" s="267"/>
      <c r="HI424" s="267"/>
      <c r="HJ424" s="267"/>
      <c r="HK424" s="267"/>
      <c r="HL424" s="267"/>
      <c r="HM424" s="267"/>
      <c r="HN424" s="267"/>
      <c r="HO424" s="267"/>
      <c r="HP424" s="267"/>
      <c r="HQ424" s="267"/>
      <c r="HR424" s="267"/>
      <c r="HS424" s="267"/>
      <c r="HT424" s="267"/>
      <c r="HU424" s="267"/>
      <c r="IH424" s="267"/>
      <c r="IK424" s="267"/>
      <c r="IN424" s="267"/>
      <c r="IQ424" s="267"/>
      <c r="IR424" s="267"/>
      <c r="IS424" s="267"/>
      <c r="IV424" s="267"/>
      <c r="IY424" s="267"/>
    </row>
    <row r="425" spans="10:259">
      <c r="J425" s="267"/>
      <c r="K425" s="267"/>
      <c r="L425" s="267"/>
      <c r="M425" s="267"/>
      <c r="N425" s="267"/>
      <c r="O425" s="267"/>
      <c r="P425" s="267"/>
      <c r="Q425" s="267"/>
      <c r="S425" s="267"/>
      <c r="T425" s="267"/>
      <c r="U425" s="267"/>
      <c r="V425" s="267"/>
      <c r="W425" s="264"/>
      <c r="Y425" s="267"/>
      <c r="Z425" s="267"/>
      <c r="AA425" s="267"/>
      <c r="AB425" s="267"/>
      <c r="AE425" s="267"/>
      <c r="AF425" s="267"/>
      <c r="AG425" s="267"/>
      <c r="AH425" s="267"/>
      <c r="AK425" s="267"/>
      <c r="AL425" s="267"/>
      <c r="AM425" s="267"/>
      <c r="AN425" s="267"/>
      <c r="AQ425" s="267"/>
      <c r="AR425" s="267"/>
      <c r="AS425" s="267"/>
      <c r="AT425" s="267"/>
      <c r="AW425" s="267"/>
      <c r="AX425" s="267"/>
      <c r="AY425" s="267"/>
      <c r="AZ425" s="267"/>
      <c r="BG425" s="269"/>
      <c r="BM425" s="269"/>
      <c r="BS425" s="269"/>
      <c r="BU425" s="267"/>
      <c r="BY425" s="267"/>
      <c r="CC425" s="267"/>
      <c r="CG425" s="267"/>
      <c r="CS425" s="267"/>
      <c r="CW425" s="270"/>
      <c r="CX425" s="267"/>
      <c r="DC425" s="267"/>
      <c r="DH425" s="267"/>
      <c r="DM425" s="267"/>
      <c r="DR425" s="267"/>
      <c r="DW425" s="267"/>
      <c r="EB425" s="267"/>
      <c r="EG425" s="267"/>
      <c r="EL425" s="267"/>
      <c r="EQ425" s="267"/>
      <c r="EU425" s="270"/>
      <c r="EV425" s="267"/>
      <c r="FC425" s="267"/>
      <c r="FD425" s="267"/>
      <c r="FE425" s="267"/>
      <c r="FF425" s="267"/>
      <c r="FG425" s="267"/>
      <c r="FL425" s="267"/>
      <c r="FM425" s="267"/>
      <c r="FN425" s="267"/>
      <c r="FO425" s="267"/>
      <c r="FP425" s="267"/>
      <c r="FQ425" s="264"/>
      <c r="FR425" s="264"/>
      <c r="FS425" s="264"/>
      <c r="FT425" s="264"/>
      <c r="FU425" s="267"/>
      <c r="FV425" s="267"/>
      <c r="FW425" s="267"/>
      <c r="FX425" s="267"/>
      <c r="FY425" s="267"/>
      <c r="GD425" s="267"/>
      <c r="GE425" s="267"/>
      <c r="GF425" s="267"/>
      <c r="GG425" s="267"/>
      <c r="GH425" s="267"/>
      <c r="GI425" s="264"/>
      <c r="GJ425" s="264"/>
      <c r="GK425" s="264"/>
      <c r="GL425" s="264"/>
      <c r="HD425" s="267"/>
      <c r="HE425" s="267"/>
      <c r="HF425" s="267"/>
      <c r="HG425" s="267"/>
      <c r="HH425" s="267"/>
      <c r="HI425" s="267"/>
      <c r="HJ425" s="267"/>
      <c r="HK425" s="267"/>
      <c r="HL425" s="267"/>
      <c r="HM425" s="267"/>
      <c r="HN425" s="267"/>
      <c r="HO425" s="267"/>
      <c r="HP425" s="267"/>
      <c r="HQ425" s="267"/>
      <c r="HR425" s="267"/>
      <c r="HS425" s="267"/>
      <c r="HT425" s="267"/>
      <c r="HU425" s="267"/>
      <c r="IH425" s="267"/>
      <c r="IK425" s="267"/>
      <c r="IN425" s="267"/>
      <c r="IQ425" s="267"/>
      <c r="IR425" s="267"/>
      <c r="IS425" s="267"/>
      <c r="IV425" s="267"/>
      <c r="IY425" s="267"/>
    </row>
    <row r="426" spans="10:259">
      <c r="J426" s="267"/>
      <c r="K426" s="267"/>
      <c r="L426" s="267"/>
      <c r="M426" s="267"/>
      <c r="N426" s="267"/>
      <c r="O426" s="267"/>
      <c r="P426" s="267"/>
      <c r="Q426" s="267"/>
      <c r="S426" s="267"/>
      <c r="T426" s="267"/>
      <c r="U426" s="267"/>
      <c r="V426" s="267"/>
      <c r="W426" s="264"/>
      <c r="Y426" s="267"/>
      <c r="Z426" s="267"/>
      <c r="AA426" s="267"/>
      <c r="AB426" s="267"/>
      <c r="AE426" s="267"/>
      <c r="AF426" s="267"/>
      <c r="AG426" s="267"/>
      <c r="AH426" s="267"/>
      <c r="AK426" s="267"/>
      <c r="AL426" s="267"/>
      <c r="AM426" s="267"/>
      <c r="AN426" s="267"/>
      <c r="AQ426" s="267"/>
      <c r="AR426" s="267"/>
      <c r="AS426" s="267"/>
      <c r="AT426" s="267"/>
      <c r="AW426" s="267"/>
      <c r="AX426" s="267"/>
      <c r="AY426" s="267"/>
      <c r="AZ426" s="267"/>
      <c r="BG426" s="269"/>
      <c r="BM426" s="269"/>
      <c r="BS426" s="269"/>
      <c r="BU426" s="267"/>
      <c r="BY426" s="267"/>
      <c r="CC426" s="267"/>
      <c r="CG426" s="267"/>
      <c r="CS426" s="267"/>
      <c r="CW426" s="270"/>
      <c r="CX426" s="267"/>
      <c r="DC426" s="267"/>
      <c r="DH426" s="267"/>
      <c r="DM426" s="267"/>
      <c r="DR426" s="267"/>
      <c r="DW426" s="267"/>
      <c r="EB426" s="267"/>
      <c r="EG426" s="267"/>
      <c r="EL426" s="267"/>
      <c r="EQ426" s="267"/>
      <c r="EU426" s="270"/>
      <c r="EV426" s="267"/>
      <c r="FC426" s="267"/>
      <c r="FD426" s="267"/>
      <c r="FE426" s="267"/>
      <c r="FF426" s="267"/>
      <c r="FG426" s="267"/>
      <c r="FL426" s="267"/>
      <c r="FM426" s="267"/>
      <c r="FN426" s="267"/>
      <c r="FO426" s="267"/>
      <c r="FP426" s="267"/>
      <c r="FQ426" s="264"/>
      <c r="FR426" s="264"/>
      <c r="FS426" s="264"/>
      <c r="FT426" s="264"/>
      <c r="FU426" s="267"/>
      <c r="FV426" s="267"/>
      <c r="FW426" s="267"/>
      <c r="FX426" s="267"/>
      <c r="FY426" s="267"/>
      <c r="GD426" s="267"/>
      <c r="GE426" s="267"/>
      <c r="GF426" s="267"/>
      <c r="GG426" s="267"/>
      <c r="GH426" s="267"/>
      <c r="GI426" s="264"/>
      <c r="GJ426" s="264"/>
      <c r="GK426" s="264"/>
      <c r="GL426" s="264"/>
      <c r="HD426" s="267"/>
      <c r="HE426" s="267"/>
      <c r="HF426" s="267"/>
      <c r="HG426" s="267"/>
      <c r="HH426" s="267"/>
      <c r="HI426" s="267"/>
      <c r="HJ426" s="267"/>
      <c r="HK426" s="267"/>
      <c r="HL426" s="267"/>
      <c r="HM426" s="267"/>
      <c r="HN426" s="267"/>
      <c r="HO426" s="267"/>
      <c r="HP426" s="267"/>
      <c r="HQ426" s="267"/>
      <c r="HR426" s="267"/>
      <c r="HS426" s="267"/>
      <c r="HT426" s="267"/>
      <c r="HU426" s="267"/>
      <c r="IH426" s="267"/>
      <c r="IK426" s="267"/>
      <c r="IN426" s="267"/>
      <c r="IQ426" s="267"/>
      <c r="IR426" s="267"/>
      <c r="IS426" s="267"/>
      <c r="IV426" s="267"/>
      <c r="IY426" s="267"/>
    </row>
    <row r="427" spans="10:259">
      <c r="J427" s="267"/>
      <c r="K427" s="267"/>
      <c r="L427" s="267"/>
      <c r="M427" s="267"/>
      <c r="N427" s="267"/>
      <c r="O427" s="267"/>
      <c r="P427" s="267"/>
      <c r="Q427" s="267"/>
      <c r="S427" s="267"/>
      <c r="T427" s="267"/>
      <c r="U427" s="267"/>
      <c r="V427" s="267"/>
      <c r="W427" s="264"/>
      <c r="Y427" s="267"/>
      <c r="Z427" s="267"/>
      <c r="AA427" s="267"/>
      <c r="AB427" s="267"/>
      <c r="AE427" s="267"/>
      <c r="AF427" s="267"/>
      <c r="AG427" s="267"/>
      <c r="AH427" s="267"/>
      <c r="AK427" s="267"/>
      <c r="AL427" s="267"/>
      <c r="AM427" s="267"/>
      <c r="AN427" s="267"/>
      <c r="AQ427" s="267"/>
      <c r="AR427" s="267"/>
      <c r="AS427" s="267"/>
      <c r="AT427" s="267"/>
      <c r="AW427" s="267"/>
      <c r="AX427" s="267"/>
      <c r="AY427" s="267"/>
      <c r="AZ427" s="267"/>
      <c r="BG427" s="269"/>
      <c r="BM427" s="269"/>
      <c r="BS427" s="269"/>
      <c r="BU427" s="267"/>
      <c r="BY427" s="267"/>
      <c r="CC427" s="267"/>
      <c r="CG427" s="267"/>
      <c r="CS427" s="267"/>
      <c r="CW427" s="270"/>
      <c r="CX427" s="267"/>
      <c r="DC427" s="267"/>
      <c r="DH427" s="267"/>
      <c r="DM427" s="267"/>
      <c r="DR427" s="267"/>
      <c r="DW427" s="267"/>
      <c r="EB427" s="267"/>
      <c r="EG427" s="267"/>
      <c r="EL427" s="267"/>
      <c r="EQ427" s="267"/>
      <c r="EU427" s="270"/>
      <c r="EV427" s="267"/>
      <c r="FC427" s="267"/>
      <c r="FD427" s="267"/>
      <c r="FE427" s="267"/>
      <c r="FF427" s="267"/>
      <c r="FG427" s="267"/>
      <c r="FL427" s="267"/>
      <c r="FM427" s="267"/>
      <c r="FN427" s="267"/>
      <c r="FO427" s="267"/>
      <c r="FP427" s="267"/>
      <c r="FQ427" s="264"/>
      <c r="FR427" s="264"/>
      <c r="FS427" s="264"/>
      <c r="FT427" s="264"/>
      <c r="FU427" s="267"/>
      <c r="FV427" s="267"/>
      <c r="FW427" s="267"/>
      <c r="FX427" s="267"/>
      <c r="FY427" s="267"/>
      <c r="GD427" s="267"/>
      <c r="GE427" s="267"/>
      <c r="GF427" s="267"/>
      <c r="GG427" s="267"/>
      <c r="GH427" s="267"/>
      <c r="GI427" s="264"/>
      <c r="GJ427" s="264"/>
      <c r="GK427" s="264"/>
      <c r="GL427" s="264"/>
      <c r="HD427" s="267"/>
      <c r="HE427" s="267"/>
      <c r="HF427" s="267"/>
      <c r="HG427" s="267"/>
      <c r="HH427" s="267"/>
      <c r="HI427" s="267"/>
      <c r="HJ427" s="267"/>
      <c r="HK427" s="267"/>
      <c r="HL427" s="267"/>
      <c r="HM427" s="267"/>
      <c r="HN427" s="267"/>
      <c r="HO427" s="267"/>
      <c r="HP427" s="267"/>
      <c r="HQ427" s="267"/>
      <c r="HR427" s="267"/>
      <c r="HS427" s="267"/>
      <c r="HT427" s="267"/>
      <c r="HU427" s="267"/>
      <c r="IH427" s="267"/>
      <c r="IK427" s="267"/>
      <c r="IN427" s="267"/>
      <c r="IQ427" s="267"/>
      <c r="IR427" s="267"/>
      <c r="IS427" s="267"/>
      <c r="IV427" s="267"/>
      <c r="IY427" s="267"/>
    </row>
    <row r="428" spans="10:259">
      <c r="J428" s="267"/>
      <c r="K428" s="267"/>
      <c r="L428" s="267"/>
      <c r="M428" s="267"/>
      <c r="N428" s="267"/>
      <c r="O428" s="267"/>
      <c r="P428" s="267"/>
      <c r="Q428" s="267"/>
      <c r="S428" s="267"/>
      <c r="T428" s="267"/>
      <c r="U428" s="267"/>
      <c r="V428" s="267"/>
      <c r="W428" s="264"/>
      <c r="Y428" s="267"/>
      <c r="Z428" s="267"/>
      <c r="AA428" s="267"/>
      <c r="AB428" s="267"/>
      <c r="AE428" s="267"/>
      <c r="AF428" s="267"/>
      <c r="AG428" s="267"/>
      <c r="AH428" s="267"/>
      <c r="AK428" s="267"/>
      <c r="AL428" s="267"/>
      <c r="AM428" s="267"/>
      <c r="AN428" s="267"/>
      <c r="AQ428" s="267"/>
      <c r="AR428" s="267"/>
      <c r="AS428" s="267"/>
      <c r="AT428" s="267"/>
      <c r="AW428" s="267"/>
      <c r="AX428" s="267"/>
      <c r="AY428" s="267"/>
      <c r="AZ428" s="267"/>
      <c r="BG428" s="269"/>
      <c r="BM428" s="269"/>
      <c r="BS428" s="269"/>
      <c r="BU428" s="267"/>
      <c r="BY428" s="267"/>
      <c r="CC428" s="267"/>
      <c r="CG428" s="267"/>
      <c r="CS428" s="267"/>
      <c r="CW428" s="270"/>
      <c r="CX428" s="267"/>
      <c r="DC428" s="267"/>
      <c r="DH428" s="267"/>
      <c r="DM428" s="267"/>
      <c r="DR428" s="267"/>
      <c r="DW428" s="267"/>
      <c r="EB428" s="267"/>
      <c r="EG428" s="267"/>
      <c r="EL428" s="267"/>
      <c r="EQ428" s="267"/>
      <c r="EU428" s="270"/>
      <c r="EV428" s="267"/>
      <c r="FC428" s="267"/>
      <c r="FD428" s="267"/>
      <c r="FE428" s="267"/>
      <c r="FF428" s="267"/>
      <c r="FG428" s="267"/>
      <c r="FL428" s="267"/>
      <c r="FM428" s="267"/>
      <c r="FN428" s="267"/>
      <c r="FO428" s="267"/>
      <c r="FP428" s="267"/>
      <c r="FQ428" s="264"/>
      <c r="FR428" s="264"/>
      <c r="FS428" s="264"/>
      <c r="FT428" s="264"/>
      <c r="FU428" s="267"/>
      <c r="FV428" s="267"/>
      <c r="FW428" s="267"/>
      <c r="FX428" s="267"/>
      <c r="FY428" s="267"/>
      <c r="GD428" s="267"/>
      <c r="GE428" s="267"/>
      <c r="GF428" s="267"/>
      <c r="GG428" s="267"/>
      <c r="GH428" s="267"/>
      <c r="GI428" s="264"/>
      <c r="GJ428" s="264"/>
      <c r="GK428" s="264"/>
      <c r="GL428" s="264"/>
      <c r="HD428" s="267"/>
      <c r="HE428" s="267"/>
      <c r="HF428" s="267"/>
      <c r="HG428" s="267"/>
      <c r="HH428" s="267"/>
      <c r="HI428" s="267"/>
      <c r="HJ428" s="267"/>
      <c r="HK428" s="267"/>
      <c r="HL428" s="267"/>
      <c r="HM428" s="267"/>
      <c r="HN428" s="267"/>
      <c r="HO428" s="267"/>
      <c r="HP428" s="267"/>
      <c r="HQ428" s="267"/>
      <c r="HR428" s="267"/>
      <c r="HS428" s="267"/>
      <c r="HT428" s="267"/>
      <c r="HU428" s="267"/>
      <c r="IH428" s="267"/>
      <c r="IK428" s="267"/>
      <c r="IN428" s="267"/>
      <c r="IQ428" s="267"/>
      <c r="IR428" s="267"/>
      <c r="IS428" s="267"/>
      <c r="IV428" s="267"/>
      <c r="IY428" s="267"/>
    </row>
    <row r="429" spans="10:259">
      <c r="J429" s="267"/>
      <c r="K429" s="267"/>
      <c r="L429" s="267"/>
      <c r="M429" s="267"/>
      <c r="N429" s="267"/>
      <c r="O429" s="267"/>
      <c r="P429" s="267"/>
      <c r="Q429" s="267"/>
      <c r="S429" s="267"/>
      <c r="T429" s="267"/>
      <c r="U429" s="267"/>
      <c r="V429" s="267"/>
      <c r="W429" s="264"/>
      <c r="Y429" s="267"/>
      <c r="Z429" s="267"/>
      <c r="AA429" s="267"/>
      <c r="AB429" s="267"/>
      <c r="AE429" s="267"/>
      <c r="AF429" s="267"/>
      <c r="AG429" s="267"/>
      <c r="AH429" s="267"/>
      <c r="AK429" s="267"/>
      <c r="AL429" s="267"/>
      <c r="AM429" s="267"/>
      <c r="AN429" s="267"/>
      <c r="AQ429" s="267"/>
      <c r="AR429" s="267"/>
      <c r="AS429" s="267"/>
      <c r="AT429" s="267"/>
      <c r="AW429" s="267"/>
      <c r="AX429" s="267"/>
      <c r="AY429" s="267"/>
      <c r="AZ429" s="267"/>
      <c r="BG429" s="269"/>
      <c r="BM429" s="269"/>
      <c r="BS429" s="269"/>
      <c r="BU429" s="267"/>
      <c r="BY429" s="267"/>
      <c r="CC429" s="267"/>
      <c r="CG429" s="267"/>
      <c r="CS429" s="267"/>
      <c r="CW429" s="270"/>
      <c r="CX429" s="267"/>
      <c r="DC429" s="267"/>
      <c r="DH429" s="267"/>
      <c r="DM429" s="267"/>
      <c r="DR429" s="267"/>
      <c r="DW429" s="267"/>
      <c r="EB429" s="267"/>
      <c r="EG429" s="267"/>
      <c r="EL429" s="267"/>
      <c r="EQ429" s="267"/>
      <c r="EU429" s="270"/>
      <c r="EV429" s="267"/>
      <c r="FC429" s="267"/>
      <c r="FD429" s="267"/>
      <c r="FE429" s="267"/>
      <c r="FF429" s="267"/>
      <c r="FG429" s="267"/>
      <c r="FL429" s="267"/>
      <c r="FM429" s="267"/>
      <c r="FN429" s="267"/>
      <c r="FO429" s="267"/>
      <c r="FP429" s="267"/>
      <c r="FQ429" s="264"/>
      <c r="FR429" s="264"/>
      <c r="FS429" s="264"/>
      <c r="FT429" s="264"/>
      <c r="FU429" s="267"/>
      <c r="FV429" s="267"/>
      <c r="FW429" s="267"/>
      <c r="FX429" s="267"/>
      <c r="FY429" s="267"/>
      <c r="GD429" s="267"/>
      <c r="GE429" s="267"/>
      <c r="GF429" s="267"/>
      <c r="GG429" s="267"/>
      <c r="GH429" s="267"/>
      <c r="GI429" s="264"/>
      <c r="GJ429" s="264"/>
      <c r="GK429" s="264"/>
      <c r="GL429" s="264"/>
      <c r="HD429" s="267"/>
      <c r="HE429" s="267"/>
      <c r="HF429" s="267"/>
      <c r="HG429" s="267"/>
      <c r="HH429" s="267"/>
      <c r="HI429" s="267"/>
      <c r="HJ429" s="267"/>
      <c r="HK429" s="267"/>
      <c r="HL429" s="267"/>
      <c r="HM429" s="267"/>
      <c r="HN429" s="267"/>
      <c r="HO429" s="267"/>
      <c r="HP429" s="267"/>
      <c r="HQ429" s="267"/>
      <c r="HR429" s="267"/>
      <c r="HS429" s="267"/>
      <c r="HT429" s="267"/>
      <c r="HU429" s="267"/>
      <c r="IH429" s="267"/>
      <c r="IK429" s="267"/>
      <c r="IN429" s="267"/>
      <c r="IQ429" s="267"/>
      <c r="IR429" s="267"/>
      <c r="IS429" s="267"/>
      <c r="IV429" s="267"/>
      <c r="IY429" s="267"/>
    </row>
    <row r="430" spans="10:259">
      <c r="J430" s="267"/>
      <c r="K430" s="267"/>
      <c r="L430" s="267"/>
      <c r="M430" s="267"/>
      <c r="N430" s="267"/>
      <c r="O430" s="267"/>
      <c r="P430" s="267"/>
      <c r="Q430" s="267"/>
      <c r="S430" s="267"/>
      <c r="T430" s="267"/>
      <c r="U430" s="267"/>
      <c r="V430" s="267"/>
      <c r="W430" s="264"/>
      <c r="Y430" s="267"/>
      <c r="Z430" s="267"/>
      <c r="AA430" s="267"/>
      <c r="AB430" s="267"/>
      <c r="AE430" s="267"/>
      <c r="AF430" s="267"/>
      <c r="AG430" s="267"/>
      <c r="AH430" s="267"/>
      <c r="AK430" s="267"/>
      <c r="AL430" s="267"/>
      <c r="AM430" s="267"/>
      <c r="AN430" s="267"/>
      <c r="AQ430" s="267"/>
      <c r="AR430" s="267"/>
      <c r="AS430" s="267"/>
      <c r="AT430" s="267"/>
      <c r="AW430" s="267"/>
      <c r="AX430" s="267"/>
      <c r="AY430" s="267"/>
      <c r="AZ430" s="267"/>
      <c r="BG430" s="269"/>
      <c r="BM430" s="269"/>
      <c r="BS430" s="269"/>
      <c r="BU430" s="267"/>
      <c r="BY430" s="267"/>
      <c r="CC430" s="267"/>
      <c r="CG430" s="267"/>
      <c r="CS430" s="267"/>
      <c r="CW430" s="270"/>
      <c r="CX430" s="267"/>
      <c r="DC430" s="267"/>
      <c r="DH430" s="267"/>
      <c r="DM430" s="267"/>
      <c r="DR430" s="267"/>
      <c r="DW430" s="267"/>
      <c r="EB430" s="267"/>
      <c r="EG430" s="267"/>
      <c r="EL430" s="267"/>
      <c r="EQ430" s="267"/>
      <c r="EU430" s="270"/>
      <c r="EV430" s="267"/>
      <c r="FC430" s="267"/>
      <c r="FD430" s="267"/>
      <c r="FE430" s="267"/>
      <c r="FF430" s="267"/>
      <c r="FG430" s="267"/>
      <c r="FL430" s="267"/>
      <c r="FM430" s="267"/>
      <c r="FN430" s="267"/>
      <c r="FO430" s="267"/>
      <c r="FP430" s="267"/>
      <c r="FQ430" s="264"/>
      <c r="FR430" s="264"/>
      <c r="FS430" s="264"/>
      <c r="FT430" s="264"/>
      <c r="FU430" s="267"/>
      <c r="FV430" s="267"/>
      <c r="FW430" s="267"/>
      <c r="FX430" s="267"/>
      <c r="FY430" s="267"/>
      <c r="GD430" s="267"/>
      <c r="GE430" s="267"/>
      <c r="GF430" s="267"/>
      <c r="GG430" s="267"/>
      <c r="GH430" s="267"/>
      <c r="GI430" s="264"/>
      <c r="GJ430" s="264"/>
      <c r="GK430" s="264"/>
      <c r="GL430" s="264"/>
      <c r="HD430" s="267"/>
      <c r="HE430" s="267"/>
      <c r="HF430" s="267"/>
      <c r="HG430" s="267"/>
      <c r="HH430" s="267"/>
      <c r="HI430" s="267"/>
      <c r="HJ430" s="267"/>
      <c r="HK430" s="267"/>
      <c r="HL430" s="267"/>
      <c r="HM430" s="267"/>
      <c r="HN430" s="267"/>
      <c r="HO430" s="267"/>
      <c r="HP430" s="267"/>
      <c r="HQ430" s="267"/>
      <c r="HR430" s="267"/>
      <c r="HS430" s="267"/>
      <c r="HT430" s="267"/>
      <c r="HU430" s="267"/>
      <c r="IH430" s="267"/>
      <c r="IK430" s="267"/>
      <c r="IN430" s="267"/>
      <c r="IQ430" s="267"/>
      <c r="IR430" s="267"/>
      <c r="IS430" s="267"/>
      <c r="IV430" s="267"/>
      <c r="IY430" s="267"/>
    </row>
    <row r="431" spans="10:259">
      <c r="J431" s="267"/>
      <c r="K431" s="267"/>
      <c r="L431" s="267"/>
      <c r="M431" s="267"/>
      <c r="N431" s="267"/>
      <c r="O431" s="267"/>
      <c r="P431" s="267"/>
      <c r="Q431" s="267"/>
      <c r="S431" s="267"/>
      <c r="T431" s="267"/>
      <c r="U431" s="267"/>
      <c r="V431" s="267"/>
      <c r="W431" s="264"/>
      <c r="Y431" s="267"/>
      <c r="Z431" s="267"/>
      <c r="AA431" s="267"/>
      <c r="AB431" s="267"/>
      <c r="AE431" s="267"/>
      <c r="AF431" s="267"/>
      <c r="AG431" s="267"/>
      <c r="AH431" s="267"/>
      <c r="AK431" s="267"/>
      <c r="AL431" s="267"/>
      <c r="AM431" s="267"/>
      <c r="AN431" s="267"/>
      <c r="AQ431" s="267"/>
      <c r="AR431" s="267"/>
      <c r="AS431" s="267"/>
      <c r="AT431" s="267"/>
      <c r="AW431" s="267"/>
      <c r="AX431" s="267"/>
      <c r="AY431" s="267"/>
      <c r="AZ431" s="267"/>
      <c r="BG431" s="269"/>
      <c r="BM431" s="269"/>
      <c r="BS431" s="269"/>
      <c r="BU431" s="267"/>
      <c r="BY431" s="267"/>
      <c r="CC431" s="267"/>
      <c r="CG431" s="267"/>
      <c r="CS431" s="267"/>
      <c r="CW431" s="270"/>
      <c r="CX431" s="267"/>
      <c r="DC431" s="267"/>
      <c r="DH431" s="267"/>
      <c r="DM431" s="267"/>
      <c r="DR431" s="267"/>
      <c r="DW431" s="267"/>
      <c r="EB431" s="267"/>
      <c r="EG431" s="267"/>
      <c r="EL431" s="267"/>
      <c r="EQ431" s="267"/>
      <c r="EU431" s="270"/>
      <c r="EV431" s="267"/>
      <c r="FC431" s="267"/>
      <c r="FD431" s="267"/>
      <c r="FE431" s="267"/>
      <c r="FF431" s="267"/>
      <c r="FG431" s="267"/>
      <c r="FL431" s="267"/>
      <c r="FM431" s="267"/>
      <c r="FN431" s="267"/>
      <c r="FO431" s="267"/>
      <c r="FP431" s="267"/>
      <c r="FQ431" s="264"/>
      <c r="FR431" s="264"/>
      <c r="FS431" s="264"/>
      <c r="FT431" s="264"/>
      <c r="FU431" s="267"/>
      <c r="FV431" s="267"/>
      <c r="FW431" s="267"/>
      <c r="FX431" s="267"/>
      <c r="FY431" s="267"/>
      <c r="GD431" s="267"/>
      <c r="GE431" s="267"/>
      <c r="GF431" s="267"/>
      <c r="GG431" s="267"/>
      <c r="GH431" s="267"/>
      <c r="GI431" s="264"/>
      <c r="GJ431" s="264"/>
      <c r="GK431" s="264"/>
      <c r="GL431" s="264"/>
      <c r="HD431" s="267"/>
      <c r="HE431" s="267"/>
      <c r="HF431" s="267"/>
      <c r="HG431" s="267"/>
      <c r="HH431" s="267"/>
      <c r="HI431" s="267"/>
      <c r="HJ431" s="267"/>
      <c r="HK431" s="267"/>
      <c r="HL431" s="267"/>
      <c r="HM431" s="267"/>
      <c r="HN431" s="267"/>
      <c r="HO431" s="267"/>
      <c r="HP431" s="267"/>
      <c r="HQ431" s="267"/>
      <c r="HR431" s="267"/>
      <c r="HS431" s="267"/>
      <c r="HT431" s="267"/>
      <c r="HU431" s="267"/>
      <c r="IH431" s="267"/>
      <c r="IK431" s="267"/>
      <c r="IN431" s="267"/>
      <c r="IQ431" s="267"/>
      <c r="IR431" s="267"/>
      <c r="IS431" s="267"/>
      <c r="IV431" s="267"/>
      <c r="IY431" s="267"/>
    </row>
    <row r="432" spans="10:259">
      <c r="J432" s="267"/>
      <c r="K432" s="267"/>
      <c r="L432" s="267"/>
      <c r="M432" s="267"/>
      <c r="N432" s="267"/>
      <c r="O432" s="267"/>
      <c r="P432" s="267"/>
      <c r="Q432" s="267"/>
      <c r="S432" s="267"/>
      <c r="T432" s="267"/>
      <c r="U432" s="267"/>
      <c r="V432" s="267"/>
      <c r="W432" s="264"/>
      <c r="Y432" s="267"/>
      <c r="Z432" s="267"/>
      <c r="AA432" s="267"/>
      <c r="AB432" s="267"/>
      <c r="AE432" s="267"/>
      <c r="AF432" s="267"/>
      <c r="AG432" s="267"/>
      <c r="AH432" s="267"/>
      <c r="AK432" s="267"/>
      <c r="AL432" s="267"/>
      <c r="AM432" s="267"/>
      <c r="AN432" s="267"/>
      <c r="AQ432" s="267"/>
      <c r="AR432" s="267"/>
      <c r="AS432" s="267"/>
      <c r="AT432" s="267"/>
      <c r="AW432" s="267"/>
      <c r="AX432" s="267"/>
      <c r="AY432" s="267"/>
      <c r="AZ432" s="267"/>
      <c r="BG432" s="269"/>
      <c r="BM432" s="269"/>
      <c r="BS432" s="269"/>
      <c r="BU432" s="267"/>
      <c r="BY432" s="267"/>
      <c r="CC432" s="267"/>
      <c r="CG432" s="267"/>
      <c r="CS432" s="267"/>
      <c r="CW432" s="270"/>
      <c r="CX432" s="267"/>
      <c r="DC432" s="267"/>
      <c r="DH432" s="267"/>
      <c r="DM432" s="267"/>
      <c r="DR432" s="267"/>
      <c r="DW432" s="267"/>
      <c r="EB432" s="267"/>
      <c r="EG432" s="267"/>
      <c r="EL432" s="267"/>
      <c r="EQ432" s="267"/>
      <c r="EU432" s="270"/>
      <c r="EV432" s="267"/>
      <c r="FC432" s="267"/>
      <c r="FD432" s="267"/>
      <c r="FE432" s="267"/>
      <c r="FF432" s="267"/>
      <c r="FG432" s="267"/>
      <c r="FL432" s="267"/>
      <c r="FM432" s="267"/>
      <c r="FN432" s="267"/>
      <c r="FO432" s="267"/>
      <c r="FP432" s="267"/>
      <c r="FQ432" s="264"/>
      <c r="FR432" s="264"/>
      <c r="FS432" s="264"/>
      <c r="FT432" s="264"/>
      <c r="FU432" s="267"/>
      <c r="FV432" s="267"/>
      <c r="FW432" s="267"/>
      <c r="FX432" s="267"/>
      <c r="FY432" s="267"/>
      <c r="GD432" s="267"/>
      <c r="GE432" s="267"/>
      <c r="GF432" s="267"/>
      <c r="GG432" s="267"/>
      <c r="GH432" s="267"/>
      <c r="GI432" s="264"/>
      <c r="GJ432" s="264"/>
      <c r="GK432" s="264"/>
      <c r="GL432" s="264"/>
      <c r="HD432" s="267"/>
      <c r="HE432" s="267"/>
      <c r="HF432" s="267"/>
      <c r="HG432" s="267"/>
      <c r="HH432" s="267"/>
      <c r="HI432" s="267"/>
      <c r="HJ432" s="267"/>
      <c r="HK432" s="267"/>
      <c r="HL432" s="267"/>
      <c r="HM432" s="267"/>
      <c r="HN432" s="267"/>
      <c r="HO432" s="267"/>
      <c r="HP432" s="267"/>
      <c r="HQ432" s="267"/>
      <c r="HR432" s="267"/>
      <c r="HS432" s="267"/>
      <c r="HT432" s="267"/>
      <c r="HU432" s="267"/>
      <c r="IH432" s="267"/>
      <c r="IK432" s="267"/>
      <c r="IN432" s="267"/>
      <c r="IQ432" s="267"/>
      <c r="IR432" s="267"/>
      <c r="IS432" s="267"/>
      <c r="IV432" s="267"/>
      <c r="IY432" s="267"/>
    </row>
    <row r="433" spans="10:259">
      <c r="J433" s="267"/>
      <c r="K433" s="267"/>
      <c r="L433" s="267"/>
      <c r="M433" s="267"/>
      <c r="N433" s="267"/>
      <c r="O433" s="267"/>
      <c r="P433" s="267"/>
      <c r="Q433" s="267"/>
      <c r="S433" s="267"/>
      <c r="T433" s="267"/>
      <c r="U433" s="267"/>
      <c r="V433" s="267"/>
      <c r="W433" s="264"/>
      <c r="Y433" s="267"/>
      <c r="Z433" s="267"/>
      <c r="AA433" s="267"/>
      <c r="AB433" s="267"/>
      <c r="AE433" s="267"/>
      <c r="AF433" s="267"/>
      <c r="AG433" s="267"/>
      <c r="AH433" s="267"/>
      <c r="AK433" s="267"/>
      <c r="AL433" s="267"/>
      <c r="AM433" s="267"/>
      <c r="AN433" s="267"/>
      <c r="AQ433" s="267"/>
      <c r="AR433" s="267"/>
      <c r="AS433" s="267"/>
      <c r="AT433" s="267"/>
      <c r="AW433" s="267"/>
      <c r="AX433" s="267"/>
      <c r="AY433" s="267"/>
      <c r="AZ433" s="267"/>
      <c r="BG433" s="269"/>
      <c r="BM433" s="269"/>
      <c r="BS433" s="269"/>
      <c r="BU433" s="267"/>
      <c r="BY433" s="267"/>
      <c r="CC433" s="267"/>
      <c r="CG433" s="267"/>
      <c r="CS433" s="267"/>
      <c r="CW433" s="270"/>
      <c r="CX433" s="267"/>
      <c r="DC433" s="267"/>
      <c r="DH433" s="267"/>
      <c r="DM433" s="267"/>
      <c r="DR433" s="267"/>
      <c r="DW433" s="267"/>
      <c r="EB433" s="267"/>
      <c r="EG433" s="267"/>
      <c r="EL433" s="267"/>
      <c r="EQ433" s="267"/>
      <c r="EU433" s="270"/>
      <c r="EV433" s="267"/>
      <c r="FC433" s="267"/>
      <c r="FD433" s="267"/>
      <c r="FE433" s="267"/>
      <c r="FF433" s="267"/>
      <c r="FG433" s="267"/>
      <c r="FL433" s="267"/>
      <c r="FM433" s="267"/>
      <c r="FN433" s="267"/>
      <c r="FO433" s="267"/>
      <c r="FP433" s="267"/>
      <c r="FQ433" s="264"/>
      <c r="FR433" s="264"/>
      <c r="FS433" s="264"/>
      <c r="FT433" s="264"/>
      <c r="FU433" s="267"/>
      <c r="FV433" s="267"/>
      <c r="FW433" s="267"/>
      <c r="FX433" s="267"/>
      <c r="FY433" s="267"/>
      <c r="GD433" s="267"/>
      <c r="GE433" s="267"/>
      <c r="GF433" s="267"/>
      <c r="GG433" s="267"/>
      <c r="GH433" s="267"/>
      <c r="GI433" s="264"/>
      <c r="GJ433" s="264"/>
      <c r="GK433" s="264"/>
      <c r="GL433" s="264"/>
      <c r="HD433" s="267"/>
      <c r="HE433" s="267"/>
      <c r="HF433" s="267"/>
      <c r="HG433" s="267"/>
      <c r="HH433" s="267"/>
      <c r="HI433" s="267"/>
      <c r="HJ433" s="267"/>
      <c r="HK433" s="267"/>
      <c r="HL433" s="267"/>
      <c r="HM433" s="267"/>
      <c r="HN433" s="267"/>
      <c r="HO433" s="267"/>
      <c r="HP433" s="267"/>
      <c r="HQ433" s="267"/>
      <c r="HR433" s="267"/>
      <c r="HS433" s="267"/>
      <c r="HT433" s="267"/>
      <c r="HU433" s="267"/>
      <c r="IH433" s="267"/>
      <c r="IK433" s="267"/>
      <c r="IN433" s="267"/>
      <c r="IQ433" s="267"/>
      <c r="IR433" s="267"/>
      <c r="IS433" s="267"/>
      <c r="IV433" s="267"/>
      <c r="IY433" s="267"/>
    </row>
    <row r="434" spans="10:259">
      <c r="J434" s="267"/>
      <c r="K434" s="267"/>
      <c r="L434" s="267"/>
      <c r="M434" s="267"/>
      <c r="N434" s="267"/>
      <c r="O434" s="267"/>
      <c r="P434" s="267"/>
      <c r="Q434" s="267"/>
      <c r="S434" s="267"/>
      <c r="T434" s="267"/>
      <c r="U434" s="267"/>
      <c r="V434" s="267"/>
      <c r="W434" s="264"/>
      <c r="Y434" s="267"/>
      <c r="Z434" s="267"/>
      <c r="AA434" s="267"/>
      <c r="AB434" s="267"/>
      <c r="AE434" s="267"/>
      <c r="AF434" s="267"/>
      <c r="AG434" s="267"/>
      <c r="AH434" s="267"/>
      <c r="AK434" s="267"/>
      <c r="AL434" s="267"/>
      <c r="AM434" s="267"/>
      <c r="AN434" s="267"/>
      <c r="AQ434" s="267"/>
      <c r="AR434" s="267"/>
      <c r="AS434" s="267"/>
      <c r="AT434" s="267"/>
      <c r="AW434" s="267"/>
      <c r="AX434" s="267"/>
      <c r="AY434" s="267"/>
      <c r="AZ434" s="267"/>
      <c r="BG434" s="269"/>
      <c r="BM434" s="269"/>
      <c r="BS434" s="269"/>
      <c r="BU434" s="267"/>
      <c r="BY434" s="267"/>
      <c r="CC434" s="267"/>
      <c r="CG434" s="267"/>
      <c r="CS434" s="267"/>
      <c r="CW434" s="270"/>
      <c r="CX434" s="267"/>
      <c r="DC434" s="267"/>
      <c r="DH434" s="267"/>
      <c r="DM434" s="267"/>
      <c r="DR434" s="267"/>
      <c r="DW434" s="267"/>
      <c r="EB434" s="267"/>
      <c r="EG434" s="267"/>
      <c r="EL434" s="267"/>
      <c r="EQ434" s="267"/>
      <c r="EU434" s="270"/>
      <c r="EV434" s="267"/>
      <c r="FC434" s="267"/>
      <c r="FD434" s="267"/>
      <c r="FE434" s="267"/>
      <c r="FF434" s="267"/>
      <c r="FG434" s="267"/>
      <c r="FL434" s="267"/>
      <c r="FM434" s="267"/>
      <c r="FN434" s="267"/>
      <c r="FO434" s="267"/>
      <c r="FP434" s="267"/>
      <c r="FQ434" s="264"/>
      <c r="FR434" s="264"/>
      <c r="FS434" s="264"/>
      <c r="FT434" s="264"/>
      <c r="FU434" s="267"/>
      <c r="FV434" s="267"/>
      <c r="FW434" s="267"/>
      <c r="FX434" s="267"/>
      <c r="FY434" s="267"/>
      <c r="GD434" s="267"/>
      <c r="GE434" s="267"/>
      <c r="GF434" s="267"/>
      <c r="GG434" s="267"/>
      <c r="GH434" s="267"/>
      <c r="GI434" s="264"/>
      <c r="GJ434" s="264"/>
      <c r="GK434" s="264"/>
      <c r="GL434" s="264"/>
      <c r="HD434" s="267"/>
      <c r="HE434" s="267"/>
      <c r="HF434" s="267"/>
      <c r="HG434" s="267"/>
      <c r="HH434" s="267"/>
      <c r="HI434" s="267"/>
      <c r="HJ434" s="267"/>
      <c r="HK434" s="267"/>
      <c r="HL434" s="267"/>
      <c r="HM434" s="267"/>
      <c r="HN434" s="267"/>
      <c r="HO434" s="267"/>
      <c r="HP434" s="267"/>
      <c r="HQ434" s="267"/>
      <c r="HR434" s="267"/>
      <c r="HS434" s="267"/>
      <c r="HT434" s="267"/>
      <c r="HU434" s="267"/>
      <c r="IH434" s="267"/>
      <c r="IK434" s="267"/>
      <c r="IN434" s="267"/>
      <c r="IQ434" s="267"/>
      <c r="IR434" s="267"/>
      <c r="IS434" s="267"/>
      <c r="IV434" s="267"/>
      <c r="IY434" s="267"/>
    </row>
    <row r="435" spans="10:259">
      <c r="J435" s="267"/>
      <c r="K435" s="267"/>
      <c r="L435" s="267"/>
      <c r="M435" s="267"/>
      <c r="N435" s="267"/>
      <c r="O435" s="267"/>
      <c r="P435" s="267"/>
      <c r="Q435" s="267"/>
      <c r="S435" s="267"/>
      <c r="T435" s="267"/>
      <c r="U435" s="267"/>
      <c r="V435" s="267"/>
      <c r="W435" s="264"/>
      <c r="Y435" s="267"/>
      <c r="Z435" s="267"/>
      <c r="AA435" s="267"/>
      <c r="AB435" s="267"/>
      <c r="AE435" s="267"/>
      <c r="AF435" s="267"/>
      <c r="AG435" s="267"/>
      <c r="AH435" s="267"/>
      <c r="AK435" s="267"/>
      <c r="AL435" s="267"/>
      <c r="AM435" s="267"/>
      <c r="AN435" s="267"/>
      <c r="AQ435" s="267"/>
      <c r="AR435" s="267"/>
      <c r="AS435" s="267"/>
      <c r="AT435" s="267"/>
      <c r="AW435" s="267"/>
      <c r="AX435" s="267"/>
      <c r="AY435" s="267"/>
      <c r="AZ435" s="267"/>
      <c r="BG435" s="269"/>
      <c r="BM435" s="269"/>
      <c r="BS435" s="269"/>
      <c r="BU435" s="267"/>
      <c r="BY435" s="267"/>
      <c r="CC435" s="267"/>
      <c r="CG435" s="267"/>
      <c r="CS435" s="267"/>
      <c r="CW435" s="270"/>
      <c r="CX435" s="267"/>
      <c r="DC435" s="267"/>
      <c r="DH435" s="267"/>
      <c r="DM435" s="267"/>
      <c r="DR435" s="267"/>
      <c r="DW435" s="267"/>
      <c r="EB435" s="267"/>
      <c r="EG435" s="267"/>
      <c r="EL435" s="267"/>
      <c r="EQ435" s="267"/>
      <c r="EU435" s="270"/>
      <c r="EV435" s="267"/>
      <c r="FC435" s="267"/>
      <c r="FD435" s="267"/>
      <c r="FE435" s="267"/>
      <c r="FF435" s="267"/>
      <c r="FG435" s="267"/>
      <c r="FL435" s="267"/>
      <c r="FM435" s="267"/>
      <c r="FN435" s="267"/>
      <c r="FO435" s="267"/>
      <c r="FP435" s="267"/>
      <c r="FQ435" s="264"/>
      <c r="FR435" s="264"/>
      <c r="FS435" s="264"/>
      <c r="FT435" s="264"/>
      <c r="FU435" s="267"/>
      <c r="FV435" s="267"/>
      <c r="FW435" s="267"/>
      <c r="FX435" s="267"/>
      <c r="FY435" s="267"/>
      <c r="GD435" s="267"/>
      <c r="GE435" s="267"/>
      <c r="GF435" s="267"/>
      <c r="GG435" s="267"/>
      <c r="GH435" s="267"/>
      <c r="GI435" s="264"/>
      <c r="GJ435" s="264"/>
      <c r="GK435" s="264"/>
      <c r="GL435" s="264"/>
      <c r="HD435" s="267"/>
      <c r="HE435" s="267"/>
      <c r="HF435" s="267"/>
      <c r="HG435" s="267"/>
      <c r="HH435" s="267"/>
      <c r="HI435" s="267"/>
      <c r="HJ435" s="267"/>
      <c r="HK435" s="267"/>
      <c r="HL435" s="267"/>
      <c r="HM435" s="267"/>
      <c r="HN435" s="267"/>
      <c r="HO435" s="267"/>
      <c r="HP435" s="267"/>
      <c r="HQ435" s="267"/>
      <c r="HR435" s="267"/>
      <c r="HS435" s="267"/>
      <c r="HT435" s="267"/>
      <c r="HU435" s="267"/>
      <c r="IH435" s="267"/>
      <c r="IK435" s="267"/>
      <c r="IN435" s="267"/>
      <c r="IQ435" s="267"/>
      <c r="IR435" s="267"/>
      <c r="IS435" s="267"/>
      <c r="IV435" s="267"/>
      <c r="IY435" s="267"/>
    </row>
    <row r="436" spans="10:259">
      <c r="J436" s="267"/>
      <c r="K436" s="267"/>
      <c r="L436" s="267"/>
      <c r="M436" s="267"/>
      <c r="N436" s="267"/>
      <c r="O436" s="267"/>
      <c r="P436" s="267"/>
      <c r="Q436" s="267"/>
      <c r="S436" s="267"/>
      <c r="T436" s="267"/>
      <c r="U436" s="267"/>
      <c r="V436" s="267"/>
      <c r="W436" s="264"/>
      <c r="Y436" s="267"/>
      <c r="Z436" s="267"/>
      <c r="AA436" s="267"/>
      <c r="AB436" s="267"/>
      <c r="AE436" s="267"/>
      <c r="AF436" s="267"/>
      <c r="AG436" s="267"/>
      <c r="AH436" s="267"/>
      <c r="AK436" s="267"/>
      <c r="AL436" s="267"/>
      <c r="AM436" s="267"/>
      <c r="AN436" s="267"/>
      <c r="AQ436" s="267"/>
      <c r="AR436" s="267"/>
      <c r="AS436" s="267"/>
      <c r="AT436" s="267"/>
      <c r="AW436" s="267"/>
      <c r="AX436" s="267"/>
      <c r="AY436" s="267"/>
      <c r="AZ436" s="267"/>
      <c r="BG436" s="269"/>
      <c r="BM436" s="269"/>
      <c r="BS436" s="269"/>
      <c r="BU436" s="267"/>
      <c r="BY436" s="267"/>
      <c r="CC436" s="267"/>
      <c r="CG436" s="267"/>
      <c r="CS436" s="267"/>
      <c r="CW436" s="270"/>
      <c r="CX436" s="267"/>
      <c r="DC436" s="267"/>
      <c r="DH436" s="267"/>
      <c r="DM436" s="267"/>
      <c r="DR436" s="267"/>
      <c r="DW436" s="267"/>
      <c r="EB436" s="267"/>
      <c r="EG436" s="267"/>
      <c r="EL436" s="267"/>
      <c r="EQ436" s="267"/>
      <c r="EU436" s="270"/>
      <c r="EV436" s="267"/>
      <c r="FC436" s="267"/>
      <c r="FD436" s="267"/>
      <c r="FE436" s="267"/>
      <c r="FF436" s="267"/>
      <c r="FG436" s="267"/>
      <c r="FL436" s="267"/>
      <c r="FM436" s="267"/>
      <c r="FN436" s="267"/>
      <c r="FO436" s="267"/>
      <c r="FP436" s="267"/>
      <c r="FQ436" s="264"/>
      <c r="FR436" s="264"/>
      <c r="FS436" s="264"/>
      <c r="FT436" s="264"/>
      <c r="FU436" s="267"/>
      <c r="FV436" s="267"/>
      <c r="FW436" s="267"/>
      <c r="FX436" s="267"/>
      <c r="FY436" s="267"/>
      <c r="GD436" s="267"/>
      <c r="GE436" s="267"/>
      <c r="GF436" s="267"/>
      <c r="GG436" s="267"/>
      <c r="GH436" s="267"/>
      <c r="GI436" s="264"/>
      <c r="GJ436" s="264"/>
      <c r="GK436" s="264"/>
      <c r="GL436" s="264"/>
      <c r="HD436" s="267"/>
      <c r="HE436" s="267"/>
      <c r="HF436" s="267"/>
      <c r="HG436" s="267"/>
      <c r="HH436" s="267"/>
      <c r="HI436" s="267"/>
      <c r="HJ436" s="267"/>
      <c r="HK436" s="267"/>
      <c r="HL436" s="267"/>
      <c r="HM436" s="267"/>
      <c r="HN436" s="267"/>
      <c r="HO436" s="267"/>
      <c r="HP436" s="267"/>
      <c r="HQ436" s="267"/>
      <c r="HR436" s="267"/>
      <c r="HS436" s="267"/>
      <c r="HT436" s="267"/>
      <c r="HU436" s="267"/>
      <c r="IH436" s="267"/>
      <c r="IK436" s="267"/>
      <c r="IN436" s="267"/>
      <c r="IQ436" s="267"/>
      <c r="IR436" s="267"/>
      <c r="IS436" s="267"/>
      <c r="IV436" s="267"/>
      <c r="IY436" s="267"/>
    </row>
    <row r="437" spans="10:259">
      <c r="J437" s="267"/>
      <c r="K437" s="267"/>
      <c r="L437" s="267"/>
      <c r="M437" s="267"/>
      <c r="N437" s="267"/>
      <c r="O437" s="267"/>
      <c r="P437" s="267"/>
      <c r="Q437" s="267"/>
      <c r="S437" s="267"/>
      <c r="T437" s="267"/>
      <c r="U437" s="267"/>
      <c r="V437" s="267"/>
      <c r="W437" s="264"/>
      <c r="Y437" s="267"/>
      <c r="Z437" s="267"/>
      <c r="AA437" s="267"/>
      <c r="AB437" s="267"/>
      <c r="AE437" s="267"/>
      <c r="AF437" s="267"/>
      <c r="AG437" s="267"/>
      <c r="AH437" s="267"/>
      <c r="AK437" s="267"/>
      <c r="AL437" s="267"/>
      <c r="AM437" s="267"/>
      <c r="AN437" s="267"/>
      <c r="AQ437" s="267"/>
      <c r="AR437" s="267"/>
      <c r="AS437" s="267"/>
      <c r="AT437" s="267"/>
      <c r="AW437" s="267"/>
      <c r="AX437" s="267"/>
      <c r="AY437" s="267"/>
      <c r="AZ437" s="267"/>
      <c r="BG437" s="269"/>
      <c r="BM437" s="269"/>
      <c r="BS437" s="269"/>
      <c r="BU437" s="267"/>
      <c r="BY437" s="267"/>
      <c r="CC437" s="267"/>
      <c r="CG437" s="267"/>
      <c r="CS437" s="267"/>
      <c r="CW437" s="270"/>
      <c r="CX437" s="267"/>
      <c r="DC437" s="267"/>
      <c r="DH437" s="267"/>
      <c r="DM437" s="267"/>
      <c r="DR437" s="267"/>
      <c r="DW437" s="267"/>
      <c r="EB437" s="267"/>
      <c r="EG437" s="267"/>
      <c r="EL437" s="267"/>
      <c r="EQ437" s="267"/>
      <c r="EU437" s="270"/>
      <c r="EV437" s="267"/>
      <c r="FC437" s="267"/>
      <c r="FD437" s="267"/>
      <c r="FE437" s="267"/>
      <c r="FF437" s="267"/>
      <c r="FG437" s="267"/>
      <c r="FL437" s="267"/>
      <c r="FM437" s="267"/>
      <c r="FN437" s="267"/>
      <c r="FO437" s="267"/>
      <c r="FP437" s="267"/>
      <c r="FQ437" s="264"/>
      <c r="FR437" s="264"/>
      <c r="FS437" s="264"/>
      <c r="FT437" s="264"/>
      <c r="FU437" s="267"/>
      <c r="FV437" s="267"/>
      <c r="FW437" s="267"/>
      <c r="FX437" s="267"/>
      <c r="FY437" s="267"/>
      <c r="GD437" s="267"/>
      <c r="GE437" s="267"/>
      <c r="GF437" s="267"/>
      <c r="GG437" s="267"/>
      <c r="GH437" s="267"/>
      <c r="GI437" s="264"/>
      <c r="GJ437" s="264"/>
      <c r="GK437" s="264"/>
      <c r="GL437" s="264"/>
      <c r="HD437" s="267"/>
      <c r="HE437" s="267"/>
      <c r="HF437" s="267"/>
      <c r="HG437" s="267"/>
      <c r="HH437" s="267"/>
      <c r="HI437" s="267"/>
      <c r="HJ437" s="267"/>
      <c r="HK437" s="267"/>
      <c r="HL437" s="267"/>
      <c r="HM437" s="267"/>
      <c r="HN437" s="267"/>
      <c r="HO437" s="267"/>
      <c r="HP437" s="267"/>
      <c r="HQ437" s="267"/>
      <c r="HR437" s="267"/>
      <c r="HS437" s="267"/>
      <c r="HT437" s="267"/>
      <c r="HU437" s="267"/>
      <c r="IH437" s="267"/>
      <c r="IK437" s="267"/>
      <c r="IN437" s="267"/>
      <c r="IQ437" s="267"/>
      <c r="IR437" s="267"/>
      <c r="IS437" s="267"/>
      <c r="IV437" s="267"/>
      <c r="IY437" s="267"/>
    </row>
    <row r="438" spans="10:259">
      <c r="J438" s="267"/>
      <c r="K438" s="267"/>
      <c r="L438" s="267"/>
      <c r="M438" s="267"/>
      <c r="N438" s="267"/>
      <c r="O438" s="267"/>
      <c r="P438" s="267"/>
      <c r="Q438" s="267"/>
      <c r="S438" s="267"/>
      <c r="T438" s="267"/>
      <c r="U438" s="267"/>
      <c r="V438" s="267"/>
      <c r="W438" s="264"/>
      <c r="Y438" s="267"/>
      <c r="Z438" s="267"/>
      <c r="AA438" s="267"/>
      <c r="AB438" s="267"/>
      <c r="AE438" s="267"/>
      <c r="AF438" s="267"/>
      <c r="AG438" s="267"/>
      <c r="AH438" s="267"/>
      <c r="AK438" s="267"/>
      <c r="AL438" s="267"/>
      <c r="AM438" s="267"/>
      <c r="AN438" s="267"/>
      <c r="AQ438" s="267"/>
      <c r="AR438" s="267"/>
      <c r="AS438" s="267"/>
      <c r="AT438" s="267"/>
      <c r="AW438" s="267"/>
      <c r="AX438" s="267"/>
      <c r="AY438" s="267"/>
      <c r="AZ438" s="267"/>
      <c r="BG438" s="269"/>
      <c r="BM438" s="269"/>
      <c r="BS438" s="269"/>
      <c r="BU438" s="267"/>
      <c r="BY438" s="267"/>
      <c r="CC438" s="267"/>
      <c r="CG438" s="267"/>
      <c r="CS438" s="267"/>
      <c r="CW438" s="270"/>
      <c r="CX438" s="267"/>
      <c r="DC438" s="267"/>
      <c r="DH438" s="267"/>
      <c r="DM438" s="267"/>
      <c r="DR438" s="267"/>
      <c r="DW438" s="267"/>
      <c r="EB438" s="267"/>
      <c r="EG438" s="267"/>
      <c r="EL438" s="267"/>
      <c r="EQ438" s="267"/>
      <c r="EU438" s="270"/>
      <c r="EV438" s="267"/>
      <c r="FC438" s="267"/>
      <c r="FD438" s="267"/>
      <c r="FE438" s="267"/>
      <c r="FF438" s="267"/>
      <c r="FG438" s="267"/>
      <c r="FL438" s="267"/>
      <c r="FM438" s="267"/>
      <c r="FN438" s="267"/>
      <c r="FO438" s="267"/>
      <c r="FP438" s="267"/>
      <c r="FQ438" s="264"/>
      <c r="FR438" s="264"/>
      <c r="FS438" s="264"/>
      <c r="FT438" s="264"/>
      <c r="FU438" s="267"/>
      <c r="FV438" s="267"/>
      <c r="FW438" s="267"/>
      <c r="FX438" s="267"/>
      <c r="FY438" s="267"/>
      <c r="GD438" s="267"/>
      <c r="GE438" s="267"/>
      <c r="GF438" s="267"/>
      <c r="GG438" s="267"/>
      <c r="GH438" s="267"/>
      <c r="GI438" s="264"/>
      <c r="GJ438" s="264"/>
      <c r="GK438" s="264"/>
      <c r="GL438" s="264"/>
      <c r="HD438" s="267"/>
      <c r="HE438" s="267"/>
      <c r="HF438" s="267"/>
      <c r="HG438" s="267"/>
      <c r="HH438" s="267"/>
      <c r="HI438" s="267"/>
      <c r="HJ438" s="267"/>
      <c r="HK438" s="267"/>
      <c r="HL438" s="267"/>
      <c r="HM438" s="267"/>
      <c r="HN438" s="267"/>
      <c r="HO438" s="267"/>
      <c r="HP438" s="267"/>
      <c r="HQ438" s="267"/>
      <c r="HR438" s="267"/>
      <c r="HS438" s="267"/>
      <c r="HT438" s="267"/>
      <c r="HU438" s="267"/>
      <c r="IH438" s="267"/>
      <c r="IK438" s="267"/>
      <c r="IN438" s="267"/>
      <c r="IQ438" s="267"/>
      <c r="IR438" s="267"/>
      <c r="IS438" s="267"/>
      <c r="IV438" s="267"/>
      <c r="IY438" s="267"/>
    </row>
    <row r="439" spans="10:259">
      <c r="J439" s="267"/>
      <c r="K439" s="267"/>
      <c r="L439" s="267"/>
      <c r="M439" s="267"/>
      <c r="N439" s="267"/>
      <c r="O439" s="267"/>
      <c r="P439" s="267"/>
      <c r="Q439" s="267"/>
      <c r="S439" s="267"/>
      <c r="T439" s="267"/>
      <c r="U439" s="267"/>
      <c r="V439" s="267"/>
      <c r="W439" s="264"/>
      <c r="Y439" s="267"/>
      <c r="Z439" s="267"/>
      <c r="AA439" s="267"/>
      <c r="AB439" s="267"/>
      <c r="AE439" s="267"/>
      <c r="AF439" s="267"/>
      <c r="AG439" s="267"/>
      <c r="AH439" s="267"/>
      <c r="AK439" s="267"/>
      <c r="AL439" s="267"/>
      <c r="AM439" s="267"/>
      <c r="AN439" s="267"/>
      <c r="AQ439" s="267"/>
      <c r="AR439" s="267"/>
      <c r="AS439" s="267"/>
      <c r="AT439" s="267"/>
      <c r="AW439" s="267"/>
      <c r="AX439" s="267"/>
      <c r="AY439" s="267"/>
      <c r="AZ439" s="267"/>
      <c r="BG439" s="269"/>
      <c r="BM439" s="269"/>
      <c r="BS439" s="269"/>
      <c r="BU439" s="267"/>
      <c r="BY439" s="267"/>
      <c r="CC439" s="267"/>
      <c r="CG439" s="267"/>
      <c r="CS439" s="267"/>
      <c r="CW439" s="270"/>
      <c r="CX439" s="267"/>
      <c r="DC439" s="267"/>
      <c r="DH439" s="267"/>
      <c r="DM439" s="267"/>
      <c r="DR439" s="267"/>
      <c r="DW439" s="267"/>
      <c r="EB439" s="267"/>
      <c r="EG439" s="267"/>
      <c r="EL439" s="267"/>
      <c r="EQ439" s="267"/>
      <c r="EU439" s="270"/>
      <c r="EV439" s="267"/>
      <c r="FC439" s="267"/>
      <c r="FD439" s="267"/>
      <c r="FE439" s="267"/>
      <c r="FF439" s="267"/>
      <c r="FG439" s="267"/>
      <c r="FL439" s="267"/>
      <c r="FM439" s="267"/>
      <c r="FN439" s="267"/>
      <c r="FO439" s="267"/>
      <c r="FP439" s="267"/>
      <c r="FQ439" s="264"/>
      <c r="FR439" s="264"/>
      <c r="FS439" s="264"/>
      <c r="FT439" s="264"/>
      <c r="FU439" s="267"/>
      <c r="FV439" s="267"/>
      <c r="FW439" s="267"/>
      <c r="FX439" s="267"/>
      <c r="FY439" s="267"/>
      <c r="GD439" s="267"/>
      <c r="GE439" s="267"/>
      <c r="GF439" s="267"/>
      <c r="GG439" s="267"/>
      <c r="GH439" s="267"/>
      <c r="GI439" s="264"/>
      <c r="GJ439" s="264"/>
      <c r="GK439" s="264"/>
      <c r="GL439" s="264"/>
      <c r="HD439" s="267"/>
      <c r="HE439" s="267"/>
      <c r="HF439" s="267"/>
      <c r="HG439" s="267"/>
      <c r="HH439" s="267"/>
      <c r="HI439" s="267"/>
      <c r="HJ439" s="267"/>
      <c r="HK439" s="267"/>
      <c r="HL439" s="267"/>
      <c r="HM439" s="267"/>
      <c r="HN439" s="267"/>
      <c r="HO439" s="267"/>
      <c r="HP439" s="267"/>
      <c r="HQ439" s="267"/>
      <c r="HR439" s="267"/>
      <c r="HS439" s="267"/>
      <c r="HT439" s="267"/>
      <c r="HU439" s="267"/>
      <c r="IH439" s="267"/>
      <c r="IK439" s="267"/>
      <c r="IN439" s="267"/>
      <c r="IQ439" s="267"/>
      <c r="IR439" s="267"/>
      <c r="IS439" s="267"/>
      <c r="IV439" s="267"/>
      <c r="IY439" s="267"/>
    </row>
    <row r="440" spans="10:259">
      <c r="J440" s="267"/>
      <c r="K440" s="267"/>
      <c r="L440" s="267"/>
      <c r="M440" s="267"/>
      <c r="N440" s="267"/>
      <c r="O440" s="267"/>
      <c r="P440" s="267"/>
      <c r="Q440" s="267"/>
      <c r="S440" s="267"/>
      <c r="T440" s="267"/>
      <c r="U440" s="267"/>
      <c r="V440" s="267"/>
      <c r="W440" s="264"/>
      <c r="Y440" s="267"/>
      <c r="Z440" s="267"/>
      <c r="AA440" s="267"/>
      <c r="AB440" s="267"/>
      <c r="AE440" s="267"/>
      <c r="AF440" s="267"/>
      <c r="AG440" s="267"/>
      <c r="AH440" s="267"/>
      <c r="AK440" s="267"/>
      <c r="AL440" s="267"/>
      <c r="AM440" s="267"/>
      <c r="AN440" s="267"/>
      <c r="AQ440" s="267"/>
      <c r="AR440" s="267"/>
      <c r="AS440" s="267"/>
      <c r="AT440" s="267"/>
      <c r="AW440" s="267"/>
      <c r="AX440" s="267"/>
      <c r="AY440" s="267"/>
      <c r="AZ440" s="267"/>
      <c r="BG440" s="269"/>
      <c r="BM440" s="269"/>
      <c r="BS440" s="269"/>
      <c r="BU440" s="267"/>
      <c r="BY440" s="267"/>
      <c r="CC440" s="267"/>
      <c r="CG440" s="267"/>
      <c r="CS440" s="267"/>
      <c r="CW440" s="270"/>
      <c r="CX440" s="267"/>
      <c r="DC440" s="267"/>
      <c r="DH440" s="267"/>
      <c r="DM440" s="267"/>
      <c r="DR440" s="267"/>
      <c r="DW440" s="267"/>
      <c r="EB440" s="267"/>
      <c r="EG440" s="267"/>
      <c r="EL440" s="267"/>
      <c r="EQ440" s="267"/>
      <c r="EU440" s="270"/>
      <c r="EV440" s="267"/>
      <c r="FC440" s="267"/>
      <c r="FD440" s="267"/>
      <c r="FE440" s="267"/>
      <c r="FF440" s="267"/>
      <c r="FG440" s="267"/>
      <c r="FL440" s="267"/>
      <c r="FM440" s="267"/>
      <c r="FN440" s="267"/>
      <c r="FO440" s="267"/>
      <c r="FP440" s="267"/>
      <c r="FQ440" s="264"/>
      <c r="FR440" s="264"/>
      <c r="FS440" s="264"/>
      <c r="FT440" s="264"/>
      <c r="FU440" s="267"/>
      <c r="FV440" s="267"/>
      <c r="FW440" s="267"/>
      <c r="FX440" s="267"/>
      <c r="FY440" s="267"/>
      <c r="GD440" s="267"/>
      <c r="GE440" s="267"/>
      <c r="GF440" s="267"/>
      <c r="GG440" s="267"/>
      <c r="GH440" s="267"/>
      <c r="GI440" s="264"/>
      <c r="GJ440" s="264"/>
      <c r="GK440" s="264"/>
      <c r="GL440" s="264"/>
      <c r="HD440" s="267"/>
      <c r="HE440" s="267"/>
      <c r="HF440" s="267"/>
      <c r="HG440" s="267"/>
      <c r="HH440" s="267"/>
      <c r="HI440" s="267"/>
      <c r="HJ440" s="267"/>
      <c r="HK440" s="267"/>
      <c r="HL440" s="267"/>
      <c r="HM440" s="267"/>
      <c r="HN440" s="267"/>
      <c r="HO440" s="267"/>
      <c r="HP440" s="267"/>
      <c r="HQ440" s="267"/>
      <c r="HR440" s="267"/>
      <c r="HS440" s="267"/>
      <c r="HT440" s="267"/>
      <c r="HU440" s="267"/>
      <c r="IH440" s="267"/>
      <c r="IK440" s="267"/>
      <c r="IN440" s="267"/>
      <c r="IQ440" s="267"/>
      <c r="IR440" s="267"/>
      <c r="IS440" s="267"/>
      <c r="IV440" s="267"/>
      <c r="IY440" s="267"/>
    </row>
    <row r="441" spans="10:259">
      <c r="J441" s="267"/>
      <c r="K441" s="267"/>
      <c r="L441" s="267"/>
      <c r="M441" s="267"/>
      <c r="N441" s="267"/>
      <c r="O441" s="267"/>
      <c r="P441" s="267"/>
      <c r="Q441" s="267"/>
      <c r="S441" s="267"/>
      <c r="T441" s="267"/>
      <c r="U441" s="267"/>
      <c r="V441" s="267"/>
      <c r="W441" s="264"/>
      <c r="Y441" s="267"/>
      <c r="Z441" s="267"/>
      <c r="AA441" s="267"/>
      <c r="AB441" s="267"/>
      <c r="AE441" s="267"/>
      <c r="AF441" s="267"/>
      <c r="AG441" s="267"/>
      <c r="AH441" s="267"/>
      <c r="AK441" s="267"/>
      <c r="AL441" s="267"/>
      <c r="AM441" s="267"/>
      <c r="AN441" s="267"/>
      <c r="AQ441" s="267"/>
      <c r="AR441" s="267"/>
      <c r="AS441" s="267"/>
      <c r="AT441" s="267"/>
      <c r="AW441" s="267"/>
      <c r="AX441" s="267"/>
      <c r="AY441" s="267"/>
      <c r="AZ441" s="267"/>
      <c r="BG441" s="269"/>
      <c r="BM441" s="269"/>
      <c r="BS441" s="269"/>
      <c r="BU441" s="267"/>
      <c r="BY441" s="267"/>
      <c r="CC441" s="267"/>
      <c r="CG441" s="267"/>
      <c r="CS441" s="267"/>
      <c r="CW441" s="270"/>
      <c r="CX441" s="267"/>
      <c r="DC441" s="267"/>
      <c r="DH441" s="267"/>
      <c r="DM441" s="267"/>
      <c r="DR441" s="267"/>
      <c r="DW441" s="267"/>
      <c r="EB441" s="267"/>
      <c r="EG441" s="267"/>
      <c r="EL441" s="267"/>
      <c r="EQ441" s="267"/>
      <c r="EU441" s="270"/>
      <c r="EV441" s="267"/>
      <c r="FC441" s="267"/>
      <c r="FD441" s="267"/>
      <c r="FE441" s="267"/>
      <c r="FF441" s="267"/>
      <c r="FG441" s="267"/>
      <c r="FL441" s="267"/>
      <c r="FM441" s="267"/>
      <c r="FN441" s="267"/>
      <c r="FO441" s="267"/>
      <c r="FP441" s="267"/>
      <c r="FQ441" s="264"/>
      <c r="FR441" s="264"/>
      <c r="FS441" s="264"/>
      <c r="FT441" s="264"/>
      <c r="FU441" s="267"/>
      <c r="FV441" s="267"/>
      <c r="FW441" s="267"/>
      <c r="FX441" s="267"/>
      <c r="FY441" s="267"/>
      <c r="GD441" s="267"/>
      <c r="GE441" s="267"/>
      <c r="GF441" s="267"/>
      <c r="GG441" s="267"/>
      <c r="GH441" s="267"/>
      <c r="GI441" s="264"/>
      <c r="GJ441" s="264"/>
      <c r="GK441" s="264"/>
      <c r="GL441" s="264"/>
      <c r="HD441" s="267"/>
      <c r="HE441" s="267"/>
      <c r="HF441" s="267"/>
      <c r="HG441" s="267"/>
      <c r="HH441" s="267"/>
      <c r="HI441" s="267"/>
      <c r="HJ441" s="267"/>
      <c r="HK441" s="267"/>
      <c r="HL441" s="267"/>
      <c r="HM441" s="267"/>
      <c r="HN441" s="267"/>
      <c r="HO441" s="267"/>
      <c r="HP441" s="267"/>
      <c r="HQ441" s="267"/>
      <c r="HR441" s="267"/>
      <c r="HS441" s="267"/>
      <c r="HT441" s="267"/>
      <c r="HU441" s="267"/>
      <c r="IH441" s="267"/>
      <c r="IK441" s="267"/>
      <c r="IN441" s="267"/>
      <c r="IQ441" s="267"/>
      <c r="IR441" s="267"/>
      <c r="IS441" s="267"/>
      <c r="IV441" s="267"/>
      <c r="IY441" s="267"/>
    </row>
    <row r="442" spans="10:259">
      <c r="J442" s="267"/>
      <c r="K442" s="267"/>
      <c r="L442" s="267"/>
      <c r="M442" s="267"/>
      <c r="N442" s="267"/>
      <c r="O442" s="267"/>
      <c r="P442" s="267"/>
      <c r="Q442" s="267"/>
      <c r="S442" s="267"/>
      <c r="T442" s="267"/>
      <c r="U442" s="267"/>
      <c r="V442" s="267"/>
      <c r="W442" s="264"/>
      <c r="Y442" s="267"/>
      <c r="Z442" s="267"/>
      <c r="AA442" s="267"/>
      <c r="AB442" s="267"/>
      <c r="AE442" s="267"/>
      <c r="AF442" s="267"/>
      <c r="AG442" s="267"/>
      <c r="AH442" s="267"/>
      <c r="AK442" s="267"/>
      <c r="AL442" s="267"/>
      <c r="AM442" s="267"/>
      <c r="AN442" s="267"/>
      <c r="AQ442" s="267"/>
      <c r="AR442" s="267"/>
      <c r="AS442" s="267"/>
      <c r="AT442" s="267"/>
      <c r="AW442" s="267"/>
      <c r="AX442" s="267"/>
      <c r="AY442" s="267"/>
      <c r="AZ442" s="267"/>
      <c r="BG442" s="269"/>
      <c r="BM442" s="269"/>
      <c r="BS442" s="269"/>
      <c r="BU442" s="267"/>
      <c r="BY442" s="267"/>
      <c r="CC442" s="267"/>
      <c r="CG442" s="267"/>
      <c r="CS442" s="267"/>
      <c r="CW442" s="270"/>
      <c r="CX442" s="267"/>
      <c r="DC442" s="267"/>
      <c r="DH442" s="267"/>
      <c r="DM442" s="267"/>
      <c r="DR442" s="267"/>
      <c r="DW442" s="267"/>
      <c r="EB442" s="267"/>
      <c r="EG442" s="267"/>
      <c r="EL442" s="267"/>
      <c r="EQ442" s="267"/>
      <c r="EU442" s="270"/>
      <c r="EV442" s="267"/>
      <c r="FC442" s="267"/>
      <c r="FD442" s="267"/>
      <c r="FE442" s="267"/>
      <c r="FF442" s="267"/>
      <c r="FG442" s="267"/>
      <c r="FL442" s="267"/>
      <c r="FM442" s="267"/>
      <c r="FN442" s="267"/>
      <c r="FO442" s="267"/>
      <c r="FP442" s="267"/>
      <c r="FQ442" s="264"/>
      <c r="FR442" s="264"/>
      <c r="FS442" s="264"/>
      <c r="FT442" s="264"/>
      <c r="FU442" s="267"/>
      <c r="FV442" s="267"/>
      <c r="FW442" s="267"/>
      <c r="FX442" s="267"/>
      <c r="FY442" s="267"/>
      <c r="GD442" s="267"/>
      <c r="GE442" s="267"/>
      <c r="GF442" s="267"/>
      <c r="GG442" s="267"/>
      <c r="GH442" s="267"/>
      <c r="GI442" s="264"/>
      <c r="GJ442" s="264"/>
      <c r="GK442" s="264"/>
      <c r="GL442" s="264"/>
      <c r="HD442" s="267"/>
      <c r="HE442" s="267"/>
      <c r="HF442" s="267"/>
      <c r="HG442" s="267"/>
      <c r="HH442" s="267"/>
      <c r="HI442" s="267"/>
      <c r="HJ442" s="267"/>
      <c r="HK442" s="267"/>
      <c r="HL442" s="267"/>
      <c r="HM442" s="267"/>
      <c r="HN442" s="267"/>
      <c r="HO442" s="267"/>
      <c r="HP442" s="267"/>
      <c r="HQ442" s="267"/>
      <c r="HR442" s="267"/>
      <c r="HS442" s="267"/>
      <c r="HT442" s="267"/>
      <c r="HU442" s="267"/>
      <c r="IH442" s="267"/>
      <c r="IK442" s="267"/>
      <c r="IN442" s="267"/>
      <c r="IQ442" s="267"/>
      <c r="IR442" s="267"/>
      <c r="IS442" s="267"/>
      <c r="IV442" s="267"/>
      <c r="IY442" s="267"/>
    </row>
    <row r="443" spans="10:259">
      <c r="J443" s="267"/>
      <c r="K443" s="267"/>
      <c r="L443" s="267"/>
      <c r="M443" s="267"/>
      <c r="N443" s="267"/>
      <c r="O443" s="267"/>
      <c r="P443" s="267"/>
      <c r="Q443" s="267"/>
      <c r="S443" s="267"/>
      <c r="T443" s="267"/>
      <c r="U443" s="267"/>
      <c r="V443" s="267"/>
      <c r="W443" s="264"/>
      <c r="Y443" s="267"/>
      <c r="Z443" s="267"/>
      <c r="AA443" s="267"/>
      <c r="AB443" s="267"/>
      <c r="AE443" s="267"/>
      <c r="AF443" s="267"/>
      <c r="AG443" s="267"/>
      <c r="AH443" s="267"/>
      <c r="AK443" s="267"/>
      <c r="AL443" s="267"/>
      <c r="AM443" s="267"/>
      <c r="AN443" s="267"/>
      <c r="AQ443" s="267"/>
      <c r="AR443" s="267"/>
      <c r="AS443" s="267"/>
      <c r="AT443" s="267"/>
      <c r="AW443" s="267"/>
      <c r="AX443" s="267"/>
      <c r="AY443" s="267"/>
      <c r="AZ443" s="267"/>
      <c r="BG443" s="269"/>
      <c r="BM443" s="269"/>
      <c r="BS443" s="269"/>
      <c r="BU443" s="267"/>
      <c r="BY443" s="267"/>
      <c r="CC443" s="267"/>
      <c r="CG443" s="267"/>
      <c r="CS443" s="267"/>
      <c r="CW443" s="270"/>
      <c r="CX443" s="267"/>
      <c r="DC443" s="267"/>
      <c r="DH443" s="267"/>
      <c r="DM443" s="267"/>
      <c r="DR443" s="267"/>
      <c r="DW443" s="267"/>
      <c r="EB443" s="267"/>
      <c r="EG443" s="267"/>
      <c r="EL443" s="267"/>
      <c r="EQ443" s="267"/>
      <c r="EU443" s="270"/>
      <c r="EV443" s="267"/>
      <c r="FC443" s="267"/>
      <c r="FD443" s="267"/>
      <c r="FE443" s="267"/>
      <c r="FF443" s="267"/>
      <c r="FG443" s="267"/>
      <c r="FL443" s="267"/>
      <c r="FM443" s="267"/>
      <c r="FN443" s="267"/>
      <c r="FO443" s="267"/>
      <c r="FP443" s="267"/>
      <c r="FQ443" s="264"/>
      <c r="FR443" s="264"/>
      <c r="FS443" s="264"/>
      <c r="FT443" s="264"/>
      <c r="FU443" s="267"/>
      <c r="FV443" s="267"/>
      <c r="FW443" s="267"/>
      <c r="FX443" s="267"/>
      <c r="FY443" s="267"/>
      <c r="GD443" s="267"/>
      <c r="GE443" s="267"/>
      <c r="GF443" s="267"/>
      <c r="GG443" s="267"/>
      <c r="GH443" s="267"/>
      <c r="GI443" s="264"/>
      <c r="GJ443" s="264"/>
      <c r="GK443" s="264"/>
      <c r="GL443" s="264"/>
      <c r="HD443" s="267"/>
      <c r="HE443" s="267"/>
      <c r="HF443" s="267"/>
      <c r="HG443" s="267"/>
      <c r="HH443" s="267"/>
      <c r="HI443" s="267"/>
      <c r="HJ443" s="267"/>
      <c r="HK443" s="267"/>
      <c r="HL443" s="267"/>
      <c r="HM443" s="267"/>
      <c r="HN443" s="267"/>
      <c r="HO443" s="267"/>
      <c r="HP443" s="267"/>
      <c r="HQ443" s="267"/>
      <c r="HR443" s="267"/>
      <c r="HS443" s="267"/>
      <c r="HT443" s="267"/>
      <c r="HU443" s="267"/>
      <c r="IH443" s="267"/>
      <c r="IK443" s="267"/>
      <c r="IN443" s="267"/>
      <c r="IQ443" s="267"/>
      <c r="IR443" s="267"/>
      <c r="IS443" s="267"/>
      <c r="IV443" s="267"/>
      <c r="IY443" s="267"/>
    </row>
    <row r="444" spans="10:259">
      <c r="J444" s="267"/>
      <c r="K444" s="267"/>
      <c r="L444" s="267"/>
      <c r="M444" s="267"/>
      <c r="N444" s="267"/>
      <c r="O444" s="267"/>
      <c r="P444" s="267"/>
      <c r="Q444" s="267"/>
      <c r="S444" s="267"/>
      <c r="T444" s="267"/>
      <c r="U444" s="267"/>
      <c r="V444" s="267"/>
      <c r="W444" s="264"/>
      <c r="Y444" s="267"/>
      <c r="Z444" s="267"/>
      <c r="AA444" s="267"/>
      <c r="AB444" s="267"/>
      <c r="AE444" s="267"/>
      <c r="AF444" s="267"/>
      <c r="AG444" s="267"/>
      <c r="AH444" s="267"/>
      <c r="AK444" s="267"/>
      <c r="AL444" s="267"/>
      <c r="AM444" s="267"/>
      <c r="AN444" s="267"/>
      <c r="AQ444" s="267"/>
      <c r="AR444" s="267"/>
      <c r="AS444" s="267"/>
      <c r="AT444" s="267"/>
      <c r="AW444" s="267"/>
      <c r="AX444" s="267"/>
      <c r="AY444" s="267"/>
      <c r="AZ444" s="267"/>
      <c r="BG444" s="269"/>
      <c r="BM444" s="269"/>
      <c r="BS444" s="269"/>
      <c r="BU444" s="267"/>
      <c r="BY444" s="267"/>
      <c r="CC444" s="267"/>
      <c r="CG444" s="267"/>
      <c r="CS444" s="267"/>
      <c r="CW444" s="270"/>
      <c r="CX444" s="267"/>
      <c r="DC444" s="267"/>
      <c r="DH444" s="267"/>
      <c r="DM444" s="267"/>
      <c r="DR444" s="267"/>
      <c r="DW444" s="267"/>
      <c r="EB444" s="267"/>
      <c r="EG444" s="267"/>
      <c r="EL444" s="267"/>
      <c r="EQ444" s="267"/>
      <c r="EU444" s="270"/>
      <c r="EV444" s="267"/>
      <c r="FC444" s="267"/>
      <c r="FD444" s="267"/>
      <c r="FE444" s="267"/>
      <c r="FF444" s="267"/>
      <c r="FG444" s="267"/>
      <c r="FL444" s="267"/>
      <c r="FM444" s="267"/>
      <c r="FN444" s="267"/>
      <c r="FO444" s="267"/>
      <c r="FP444" s="267"/>
      <c r="FQ444" s="264"/>
      <c r="FR444" s="264"/>
      <c r="FS444" s="264"/>
      <c r="FT444" s="264"/>
      <c r="FU444" s="267"/>
      <c r="FV444" s="267"/>
      <c r="FW444" s="267"/>
      <c r="FX444" s="267"/>
      <c r="FY444" s="267"/>
      <c r="GD444" s="267"/>
      <c r="GE444" s="267"/>
      <c r="GF444" s="267"/>
      <c r="GG444" s="267"/>
      <c r="GH444" s="267"/>
      <c r="GI444" s="264"/>
      <c r="GJ444" s="264"/>
      <c r="GK444" s="264"/>
      <c r="GL444" s="264"/>
      <c r="HD444" s="267"/>
      <c r="HE444" s="267"/>
      <c r="HF444" s="267"/>
      <c r="HG444" s="267"/>
      <c r="HH444" s="267"/>
      <c r="HI444" s="267"/>
      <c r="HJ444" s="267"/>
      <c r="HK444" s="267"/>
      <c r="HL444" s="267"/>
      <c r="HM444" s="267"/>
      <c r="HN444" s="267"/>
      <c r="HO444" s="267"/>
      <c r="HP444" s="267"/>
      <c r="HQ444" s="267"/>
      <c r="HR444" s="267"/>
      <c r="HS444" s="267"/>
      <c r="HT444" s="267"/>
      <c r="HU444" s="267"/>
      <c r="IH444" s="267"/>
      <c r="IK444" s="267"/>
      <c r="IN444" s="267"/>
      <c r="IQ444" s="267"/>
      <c r="IR444" s="267"/>
      <c r="IS444" s="267"/>
      <c r="IV444" s="267"/>
      <c r="IY444" s="267"/>
    </row>
    <row r="445" spans="10:259">
      <c r="J445" s="267"/>
      <c r="K445" s="267"/>
      <c r="L445" s="267"/>
      <c r="M445" s="267"/>
      <c r="N445" s="267"/>
      <c r="O445" s="267"/>
      <c r="P445" s="267"/>
      <c r="Q445" s="267"/>
      <c r="S445" s="267"/>
      <c r="T445" s="267"/>
      <c r="U445" s="267"/>
      <c r="V445" s="267"/>
      <c r="W445" s="264"/>
      <c r="Y445" s="267"/>
      <c r="Z445" s="267"/>
      <c r="AA445" s="267"/>
      <c r="AB445" s="267"/>
      <c r="AE445" s="267"/>
      <c r="AF445" s="267"/>
      <c r="AG445" s="267"/>
      <c r="AH445" s="267"/>
      <c r="AK445" s="267"/>
      <c r="AL445" s="267"/>
      <c r="AM445" s="267"/>
      <c r="AN445" s="267"/>
      <c r="AQ445" s="267"/>
      <c r="AR445" s="267"/>
      <c r="AS445" s="267"/>
      <c r="AT445" s="267"/>
      <c r="AW445" s="267"/>
      <c r="AX445" s="267"/>
      <c r="AY445" s="267"/>
      <c r="AZ445" s="267"/>
      <c r="BG445" s="269"/>
      <c r="BM445" s="269"/>
      <c r="BS445" s="269"/>
      <c r="BU445" s="267"/>
      <c r="BY445" s="267"/>
      <c r="CC445" s="267"/>
      <c r="CG445" s="267"/>
      <c r="CS445" s="267"/>
      <c r="CW445" s="270"/>
      <c r="CX445" s="267"/>
      <c r="DC445" s="267"/>
      <c r="DH445" s="267"/>
      <c r="DM445" s="267"/>
      <c r="DR445" s="267"/>
      <c r="DW445" s="267"/>
      <c r="EB445" s="267"/>
      <c r="EG445" s="267"/>
      <c r="EL445" s="267"/>
      <c r="EQ445" s="267"/>
      <c r="EU445" s="270"/>
      <c r="EV445" s="267"/>
      <c r="FC445" s="267"/>
      <c r="FD445" s="267"/>
      <c r="FE445" s="267"/>
      <c r="FF445" s="267"/>
      <c r="FG445" s="267"/>
      <c r="FL445" s="267"/>
      <c r="FM445" s="267"/>
      <c r="FN445" s="267"/>
      <c r="FO445" s="267"/>
      <c r="FP445" s="267"/>
      <c r="FQ445" s="264"/>
      <c r="FR445" s="264"/>
      <c r="FS445" s="264"/>
      <c r="FT445" s="264"/>
      <c r="FU445" s="267"/>
      <c r="FV445" s="267"/>
      <c r="FW445" s="267"/>
      <c r="FX445" s="267"/>
      <c r="FY445" s="267"/>
      <c r="GD445" s="267"/>
      <c r="GE445" s="267"/>
      <c r="GF445" s="267"/>
      <c r="GG445" s="267"/>
      <c r="GH445" s="267"/>
      <c r="GI445" s="264"/>
      <c r="GJ445" s="264"/>
      <c r="GK445" s="264"/>
      <c r="GL445" s="264"/>
      <c r="HD445" s="267"/>
      <c r="HE445" s="267"/>
      <c r="HF445" s="267"/>
      <c r="HG445" s="267"/>
      <c r="HH445" s="267"/>
      <c r="HI445" s="267"/>
      <c r="HJ445" s="267"/>
      <c r="HK445" s="267"/>
      <c r="HL445" s="267"/>
      <c r="HM445" s="267"/>
      <c r="HN445" s="267"/>
      <c r="HO445" s="267"/>
      <c r="HP445" s="267"/>
      <c r="HQ445" s="267"/>
      <c r="HR445" s="267"/>
      <c r="HS445" s="267"/>
      <c r="HT445" s="267"/>
      <c r="HU445" s="267"/>
      <c r="IH445" s="267"/>
      <c r="IK445" s="267"/>
      <c r="IN445" s="267"/>
      <c r="IQ445" s="267"/>
      <c r="IR445" s="267"/>
      <c r="IS445" s="267"/>
      <c r="IV445" s="267"/>
      <c r="IY445" s="267"/>
    </row>
    <row r="446" spans="10:259">
      <c r="J446" s="267"/>
      <c r="K446" s="267"/>
      <c r="L446" s="267"/>
      <c r="M446" s="267"/>
      <c r="N446" s="267"/>
      <c r="O446" s="267"/>
      <c r="P446" s="267"/>
      <c r="Q446" s="267"/>
      <c r="S446" s="267"/>
      <c r="T446" s="267"/>
      <c r="U446" s="267"/>
      <c r="V446" s="267"/>
      <c r="W446" s="264"/>
      <c r="Y446" s="267"/>
      <c r="Z446" s="267"/>
      <c r="AA446" s="267"/>
      <c r="AB446" s="267"/>
      <c r="AE446" s="267"/>
      <c r="AF446" s="267"/>
      <c r="AG446" s="267"/>
      <c r="AH446" s="267"/>
      <c r="AK446" s="267"/>
      <c r="AL446" s="267"/>
      <c r="AM446" s="267"/>
      <c r="AN446" s="267"/>
      <c r="AQ446" s="267"/>
      <c r="AR446" s="267"/>
      <c r="AS446" s="267"/>
      <c r="AT446" s="267"/>
      <c r="AW446" s="267"/>
      <c r="AX446" s="267"/>
      <c r="AY446" s="267"/>
      <c r="AZ446" s="267"/>
      <c r="BG446" s="269"/>
      <c r="BM446" s="269"/>
      <c r="BS446" s="269"/>
      <c r="BU446" s="267"/>
      <c r="BY446" s="267"/>
      <c r="CC446" s="267"/>
      <c r="CG446" s="267"/>
      <c r="CS446" s="267"/>
      <c r="CW446" s="270"/>
      <c r="CX446" s="267"/>
      <c r="DC446" s="267"/>
      <c r="DH446" s="267"/>
      <c r="DM446" s="267"/>
      <c r="DR446" s="267"/>
      <c r="DW446" s="267"/>
      <c r="EB446" s="267"/>
      <c r="EG446" s="267"/>
      <c r="EL446" s="267"/>
      <c r="EQ446" s="267"/>
      <c r="EU446" s="270"/>
      <c r="EV446" s="267"/>
      <c r="FC446" s="267"/>
      <c r="FD446" s="267"/>
      <c r="FE446" s="267"/>
      <c r="FF446" s="267"/>
      <c r="FG446" s="267"/>
      <c r="FL446" s="267"/>
      <c r="FM446" s="267"/>
      <c r="FN446" s="267"/>
      <c r="FO446" s="267"/>
      <c r="FP446" s="267"/>
      <c r="FQ446" s="264"/>
      <c r="FR446" s="264"/>
      <c r="FS446" s="264"/>
      <c r="FT446" s="264"/>
      <c r="FU446" s="267"/>
      <c r="FV446" s="267"/>
      <c r="FW446" s="267"/>
      <c r="FX446" s="267"/>
      <c r="FY446" s="267"/>
      <c r="GD446" s="267"/>
      <c r="GE446" s="267"/>
      <c r="GF446" s="267"/>
      <c r="GG446" s="267"/>
      <c r="GH446" s="267"/>
      <c r="GI446" s="264"/>
      <c r="GJ446" s="264"/>
      <c r="GK446" s="264"/>
      <c r="GL446" s="264"/>
      <c r="HD446" s="267"/>
      <c r="HE446" s="267"/>
      <c r="HF446" s="267"/>
      <c r="HG446" s="267"/>
      <c r="HH446" s="267"/>
      <c r="HI446" s="267"/>
      <c r="HJ446" s="267"/>
      <c r="HK446" s="267"/>
      <c r="HL446" s="267"/>
      <c r="HM446" s="267"/>
      <c r="HN446" s="267"/>
      <c r="HO446" s="267"/>
      <c r="HP446" s="267"/>
      <c r="HQ446" s="267"/>
      <c r="HR446" s="267"/>
      <c r="HS446" s="267"/>
      <c r="HT446" s="267"/>
      <c r="HU446" s="267"/>
      <c r="IH446" s="267"/>
      <c r="IK446" s="267"/>
      <c r="IN446" s="267"/>
      <c r="IQ446" s="267"/>
      <c r="IR446" s="267"/>
      <c r="IS446" s="267"/>
      <c r="IV446" s="267"/>
      <c r="IY446" s="267"/>
    </row>
    <row r="447" spans="10:259">
      <c r="J447" s="267"/>
      <c r="K447" s="267"/>
      <c r="L447" s="267"/>
      <c r="M447" s="267"/>
      <c r="N447" s="267"/>
      <c r="O447" s="267"/>
      <c r="P447" s="267"/>
      <c r="Q447" s="267"/>
      <c r="S447" s="267"/>
      <c r="T447" s="267"/>
      <c r="U447" s="267"/>
      <c r="V447" s="267"/>
      <c r="W447" s="264"/>
      <c r="Y447" s="267"/>
      <c r="Z447" s="267"/>
      <c r="AA447" s="267"/>
      <c r="AB447" s="267"/>
      <c r="AE447" s="267"/>
      <c r="AF447" s="267"/>
      <c r="AG447" s="267"/>
      <c r="AH447" s="267"/>
      <c r="AK447" s="267"/>
      <c r="AL447" s="267"/>
      <c r="AM447" s="267"/>
      <c r="AN447" s="267"/>
      <c r="AQ447" s="267"/>
      <c r="AR447" s="267"/>
      <c r="AS447" s="267"/>
      <c r="AT447" s="267"/>
      <c r="AW447" s="267"/>
      <c r="AX447" s="267"/>
      <c r="AY447" s="267"/>
      <c r="AZ447" s="267"/>
      <c r="BG447" s="269"/>
      <c r="BM447" s="269"/>
      <c r="BS447" s="269"/>
      <c r="BU447" s="267"/>
      <c r="BY447" s="267"/>
      <c r="CC447" s="267"/>
      <c r="CG447" s="267"/>
      <c r="CS447" s="267"/>
      <c r="CW447" s="270"/>
      <c r="CX447" s="267"/>
      <c r="DC447" s="267"/>
      <c r="DH447" s="267"/>
      <c r="DM447" s="267"/>
      <c r="DR447" s="267"/>
      <c r="DW447" s="267"/>
      <c r="EB447" s="267"/>
      <c r="EG447" s="267"/>
      <c r="EL447" s="267"/>
      <c r="EQ447" s="267"/>
      <c r="EU447" s="270"/>
      <c r="EV447" s="267"/>
      <c r="FC447" s="267"/>
      <c r="FD447" s="267"/>
      <c r="FE447" s="267"/>
      <c r="FF447" s="267"/>
      <c r="FG447" s="267"/>
      <c r="FL447" s="267"/>
      <c r="FM447" s="267"/>
      <c r="FN447" s="267"/>
      <c r="FO447" s="267"/>
      <c r="FP447" s="267"/>
      <c r="FQ447" s="264"/>
      <c r="FR447" s="264"/>
      <c r="FS447" s="264"/>
      <c r="FT447" s="264"/>
      <c r="FU447" s="267"/>
      <c r="FV447" s="267"/>
      <c r="FW447" s="267"/>
      <c r="FX447" s="267"/>
      <c r="FY447" s="267"/>
      <c r="GD447" s="267"/>
      <c r="GE447" s="267"/>
      <c r="GF447" s="267"/>
      <c r="GG447" s="267"/>
      <c r="GH447" s="267"/>
      <c r="GI447" s="264"/>
      <c r="GJ447" s="264"/>
      <c r="GK447" s="264"/>
      <c r="GL447" s="264"/>
      <c r="HD447" s="267"/>
      <c r="HE447" s="267"/>
      <c r="HF447" s="267"/>
      <c r="HG447" s="267"/>
      <c r="HH447" s="267"/>
      <c r="HI447" s="267"/>
      <c r="HJ447" s="267"/>
      <c r="HK447" s="267"/>
      <c r="HL447" s="267"/>
      <c r="HM447" s="267"/>
      <c r="HN447" s="267"/>
      <c r="HO447" s="267"/>
      <c r="HP447" s="267"/>
      <c r="HQ447" s="267"/>
      <c r="HR447" s="267"/>
      <c r="HS447" s="267"/>
      <c r="HT447" s="267"/>
      <c r="HU447" s="267"/>
      <c r="IH447" s="267"/>
      <c r="IK447" s="267"/>
      <c r="IN447" s="267"/>
      <c r="IQ447" s="267"/>
      <c r="IR447" s="267"/>
      <c r="IS447" s="267"/>
      <c r="IV447" s="267"/>
      <c r="IY447" s="267"/>
    </row>
    <row r="448" spans="10:259">
      <c r="J448" s="267"/>
      <c r="K448" s="267"/>
      <c r="L448" s="267"/>
      <c r="M448" s="267"/>
      <c r="N448" s="267"/>
      <c r="O448" s="267"/>
      <c r="P448" s="267"/>
      <c r="Q448" s="267"/>
      <c r="S448" s="267"/>
      <c r="T448" s="267"/>
      <c r="U448" s="267"/>
      <c r="V448" s="267"/>
      <c r="W448" s="264"/>
      <c r="Y448" s="267"/>
      <c r="Z448" s="267"/>
      <c r="AA448" s="267"/>
      <c r="AB448" s="267"/>
      <c r="AE448" s="267"/>
      <c r="AF448" s="267"/>
      <c r="AG448" s="267"/>
      <c r="AH448" s="267"/>
      <c r="AK448" s="267"/>
      <c r="AL448" s="267"/>
      <c r="AM448" s="267"/>
      <c r="AN448" s="267"/>
      <c r="AQ448" s="267"/>
      <c r="AR448" s="267"/>
      <c r="AS448" s="267"/>
      <c r="AT448" s="267"/>
      <c r="AW448" s="267"/>
      <c r="AX448" s="267"/>
      <c r="AY448" s="267"/>
      <c r="AZ448" s="267"/>
      <c r="BG448" s="269"/>
      <c r="BM448" s="269"/>
      <c r="BS448" s="269"/>
      <c r="BU448" s="267"/>
      <c r="BY448" s="267"/>
      <c r="CC448" s="267"/>
      <c r="CG448" s="267"/>
      <c r="CS448" s="267"/>
      <c r="CW448" s="270"/>
      <c r="CX448" s="267"/>
      <c r="DC448" s="267"/>
      <c r="DH448" s="267"/>
      <c r="DM448" s="267"/>
      <c r="DR448" s="267"/>
      <c r="DW448" s="267"/>
      <c r="EB448" s="267"/>
      <c r="EG448" s="267"/>
      <c r="EL448" s="267"/>
      <c r="EQ448" s="267"/>
      <c r="EU448" s="270"/>
      <c r="EV448" s="267"/>
      <c r="FC448" s="267"/>
      <c r="FD448" s="267"/>
      <c r="FE448" s="267"/>
      <c r="FF448" s="267"/>
      <c r="FG448" s="267"/>
      <c r="FL448" s="267"/>
      <c r="FM448" s="267"/>
      <c r="FN448" s="267"/>
      <c r="FO448" s="267"/>
      <c r="FP448" s="267"/>
      <c r="FQ448" s="264"/>
      <c r="FR448" s="264"/>
      <c r="FS448" s="264"/>
      <c r="FT448" s="264"/>
      <c r="FU448" s="267"/>
      <c r="FV448" s="267"/>
      <c r="FW448" s="267"/>
      <c r="FX448" s="267"/>
      <c r="FY448" s="267"/>
      <c r="GD448" s="267"/>
      <c r="GE448" s="267"/>
      <c r="GF448" s="267"/>
      <c r="GG448" s="267"/>
      <c r="GH448" s="267"/>
      <c r="GI448" s="264"/>
      <c r="GJ448" s="264"/>
      <c r="GK448" s="264"/>
      <c r="GL448" s="264"/>
      <c r="HD448" s="267"/>
      <c r="HE448" s="267"/>
      <c r="HF448" s="267"/>
      <c r="HG448" s="267"/>
      <c r="HH448" s="267"/>
      <c r="HI448" s="267"/>
      <c r="HJ448" s="267"/>
      <c r="HK448" s="267"/>
      <c r="HL448" s="267"/>
      <c r="HM448" s="267"/>
      <c r="HN448" s="267"/>
      <c r="HO448" s="267"/>
      <c r="HP448" s="267"/>
      <c r="HQ448" s="267"/>
      <c r="HR448" s="267"/>
      <c r="HS448" s="267"/>
      <c r="HT448" s="267"/>
      <c r="HU448" s="267"/>
      <c r="IH448" s="267"/>
      <c r="IK448" s="267"/>
      <c r="IN448" s="267"/>
      <c r="IQ448" s="267"/>
      <c r="IR448" s="267"/>
      <c r="IS448" s="267"/>
      <c r="IV448" s="267"/>
      <c r="IY448" s="267"/>
    </row>
    <row r="449" spans="10:259">
      <c r="J449" s="267"/>
      <c r="K449" s="267"/>
      <c r="L449" s="267"/>
      <c r="M449" s="267"/>
      <c r="N449" s="267"/>
      <c r="O449" s="267"/>
      <c r="P449" s="267"/>
      <c r="Q449" s="267"/>
      <c r="S449" s="267"/>
      <c r="T449" s="267"/>
      <c r="U449" s="267"/>
      <c r="V449" s="267"/>
      <c r="W449" s="264"/>
      <c r="Y449" s="267"/>
      <c r="Z449" s="267"/>
      <c r="AA449" s="267"/>
      <c r="AB449" s="267"/>
      <c r="AE449" s="267"/>
      <c r="AF449" s="267"/>
      <c r="AG449" s="267"/>
      <c r="AH449" s="267"/>
      <c r="AK449" s="267"/>
      <c r="AL449" s="267"/>
      <c r="AM449" s="267"/>
      <c r="AN449" s="267"/>
      <c r="AQ449" s="267"/>
      <c r="AR449" s="267"/>
      <c r="AS449" s="267"/>
      <c r="AT449" s="267"/>
      <c r="AW449" s="267"/>
      <c r="AX449" s="267"/>
      <c r="AY449" s="267"/>
      <c r="AZ449" s="267"/>
      <c r="BG449" s="269"/>
      <c r="BM449" s="269"/>
      <c r="BS449" s="269"/>
      <c r="BU449" s="267"/>
      <c r="BY449" s="267"/>
      <c r="CC449" s="267"/>
      <c r="CG449" s="267"/>
      <c r="CS449" s="267"/>
      <c r="CW449" s="270"/>
      <c r="CX449" s="267"/>
      <c r="DC449" s="267"/>
      <c r="DH449" s="267"/>
      <c r="DM449" s="267"/>
      <c r="DR449" s="267"/>
      <c r="DW449" s="267"/>
      <c r="EB449" s="267"/>
      <c r="EG449" s="267"/>
      <c r="EL449" s="267"/>
      <c r="EQ449" s="267"/>
      <c r="EU449" s="270"/>
      <c r="EV449" s="267"/>
      <c r="FC449" s="267"/>
      <c r="FD449" s="267"/>
      <c r="FE449" s="267"/>
      <c r="FF449" s="267"/>
      <c r="FG449" s="267"/>
      <c r="FL449" s="267"/>
      <c r="FM449" s="267"/>
      <c r="FN449" s="267"/>
      <c r="FO449" s="267"/>
      <c r="FP449" s="267"/>
      <c r="FQ449" s="264"/>
      <c r="FR449" s="264"/>
      <c r="FS449" s="264"/>
      <c r="FT449" s="264"/>
      <c r="FU449" s="267"/>
      <c r="FV449" s="267"/>
      <c r="FW449" s="267"/>
      <c r="FX449" s="267"/>
      <c r="FY449" s="267"/>
      <c r="GD449" s="267"/>
      <c r="GE449" s="267"/>
      <c r="GF449" s="267"/>
      <c r="GG449" s="267"/>
      <c r="GH449" s="267"/>
      <c r="GI449" s="264"/>
      <c r="GJ449" s="264"/>
      <c r="GK449" s="264"/>
      <c r="GL449" s="264"/>
      <c r="HD449" s="267"/>
      <c r="HE449" s="267"/>
      <c r="HF449" s="267"/>
      <c r="HG449" s="267"/>
      <c r="HH449" s="267"/>
      <c r="HI449" s="267"/>
      <c r="HJ449" s="267"/>
      <c r="HK449" s="267"/>
      <c r="HL449" s="267"/>
      <c r="HM449" s="267"/>
      <c r="HN449" s="267"/>
      <c r="HO449" s="267"/>
      <c r="HP449" s="267"/>
      <c r="HQ449" s="267"/>
      <c r="HR449" s="267"/>
      <c r="HS449" s="267"/>
      <c r="HT449" s="267"/>
      <c r="HU449" s="267"/>
      <c r="IH449" s="267"/>
      <c r="IK449" s="267"/>
      <c r="IN449" s="267"/>
      <c r="IQ449" s="267"/>
      <c r="IR449" s="267"/>
      <c r="IS449" s="267"/>
      <c r="IV449" s="267"/>
      <c r="IY449" s="267"/>
    </row>
    <row r="450" spans="10:259">
      <c r="J450" s="267"/>
      <c r="K450" s="267"/>
      <c r="L450" s="267"/>
      <c r="M450" s="267"/>
      <c r="N450" s="267"/>
      <c r="O450" s="267"/>
      <c r="P450" s="267"/>
      <c r="Q450" s="267"/>
      <c r="S450" s="267"/>
      <c r="T450" s="267"/>
      <c r="U450" s="267"/>
      <c r="V450" s="267"/>
      <c r="W450" s="264"/>
      <c r="Y450" s="267"/>
      <c r="Z450" s="267"/>
      <c r="AA450" s="267"/>
      <c r="AB450" s="267"/>
      <c r="AE450" s="267"/>
      <c r="AF450" s="267"/>
      <c r="AG450" s="267"/>
      <c r="AH450" s="267"/>
      <c r="AK450" s="267"/>
      <c r="AL450" s="267"/>
      <c r="AM450" s="267"/>
      <c r="AN450" s="267"/>
      <c r="AQ450" s="267"/>
      <c r="AR450" s="267"/>
      <c r="AS450" s="267"/>
      <c r="AT450" s="267"/>
      <c r="AW450" s="267"/>
      <c r="AX450" s="267"/>
      <c r="AY450" s="267"/>
      <c r="AZ450" s="267"/>
      <c r="BG450" s="269"/>
      <c r="BM450" s="269"/>
      <c r="BS450" s="269"/>
      <c r="BU450" s="267"/>
      <c r="BY450" s="267"/>
      <c r="CC450" s="267"/>
      <c r="CG450" s="267"/>
      <c r="CS450" s="267"/>
      <c r="CW450" s="270"/>
      <c r="CX450" s="267"/>
      <c r="DC450" s="267"/>
      <c r="DH450" s="267"/>
      <c r="DM450" s="267"/>
      <c r="DR450" s="267"/>
      <c r="DW450" s="267"/>
      <c r="EB450" s="267"/>
      <c r="EG450" s="267"/>
      <c r="EL450" s="267"/>
      <c r="EQ450" s="267"/>
      <c r="EU450" s="270"/>
      <c r="EV450" s="267"/>
      <c r="FC450" s="267"/>
      <c r="FD450" s="267"/>
      <c r="FE450" s="267"/>
      <c r="FF450" s="267"/>
      <c r="FG450" s="267"/>
      <c r="FL450" s="267"/>
      <c r="FM450" s="267"/>
      <c r="FN450" s="267"/>
      <c r="FO450" s="267"/>
      <c r="FP450" s="267"/>
      <c r="FQ450" s="264"/>
      <c r="FR450" s="264"/>
      <c r="FS450" s="264"/>
      <c r="FT450" s="264"/>
      <c r="FU450" s="267"/>
      <c r="FV450" s="267"/>
      <c r="FW450" s="267"/>
      <c r="FX450" s="267"/>
      <c r="FY450" s="267"/>
      <c r="GD450" s="267"/>
      <c r="GE450" s="267"/>
      <c r="GF450" s="267"/>
      <c r="GG450" s="267"/>
      <c r="GH450" s="267"/>
      <c r="GI450" s="264"/>
      <c r="GJ450" s="264"/>
      <c r="GK450" s="264"/>
      <c r="GL450" s="264"/>
      <c r="HD450" s="267"/>
      <c r="HE450" s="267"/>
      <c r="HF450" s="267"/>
      <c r="HG450" s="267"/>
      <c r="HH450" s="267"/>
      <c r="HI450" s="267"/>
      <c r="HJ450" s="267"/>
      <c r="HK450" s="267"/>
      <c r="HL450" s="267"/>
      <c r="HM450" s="267"/>
      <c r="HN450" s="267"/>
      <c r="HO450" s="267"/>
      <c r="HP450" s="267"/>
      <c r="HQ450" s="267"/>
      <c r="HR450" s="267"/>
      <c r="HS450" s="267"/>
      <c r="HT450" s="267"/>
      <c r="HU450" s="267"/>
      <c r="IH450" s="267"/>
      <c r="IK450" s="267"/>
      <c r="IN450" s="267"/>
      <c r="IQ450" s="267"/>
      <c r="IR450" s="267"/>
      <c r="IS450" s="267"/>
      <c r="IV450" s="267"/>
      <c r="IY450" s="267"/>
    </row>
    <row r="451" spans="10:259">
      <c r="J451" s="267"/>
      <c r="K451" s="267"/>
      <c r="L451" s="267"/>
      <c r="M451" s="267"/>
      <c r="N451" s="267"/>
      <c r="O451" s="267"/>
      <c r="P451" s="267"/>
      <c r="Q451" s="267"/>
      <c r="S451" s="267"/>
      <c r="T451" s="267"/>
      <c r="U451" s="267"/>
      <c r="V451" s="267"/>
      <c r="W451" s="264"/>
      <c r="Y451" s="267"/>
      <c r="Z451" s="267"/>
      <c r="AA451" s="267"/>
      <c r="AB451" s="267"/>
      <c r="AE451" s="267"/>
      <c r="AF451" s="267"/>
      <c r="AG451" s="267"/>
      <c r="AH451" s="267"/>
      <c r="AK451" s="267"/>
      <c r="AL451" s="267"/>
      <c r="AM451" s="267"/>
      <c r="AN451" s="267"/>
      <c r="AQ451" s="267"/>
      <c r="AR451" s="267"/>
      <c r="AS451" s="267"/>
      <c r="AT451" s="267"/>
      <c r="AW451" s="267"/>
      <c r="AX451" s="267"/>
      <c r="AY451" s="267"/>
      <c r="AZ451" s="267"/>
      <c r="BG451" s="269"/>
      <c r="BM451" s="269"/>
      <c r="BS451" s="269"/>
      <c r="BU451" s="267"/>
      <c r="BY451" s="267"/>
      <c r="CC451" s="267"/>
      <c r="CG451" s="267"/>
      <c r="CS451" s="267"/>
      <c r="CW451" s="270"/>
      <c r="CX451" s="267"/>
      <c r="DC451" s="267"/>
      <c r="DH451" s="267"/>
      <c r="DM451" s="267"/>
      <c r="DR451" s="267"/>
      <c r="DW451" s="267"/>
      <c r="EB451" s="267"/>
      <c r="EG451" s="267"/>
      <c r="EL451" s="267"/>
      <c r="EQ451" s="267"/>
      <c r="EU451" s="270"/>
      <c r="EV451" s="267"/>
      <c r="FC451" s="267"/>
      <c r="FD451" s="267"/>
      <c r="FE451" s="267"/>
      <c r="FF451" s="267"/>
      <c r="FG451" s="267"/>
      <c r="FL451" s="267"/>
      <c r="FM451" s="267"/>
      <c r="FN451" s="267"/>
      <c r="FO451" s="267"/>
      <c r="FP451" s="267"/>
      <c r="FQ451" s="264"/>
      <c r="FR451" s="264"/>
      <c r="FS451" s="264"/>
      <c r="FT451" s="264"/>
      <c r="FU451" s="267"/>
      <c r="FV451" s="267"/>
      <c r="FW451" s="267"/>
      <c r="FX451" s="267"/>
      <c r="FY451" s="267"/>
      <c r="GD451" s="267"/>
      <c r="GE451" s="267"/>
      <c r="GF451" s="267"/>
      <c r="GG451" s="267"/>
      <c r="GH451" s="267"/>
      <c r="GI451" s="264"/>
      <c r="GJ451" s="264"/>
      <c r="GK451" s="264"/>
      <c r="GL451" s="264"/>
      <c r="HD451" s="267"/>
      <c r="HE451" s="267"/>
      <c r="HF451" s="267"/>
      <c r="HG451" s="267"/>
      <c r="HH451" s="267"/>
      <c r="HI451" s="267"/>
      <c r="HJ451" s="267"/>
      <c r="HK451" s="267"/>
      <c r="HL451" s="267"/>
      <c r="HM451" s="267"/>
      <c r="HN451" s="267"/>
      <c r="HO451" s="267"/>
      <c r="HP451" s="267"/>
      <c r="HQ451" s="267"/>
      <c r="HR451" s="267"/>
      <c r="HS451" s="267"/>
      <c r="HT451" s="267"/>
      <c r="HU451" s="267"/>
      <c r="IH451" s="267"/>
      <c r="IK451" s="267"/>
      <c r="IN451" s="267"/>
      <c r="IQ451" s="267"/>
      <c r="IR451" s="267"/>
      <c r="IS451" s="267"/>
      <c r="IV451" s="267"/>
      <c r="IY451" s="267"/>
    </row>
    <row r="452" spans="10:259">
      <c r="J452" s="267"/>
      <c r="K452" s="267"/>
      <c r="L452" s="267"/>
      <c r="M452" s="267"/>
      <c r="N452" s="267"/>
      <c r="O452" s="267"/>
      <c r="P452" s="267"/>
      <c r="Q452" s="267"/>
      <c r="S452" s="267"/>
      <c r="T452" s="267"/>
      <c r="U452" s="267"/>
      <c r="V452" s="267"/>
      <c r="W452" s="264"/>
      <c r="Y452" s="267"/>
      <c r="Z452" s="267"/>
      <c r="AA452" s="267"/>
      <c r="AB452" s="267"/>
      <c r="AE452" s="267"/>
      <c r="AF452" s="267"/>
      <c r="AG452" s="267"/>
      <c r="AH452" s="267"/>
      <c r="AK452" s="267"/>
      <c r="AL452" s="267"/>
      <c r="AM452" s="267"/>
      <c r="AN452" s="267"/>
      <c r="AQ452" s="267"/>
      <c r="AR452" s="267"/>
      <c r="AS452" s="267"/>
      <c r="AT452" s="267"/>
      <c r="AW452" s="267"/>
      <c r="AX452" s="267"/>
      <c r="AY452" s="267"/>
      <c r="AZ452" s="267"/>
      <c r="BG452" s="269"/>
      <c r="BM452" s="269"/>
      <c r="BS452" s="269"/>
      <c r="BU452" s="267"/>
      <c r="BY452" s="267"/>
      <c r="CC452" s="267"/>
      <c r="CG452" s="267"/>
      <c r="CS452" s="267"/>
      <c r="CW452" s="270"/>
      <c r="CX452" s="267"/>
      <c r="DC452" s="267"/>
      <c r="DH452" s="267"/>
      <c r="DM452" s="267"/>
      <c r="DR452" s="267"/>
      <c r="DW452" s="267"/>
      <c r="EB452" s="267"/>
      <c r="EG452" s="267"/>
      <c r="EL452" s="267"/>
      <c r="EQ452" s="267"/>
      <c r="EU452" s="270"/>
      <c r="EV452" s="267"/>
      <c r="FC452" s="267"/>
      <c r="FD452" s="267"/>
      <c r="FE452" s="267"/>
      <c r="FF452" s="267"/>
      <c r="FG452" s="267"/>
      <c r="FL452" s="267"/>
      <c r="FM452" s="267"/>
      <c r="FN452" s="267"/>
      <c r="FO452" s="267"/>
      <c r="FP452" s="267"/>
      <c r="FQ452" s="264"/>
      <c r="FR452" s="264"/>
      <c r="FS452" s="264"/>
      <c r="FT452" s="264"/>
      <c r="FU452" s="267"/>
      <c r="FV452" s="267"/>
      <c r="FW452" s="267"/>
      <c r="FX452" s="267"/>
      <c r="FY452" s="267"/>
      <c r="GD452" s="267"/>
      <c r="GE452" s="267"/>
      <c r="GF452" s="267"/>
      <c r="GG452" s="267"/>
      <c r="GH452" s="267"/>
      <c r="GI452" s="264"/>
      <c r="GJ452" s="264"/>
      <c r="GK452" s="264"/>
      <c r="GL452" s="264"/>
      <c r="HD452" s="267"/>
      <c r="HE452" s="267"/>
      <c r="HF452" s="267"/>
      <c r="HG452" s="267"/>
      <c r="HH452" s="267"/>
      <c r="HI452" s="267"/>
      <c r="HJ452" s="267"/>
      <c r="HK452" s="267"/>
      <c r="HL452" s="267"/>
      <c r="HM452" s="267"/>
      <c r="HN452" s="267"/>
      <c r="HO452" s="267"/>
      <c r="HP452" s="267"/>
      <c r="HQ452" s="267"/>
      <c r="HR452" s="267"/>
      <c r="HS452" s="267"/>
      <c r="HT452" s="267"/>
      <c r="HU452" s="267"/>
      <c r="IH452" s="267"/>
      <c r="IK452" s="267"/>
      <c r="IN452" s="267"/>
      <c r="IQ452" s="267"/>
      <c r="IR452" s="267"/>
      <c r="IS452" s="267"/>
      <c r="IV452" s="267"/>
      <c r="IY452" s="267"/>
    </row>
    <row r="453" spans="10:259">
      <c r="J453" s="267"/>
      <c r="K453" s="267"/>
      <c r="L453" s="267"/>
      <c r="M453" s="267"/>
      <c r="N453" s="267"/>
      <c r="O453" s="267"/>
      <c r="P453" s="267"/>
      <c r="Q453" s="267"/>
      <c r="S453" s="267"/>
      <c r="T453" s="267"/>
      <c r="U453" s="267"/>
      <c r="V453" s="267"/>
      <c r="W453" s="264"/>
      <c r="Y453" s="267"/>
      <c r="Z453" s="267"/>
      <c r="AA453" s="267"/>
      <c r="AB453" s="267"/>
      <c r="AE453" s="267"/>
      <c r="AF453" s="267"/>
      <c r="AG453" s="267"/>
      <c r="AH453" s="267"/>
      <c r="AK453" s="267"/>
      <c r="AL453" s="267"/>
      <c r="AM453" s="267"/>
      <c r="AN453" s="267"/>
      <c r="AQ453" s="267"/>
      <c r="AR453" s="267"/>
      <c r="AS453" s="267"/>
      <c r="AT453" s="267"/>
      <c r="AW453" s="267"/>
      <c r="AX453" s="267"/>
      <c r="AY453" s="267"/>
      <c r="AZ453" s="267"/>
      <c r="BG453" s="269"/>
      <c r="BM453" s="269"/>
      <c r="BS453" s="269"/>
      <c r="BU453" s="267"/>
      <c r="BY453" s="267"/>
      <c r="CC453" s="267"/>
      <c r="CG453" s="267"/>
      <c r="CS453" s="267"/>
      <c r="CW453" s="270"/>
      <c r="CX453" s="267"/>
      <c r="DC453" s="267"/>
      <c r="DH453" s="267"/>
      <c r="DM453" s="267"/>
      <c r="DR453" s="267"/>
      <c r="DW453" s="267"/>
      <c r="EB453" s="267"/>
      <c r="EG453" s="267"/>
      <c r="EL453" s="267"/>
      <c r="EQ453" s="267"/>
      <c r="EU453" s="270"/>
      <c r="EV453" s="267"/>
      <c r="FC453" s="267"/>
      <c r="FD453" s="267"/>
      <c r="FE453" s="267"/>
      <c r="FF453" s="267"/>
      <c r="FG453" s="267"/>
      <c r="FL453" s="267"/>
      <c r="FM453" s="267"/>
      <c r="FN453" s="267"/>
      <c r="FO453" s="267"/>
      <c r="FP453" s="267"/>
      <c r="FQ453" s="264"/>
      <c r="FR453" s="264"/>
      <c r="FS453" s="264"/>
      <c r="FT453" s="264"/>
      <c r="FU453" s="267"/>
      <c r="FV453" s="267"/>
      <c r="FW453" s="267"/>
      <c r="FX453" s="267"/>
      <c r="FY453" s="267"/>
      <c r="GD453" s="267"/>
      <c r="GE453" s="267"/>
      <c r="GF453" s="267"/>
      <c r="GG453" s="267"/>
      <c r="GH453" s="267"/>
      <c r="GI453" s="264"/>
      <c r="GJ453" s="264"/>
      <c r="GK453" s="264"/>
      <c r="GL453" s="264"/>
      <c r="HD453" s="267"/>
      <c r="HE453" s="267"/>
      <c r="HF453" s="267"/>
      <c r="HG453" s="267"/>
      <c r="HH453" s="267"/>
      <c r="HI453" s="267"/>
      <c r="HJ453" s="267"/>
      <c r="HK453" s="267"/>
      <c r="HL453" s="267"/>
      <c r="HM453" s="267"/>
      <c r="HN453" s="267"/>
      <c r="HO453" s="267"/>
      <c r="HP453" s="267"/>
      <c r="HQ453" s="267"/>
      <c r="HR453" s="267"/>
      <c r="HS453" s="267"/>
      <c r="HT453" s="267"/>
      <c r="HU453" s="267"/>
      <c r="IH453" s="267"/>
      <c r="IK453" s="267"/>
      <c r="IN453" s="267"/>
      <c r="IQ453" s="267"/>
      <c r="IR453" s="267"/>
      <c r="IS453" s="267"/>
      <c r="IV453" s="267"/>
      <c r="IY453" s="267"/>
    </row>
    <row r="454" spans="10:259">
      <c r="J454" s="267"/>
      <c r="K454" s="267"/>
      <c r="L454" s="267"/>
      <c r="M454" s="267"/>
      <c r="N454" s="267"/>
      <c r="O454" s="267"/>
      <c r="P454" s="267"/>
      <c r="Q454" s="267"/>
      <c r="S454" s="267"/>
      <c r="T454" s="267"/>
      <c r="U454" s="267"/>
      <c r="V454" s="267"/>
      <c r="W454" s="264"/>
      <c r="Y454" s="267"/>
      <c r="Z454" s="267"/>
      <c r="AA454" s="267"/>
      <c r="AB454" s="267"/>
      <c r="AE454" s="267"/>
      <c r="AF454" s="267"/>
      <c r="AG454" s="267"/>
      <c r="AH454" s="267"/>
      <c r="AK454" s="267"/>
      <c r="AL454" s="267"/>
      <c r="AM454" s="267"/>
      <c r="AN454" s="267"/>
      <c r="AQ454" s="267"/>
      <c r="AR454" s="267"/>
      <c r="AS454" s="267"/>
      <c r="AT454" s="267"/>
      <c r="AW454" s="267"/>
      <c r="AX454" s="267"/>
      <c r="AY454" s="267"/>
      <c r="AZ454" s="267"/>
      <c r="BG454" s="269"/>
      <c r="BM454" s="269"/>
      <c r="BS454" s="269"/>
      <c r="BU454" s="267"/>
      <c r="BY454" s="267"/>
      <c r="CC454" s="267"/>
      <c r="CG454" s="267"/>
      <c r="CS454" s="267"/>
      <c r="CW454" s="270"/>
      <c r="CX454" s="267"/>
      <c r="DC454" s="267"/>
      <c r="DH454" s="267"/>
      <c r="DM454" s="267"/>
      <c r="DR454" s="267"/>
      <c r="DW454" s="267"/>
      <c r="EB454" s="267"/>
      <c r="EG454" s="267"/>
      <c r="EL454" s="267"/>
      <c r="EQ454" s="267"/>
      <c r="EU454" s="270"/>
      <c r="EV454" s="267"/>
      <c r="FC454" s="267"/>
      <c r="FD454" s="267"/>
      <c r="FE454" s="267"/>
      <c r="FF454" s="267"/>
      <c r="FG454" s="267"/>
      <c r="FL454" s="267"/>
      <c r="FM454" s="267"/>
      <c r="FN454" s="267"/>
      <c r="FO454" s="267"/>
      <c r="FP454" s="267"/>
      <c r="FQ454" s="264"/>
      <c r="FR454" s="264"/>
      <c r="FS454" s="264"/>
      <c r="FT454" s="264"/>
      <c r="FU454" s="267"/>
      <c r="FV454" s="267"/>
      <c r="FW454" s="267"/>
      <c r="FX454" s="267"/>
      <c r="FY454" s="267"/>
      <c r="GD454" s="267"/>
      <c r="GE454" s="267"/>
      <c r="GF454" s="267"/>
      <c r="GG454" s="267"/>
      <c r="GH454" s="267"/>
      <c r="GI454" s="264"/>
      <c r="GJ454" s="264"/>
      <c r="GK454" s="264"/>
      <c r="GL454" s="264"/>
      <c r="HD454" s="267"/>
      <c r="HE454" s="267"/>
      <c r="HF454" s="267"/>
      <c r="HG454" s="267"/>
      <c r="HH454" s="267"/>
      <c r="HI454" s="267"/>
      <c r="HJ454" s="267"/>
      <c r="HK454" s="267"/>
      <c r="HL454" s="267"/>
      <c r="HM454" s="267"/>
      <c r="HN454" s="267"/>
      <c r="HO454" s="267"/>
      <c r="HP454" s="267"/>
      <c r="HQ454" s="267"/>
      <c r="HR454" s="267"/>
      <c r="HS454" s="267"/>
      <c r="HT454" s="267"/>
      <c r="HU454" s="267"/>
      <c r="IH454" s="267"/>
      <c r="IK454" s="267"/>
      <c r="IN454" s="267"/>
      <c r="IQ454" s="267"/>
      <c r="IR454" s="267"/>
      <c r="IS454" s="267"/>
      <c r="IV454" s="267"/>
      <c r="IY454" s="267"/>
    </row>
    <row r="455" spans="10:259">
      <c r="J455" s="267"/>
      <c r="K455" s="267"/>
      <c r="L455" s="267"/>
      <c r="M455" s="267"/>
      <c r="N455" s="267"/>
      <c r="O455" s="267"/>
      <c r="P455" s="267"/>
      <c r="Q455" s="267"/>
      <c r="S455" s="267"/>
      <c r="T455" s="267"/>
      <c r="U455" s="267"/>
      <c r="V455" s="267"/>
      <c r="W455" s="264"/>
      <c r="Y455" s="267"/>
      <c r="Z455" s="267"/>
      <c r="AA455" s="267"/>
      <c r="AB455" s="267"/>
      <c r="AE455" s="267"/>
      <c r="AF455" s="267"/>
      <c r="AG455" s="267"/>
      <c r="AH455" s="267"/>
      <c r="AK455" s="267"/>
      <c r="AL455" s="267"/>
      <c r="AM455" s="267"/>
      <c r="AN455" s="267"/>
      <c r="AQ455" s="267"/>
      <c r="AR455" s="267"/>
      <c r="AS455" s="267"/>
      <c r="AT455" s="267"/>
      <c r="AW455" s="267"/>
      <c r="AX455" s="267"/>
      <c r="AY455" s="267"/>
      <c r="AZ455" s="267"/>
      <c r="BG455" s="269"/>
      <c r="BM455" s="269"/>
      <c r="BS455" s="269"/>
      <c r="BU455" s="267"/>
      <c r="BY455" s="267"/>
      <c r="CC455" s="267"/>
      <c r="CG455" s="267"/>
      <c r="CS455" s="267"/>
      <c r="CW455" s="270"/>
      <c r="CX455" s="267"/>
      <c r="DC455" s="267"/>
      <c r="DH455" s="267"/>
      <c r="DM455" s="267"/>
      <c r="DR455" s="267"/>
      <c r="DW455" s="267"/>
      <c r="EB455" s="267"/>
      <c r="EG455" s="267"/>
      <c r="EL455" s="267"/>
      <c r="EQ455" s="267"/>
      <c r="EU455" s="270"/>
      <c r="EV455" s="267"/>
      <c r="FC455" s="267"/>
      <c r="FD455" s="267"/>
      <c r="FE455" s="267"/>
      <c r="FF455" s="267"/>
      <c r="FG455" s="267"/>
      <c r="FL455" s="267"/>
      <c r="FM455" s="267"/>
      <c r="FN455" s="267"/>
      <c r="FO455" s="267"/>
      <c r="FP455" s="267"/>
      <c r="FQ455" s="264"/>
      <c r="FR455" s="264"/>
      <c r="FS455" s="264"/>
      <c r="FT455" s="264"/>
      <c r="FU455" s="267"/>
      <c r="FV455" s="267"/>
      <c r="FW455" s="267"/>
      <c r="FX455" s="267"/>
      <c r="FY455" s="267"/>
      <c r="GD455" s="267"/>
      <c r="GE455" s="267"/>
      <c r="GF455" s="267"/>
      <c r="GG455" s="267"/>
      <c r="GH455" s="267"/>
      <c r="GI455" s="264"/>
      <c r="GJ455" s="264"/>
      <c r="GK455" s="264"/>
      <c r="GL455" s="264"/>
      <c r="HD455" s="267"/>
      <c r="HE455" s="267"/>
      <c r="HF455" s="267"/>
      <c r="HG455" s="267"/>
      <c r="HH455" s="267"/>
      <c r="HI455" s="267"/>
      <c r="HJ455" s="267"/>
      <c r="HK455" s="267"/>
      <c r="HL455" s="267"/>
      <c r="HM455" s="267"/>
      <c r="HN455" s="267"/>
      <c r="HO455" s="267"/>
      <c r="HP455" s="267"/>
      <c r="HQ455" s="267"/>
      <c r="HR455" s="267"/>
      <c r="HS455" s="267"/>
      <c r="HT455" s="267"/>
      <c r="HU455" s="267"/>
      <c r="IH455" s="267"/>
      <c r="IK455" s="267"/>
      <c r="IN455" s="267"/>
      <c r="IQ455" s="267"/>
      <c r="IR455" s="267"/>
      <c r="IS455" s="267"/>
      <c r="IV455" s="267"/>
      <c r="IY455" s="267"/>
    </row>
    <row r="456" spans="10:259">
      <c r="J456" s="267"/>
      <c r="K456" s="267"/>
      <c r="L456" s="267"/>
      <c r="M456" s="267"/>
      <c r="N456" s="267"/>
      <c r="O456" s="267"/>
      <c r="P456" s="267"/>
      <c r="Q456" s="267"/>
      <c r="S456" s="267"/>
      <c r="T456" s="267"/>
      <c r="U456" s="267"/>
      <c r="V456" s="267"/>
      <c r="W456" s="264"/>
      <c r="Y456" s="267"/>
      <c r="Z456" s="267"/>
      <c r="AA456" s="267"/>
      <c r="AB456" s="267"/>
      <c r="AE456" s="267"/>
      <c r="AF456" s="267"/>
      <c r="AG456" s="267"/>
      <c r="AH456" s="267"/>
      <c r="AK456" s="267"/>
      <c r="AL456" s="267"/>
      <c r="AM456" s="267"/>
      <c r="AN456" s="267"/>
      <c r="AQ456" s="267"/>
      <c r="AR456" s="267"/>
      <c r="AS456" s="267"/>
      <c r="AT456" s="267"/>
      <c r="AW456" s="267"/>
      <c r="AX456" s="267"/>
      <c r="AY456" s="267"/>
      <c r="AZ456" s="267"/>
      <c r="BG456" s="269"/>
      <c r="BM456" s="269"/>
      <c r="BS456" s="269"/>
      <c r="BU456" s="267"/>
      <c r="BY456" s="267"/>
      <c r="CC456" s="267"/>
      <c r="CG456" s="267"/>
      <c r="CS456" s="267"/>
      <c r="CW456" s="270"/>
      <c r="CX456" s="267"/>
      <c r="DC456" s="267"/>
      <c r="DH456" s="267"/>
      <c r="DM456" s="267"/>
      <c r="DR456" s="267"/>
      <c r="DW456" s="267"/>
      <c r="EB456" s="267"/>
      <c r="EG456" s="267"/>
      <c r="EL456" s="267"/>
      <c r="EQ456" s="267"/>
      <c r="EU456" s="270"/>
      <c r="EV456" s="267"/>
      <c r="FC456" s="267"/>
      <c r="FD456" s="267"/>
      <c r="FE456" s="267"/>
      <c r="FF456" s="267"/>
      <c r="FG456" s="267"/>
      <c r="FL456" s="267"/>
      <c r="FM456" s="267"/>
      <c r="FN456" s="267"/>
      <c r="FO456" s="267"/>
      <c r="FP456" s="267"/>
      <c r="FQ456" s="264"/>
      <c r="FR456" s="264"/>
      <c r="FS456" s="264"/>
      <c r="FT456" s="264"/>
      <c r="FU456" s="267"/>
      <c r="FV456" s="267"/>
      <c r="FW456" s="267"/>
      <c r="FX456" s="267"/>
      <c r="FY456" s="267"/>
      <c r="GD456" s="267"/>
      <c r="GE456" s="267"/>
      <c r="GF456" s="267"/>
      <c r="GG456" s="267"/>
      <c r="GH456" s="267"/>
      <c r="GI456" s="264"/>
      <c r="GJ456" s="264"/>
      <c r="GK456" s="264"/>
      <c r="GL456" s="264"/>
      <c r="HD456" s="267"/>
      <c r="HE456" s="267"/>
      <c r="HF456" s="267"/>
      <c r="HG456" s="267"/>
      <c r="HH456" s="267"/>
      <c r="HI456" s="267"/>
      <c r="HJ456" s="267"/>
      <c r="HK456" s="267"/>
      <c r="HL456" s="267"/>
      <c r="HM456" s="267"/>
      <c r="HN456" s="267"/>
      <c r="HO456" s="267"/>
      <c r="HP456" s="267"/>
      <c r="HQ456" s="267"/>
      <c r="HR456" s="267"/>
      <c r="HS456" s="267"/>
      <c r="HT456" s="267"/>
      <c r="HU456" s="267"/>
      <c r="IH456" s="267"/>
      <c r="IK456" s="267"/>
      <c r="IN456" s="267"/>
      <c r="IQ456" s="267"/>
      <c r="IR456" s="267"/>
      <c r="IS456" s="267"/>
      <c r="IV456" s="267"/>
      <c r="IY456" s="267"/>
    </row>
    <row r="457" spans="10:259">
      <c r="J457" s="267"/>
      <c r="K457" s="267"/>
      <c r="L457" s="267"/>
      <c r="M457" s="267"/>
      <c r="N457" s="267"/>
      <c r="O457" s="267"/>
      <c r="P457" s="267"/>
      <c r="Q457" s="267"/>
      <c r="S457" s="267"/>
      <c r="T457" s="267"/>
      <c r="U457" s="267"/>
      <c r="V457" s="267"/>
      <c r="W457" s="264"/>
      <c r="Y457" s="267"/>
      <c r="Z457" s="267"/>
      <c r="AA457" s="267"/>
      <c r="AB457" s="267"/>
      <c r="AE457" s="267"/>
      <c r="AF457" s="267"/>
      <c r="AG457" s="267"/>
      <c r="AH457" s="267"/>
      <c r="AK457" s="267"/>
      <c r="AL457" s="267"/>
      <c r="AM457" s="267"/>
      <c r="AN457" s="267"/>
      <c r="AQ457" s="267"/>
      <c r="AR457" s="267"/>
      <c r="AS457" s="267"/>
      <c r="AT457" s="267"/>
      <c r="AW457" s="267"/>
      <c r="AX457" s="267"/>
      <c r="AY457" s="267"/>
      <c r="AZ457" s="267"/>
      <c r="BG457" s="269"/>
      <c r="BM457" s="269"/>
      <c r="BS457" s="269"/>
      <c r="BU457" s="267"/>
      <c r="BY457" s="267"/>
      <c r="CC457" s="267"/>
      <c r="CG457" s="267"/>
      <c r="CS457" s="267"/>
      <c r="CW457" s="270"/>
      <c r="CX457" s="267"/>
      <c r="DC457" s="267"/>
      <c r="DH457" s="267"/>
      <c r="DM457" s="267"/>
      <c r="DR457" s="267"/>
      <c r="DW457" s="267"/>
      <c r="EB457" s="267"/>
      <c r="EG457" s="267"/>
      <c r="EL457" s="267"/>
      <c r="EQ457" s="267"/>
      <c r="EU457" s="270"/>
      <c r="EV457" s="267"/>
      <c r="FC457" s="267"/>
      <c r="FD457" s="267"/>
      <c r="FE457" s="267"/>
      <c r="FF457" s="267"/>
      <c r="FG457" s="267"/>
      <c r="FL457" s="267"/>
      <c r="FM457" s="267"/>
      <c r="FN457" s="267"/>
      <c r="FO457" s="267"/>
      <c r="FP457" s="267"/>
      <c r="FQ457" s="264"/>
      <c r="FR457" s="264"/>
      <c r="FS457" s="264"/>
      <c r="FT457" s="264"/>
      <c r="FU457" s="267"/>
      <c r="FV457" s="267"/>
      <c r="FW457" s="267"/>
      <c r="FX457" s="267"/>
      <c r="FY457" s="267"/>
      <c r="GD457" s="267"/>
      <c r="GE457" s="267"/>
      <c r="GF457" s="267"/>
      <c r="GG457" s="267"/>
      <c r="GH457" s="267"/>
      <c r="GI457" s="264"/>
      <c r="GJ457" s="264"/>
      <c r="GK457" s="264"/>
      <c r="GL457" s="264"/>
      <c r="HD457" s="267"/>
      <c r="HE457" s="267"/>
      <c r="HF457" s="267"/>
      <c r="HG457" s="267"/>
      <c r="HH457" s="267"/>
      <c r="HI457" s="267"/>
      <c r="HJ457" s="267"/>
      <c r="HK457" s="267"/>
      <c r="HL457" s="267"/>
      <c r="HM457" s="267"/>
      <c r="HN457" s="267"/>
      <c r="HO457" s="267"/>
      <c r="HP457" s="267"/>
      <c r="HQ457" s="267"/>
      <c r="HR457" s="267"/>
      <c r="HS457" s="267"/>
      <c r="HT457" s="267"/>
      <c r="HU457" s="267"/>
      <c r="IH457" s="267"/>
      <c r="IK457" s="267"/>
      <c r="IN457" s="267"/>
      <c r="IQ457" s="267"/>
      <c r="IR457" s="267"/>
      <c r="IS457" s="267"/>
      <c r="IV457" s="267"/>
      <c r="IY457" s="267"/>
    </row>
    <row r="458" spans="10:259">
      <c r="J458" s="267"/>
      <c r="K458" s="267"/>
      <c r="L458" s="267"/>
      <c r="M458" s="267"/>
      <c r="N458" s="267"/>
      <c r="O458" s="267"/>
      <c r="P458" s="267"/>
      <c r="Q458" s="267"/>
      <c r="S458" s="267"/>
      <c r="T458" s="267"/>
      <c r="U458" s="267"/>
      <c r="V458" s="267"/>
      <c r="W458" s="264"/>
      <c r="Y458" s="267"/>
      <c r="Z458" s="267"/>
      <c r="AA458" s="267"/>
      <c r="AB458" s="267"/>
      <c r="AE458" s="267"/>
      <c r="AF458" s="267"/>
      <c r="AG458" s="267"/>
      <c r="AH458" s="267"/>
      <c r="AK458" s="267"/>
      <c r="AL458" s="267"/>
      <c r="AM458" s="267"/>
      <c r="AN458" s="267"/>
      <c r="AQ458" s="267"/>
      <c r="AR458" s="267"/>
      <c r="AS458" s="267"/>
      <c r="AT458" s="267"/>
      <c r="AW458" s="267"/>
      <c r="AX458" s="267"/>
      <c r="AY458" s="267"/>
      <c r="AZ458" s="267"/>
      <c r="BG458" s="269"/>
      <c r="BM458" s="269"/>
      <c r="BS458" s="269"/>
      <c r="BU458" s="267"/>
      <c r="BY458" s="267"/>
      <c r="CC458" s="267"/>
      <c r="CG458" s="267"/>
      <c r="CS458" s="267"/>
      <c r="CW458" s="270"/>
      <c r="CX458" s="267"/>
      <c r="DC458" s="267"/>
      <c r="DH458" s="267"/>
      <c r="DM458" s="267"/>
      <c r="DR458" s="267"/>
      <c r="DW458" s="267"/>
      <c r="EB458" s="267"/>
      <c r="EG458" s="267"/>
      <c r="EL458" s="267"/>
      <c r="EQ458" s="267"/>
      <c r="EU458" s="270"/>
      <c r="EV458" s="267"/>
      <c r="FC458" s="267"/>
      <c r="FD458" s="267"/>
      <c r="FE458" s="267"/>
      <c r="FF458" s="267"/>
      <c r="FG458" s="267"/>
      <c r="FL458" s="267"/>
      <c r="FM458" s="267"/>
      <c r="FN458" s="267"/>
      <c r="FO458" s="267"/>
      <c r="FP458" s="267"/>
      <c r="FQ458" s="264"/>
      <c r="FR458" s="264"/>
      <c r="FS458" s="264"/>
      <c r="FT458" s="264"/>
      <c r="FU458" s="267"/>
      <c r="FV458" s="267"/>
      <c r="FW458" s="267"/>
      <c r="FX458" s="267"/>
      <c r="FY458" s="267"/>
      <c r="GD458" s="267"/>
      <c r="GE458" s="267"/>
      <c r="GF458" s="267"/>
      <c r="GG458" s="267"/>
      <c r="GH458" s="267"/>
      <c r="GI458" s="264"/>
      <c r="GJ458" s="264"/>
      <c r="GK458" s="264"/>
      <c r="GL458" s="264"/>
      <c r="HD458" s="267"/>
      <c r="HE458" s="267"/>
      <c r="HF458" s="267"/>
      <c r="HG458" s="267"/>
      <c r="HH458" s="267"/>
      <c r="HI458" s="267"/>
      <c r="HJ458" s="267"/>
      <c r="HK458" s="267"/>
      <c r="HL458" s="267"/>
      <c r="HM458" s="267"/>
      <c r="HN458" s="267"/>
      <c r="HO458" s="267"/>
      <c r="HP458" s="267"/>
      <c r="HQ458" s="267"/>
      <c r="HR458" s="267"/>
      <c r="HS458" s="267"/>
      <c r="HT458" s="267"/>
      <c r="HU458" s="267"/>
      <c r="IH458" s="267"/>
      <c r="IK458" s="267"/>
      <c r="IN458" s="267"/>
      <c r="IQ458" s="267"/>
      <c r="IR458" s="267"/>
      <c r="IS458" s="267"/>
      <c r="IV458" s="267"/>
      <c r="IY458" s="267"/>
    </row>
    <row r="459" spans="10:259">
      <c r="J459" s="267"/>
      <c r="K459" s="267"/>
      <c r="L459" s="267"/>
      <c r="M459" s="267"/>
      <c r="N459" s="267"/>
      <c r="O459" s="267"/>
      <c r="P459" s="267"/>
      <c r="Q459" s="267"/>
      <c r="S459" s="267"/>
      <c r="T459" s="267"/>
      <c r="U459" s="267"/>
      <c r="V459" s="267"/>
      <c r="W459" s="264"/>
      <c r="Y459" s="267"/>
      <c r="Z459" s="267"/>
      <c r="AA459" s="267"/>
      <c r="AB459" s="267"/>
      <c r="AE459" s="267"/>
      <c r="AF459" s="267"/>
      <c r="AG459" s="267"/>
      <c r="AH459" s="267"/>
      <c r="AK459" s="267"/>
      <c r="AL459" s="267"/>
      <c r="AM459" s="267"/>
      <c r="AN459" s="267"/>
      <c r="AQ459" s="267"/>
      <c r="AR459" s="267"/>
      <c r="AS459" s="267"/>
      <c r="AT459" s="267"/>
      <c r="AW459" s="267"/>
      <c r="AX459" s="267"/>
      <c r="AY459" s="267"/>
      <c r="AZ459" s="267"/>
      <c r="BG459" s="269"/>
      <c r="BM459" s="269"/>
      <c r="BS459" s="269"/>
      <c r="BU459" s="267"/>
      <c r="BY459" s="267"/>
      <c r="CC459" s="267"/>
      <c r="CG459" s="267"/>
      <c r="CS459" s="267"/>
      <c r="CW459" s="270"/>
      <c r="CX459" s="267"/>
      <c r="DC459" s="267"/>
      <c r="DH459" s="267"/>
      <c r="DM459" s="267"/>
      <c r="DR459" s="267"/>
      <c r="DW459" s="267"/>
      <c r="EB459" s="267"/>
      <c r="EG459" s="267"/>
      <c r="EL459" s="267"/>
      <c r="EQ459" s="267"/>
      <c r="EU459" s="270"/>
      <c r="EV459" s="267"/>
      <c r="FC459" s="267"/>
      <c r="FD459" s="267"/>
      <c r="FE459" s="267"/>
      <c r="FF459" s="267"/>
      <c r="FG459" s="267"/>
      <c r="FL459" s="267"/>
      <c r="FM459" s="267"/>
      <c r="FN459" s="267"/>
      <c r="FO459" s="267"/>
      <c r="FP459" s="267"/>
      <c r="FQ459" s="264"/>
      <c r="FR459" s="264"/>
      <c r="FS459" s="264"/>
      <c r="FT459" s="264"/>
      <c r="FU459" s="267"/>
      <c r="FV459" s="267"/>
      <c r="FW459" s="267"/>
      <c r="FX459" s="267"/>
      <c r="FY459" s="267"/>
      <c r="GD459" s="267"/>
      <c r="GE459" s="267"/>
      <c r="GF459" s="267"/>
      <c r="GG459" s="267"/>
      <c r="GH459" s="267"/>
      <c r="GI459" s="264"/>
      <c r="GJ459" s="264"/>
      <c r="GK459" s="264"/>
      <c r="GL459" s="264"/>
      <c r="HD459" s="267"/>
      <c r="HE459" s="267"/>
      <c r="HF459" s="267"/>
      <c r="HG459" s="267"/>
      <c r="HH459" s="267"/>
      <c r="HI459" s="267"/>
      <c r="HJ459" s="267"/>
      <c r="HK459" s="267"/>
      <c r="HL459" s="267"/>
      <c r="HM459" s="267"/>
      <c r="HN459" s="267"/>
      <c r="HO459" s="267"/>
      <c r="HP459" s="267"/>
      <c r="HQ459" s="267"/>
      <c r="HR459" s="267"/>
      <c r="HS459" s="267"/>
      <c r="HT459" s="267"/>
      <c r="HU459" s="267"/>
      <c r="IH459" s="267"/>
      <c r="IK459" s="267"/>
      <c r="IN459" s="267"/>
      <c r="IQ459" s="267"/>
      <c r="IR459" s="267"/>
      <c r="IS459" s="267"/>
      <c r="IV459" s="267"/>
      <c r="IY459" s="267"/>
    </row>
    <row r="460" spans="10:259">
      <c r="J460" s="267"/>
      <c r="K460" s="267"/>
      <c r="L460" s="267"/>
      <c r="M460" s="267"/>
      <c r="N460" s="267"/>
      <c r="O460" s="267"/>
      <c r="P460" s="267"/>
      <c r="Q460" s="267"/>
      <c r="S460" s="267"/>
      <c r="T460" s="267"/>
      <c r="U460" s="267"/>
      <c r="V460" s="267"/>
      <c r="W460" s="264"/>
      <c r="Y460" s="267"/>
      <c r="Z460" s="267"/>
      <c r="AA460" s="267"/>
      <c r="AB460" s="267"/>
      <c r="AE460" s="267"/>
      <c r="AF460" s="267"/>
      <c r="AG460" s="267"/>
      <c r="AH460" s="267"/>
      <c r="AK460" s="267"/>
      <c r="AL460" s="267"/>
      <c r="AM460" s="267"/>
      <c r="AN460" s="267"/>
      <c r="AQ460" s="267"/>
      <c r="AR460" s="267"/>
      <c r="AS460" s="267"/>
      <c r="AT460" s="267"/>
      <c r="AW460" s="267"/>
      <c r="AX460" s="267"/>
      <c r="AY460" s="267"/>
      <c r="AZ460" s="267"/>
      <c r="BG460" s="269"/>
      <c r="BM460" s="269"/>
      <c r="BS460" s="269"/>
      <c r="BU460" s="267"/>
      <c r="BY460" s="267"/>
      <c r="CC460" s="267"/>
      <c r="CG460" s="267"/>
      <c r="CS460" s="267"/>
      <c r="CW460" s="270"/>
      <c r="CX460" s="267"/>
      <c r="DC460" s="267"/>
      <c r="DH460" s="267"/>
      <c r="DM460" s="267"/>
      <c r="DR460" s="267"/>
      <c r="DW460" s="267"/>
      <c r="EB460" s="267"/>
      <c r="EG460" s="267"/>
      <c r="EL460" s="267"/>
      <c r="EQ460" s="267"/>
      <c r="EU460" s="270"/>
      <c r="EV460" s="267"/>
      <c r="FC460" s="267"/>
      <c r="FD460" s="267"/>
      <c r="FE460" s="267"/>
      <c r="FF460" s="267"/>
      <c r="FG460" s="267"/>
      <c r="FL460" s="267"/>
      <c r="FM460" s="267"/>
      <c r="FN460" s="267"/>
      <c r="FO460" s="267"/>
      <c r="FP460" s="267"/>
      <c r="FQ460" s="264"/>
      <c r="FR460" s="264"/>
      <c r="FS460" s="264"/>
      <c r="FT460" s="264"/>
      <c r="FU460" s="267"/>
      <c r="FV460" s="267"/>
      <c r="FW460" s="267"/>
      <c r="FX460" s="267"/>
      <c r="FY460" s="267"/>
      <c r="GD460" s="267"/>
      <c r="GE460" s="267"/>
      <c r="GF460" s="267"/>
      <c r="GG460" s="267"/>
      <c r="GH460" s="267"/>
      <c r="GI460" s="264"/>
      <c r="GJ460" s="264"/>
      <c r="GK460" s="264"/>
      <c r="GL460" s="264"/>
      <c r="HD460" s="267"/>
      <c r="HE460" s="267"/>
      <c r="HF460" s="267"/>
      <c r="HG460" s="267"/>
      <c r="HH460" s="267"/>
      <c r="HI460" s="267"/>
      <c r="HJ460" s="267"/>
      <c r="HK460" s="267"/>
      <c r="HL460" s="267"/>
      <c r="HM460" s="267"/>
      <c r="HN460" s="267"/>
      <c r="HO460" s="267"/>
      <c r="HP460" s="267"/>
      <c r="HQ460" s="267"/>
      <c r="HR460" s="267"/>
      <c r="HS460" s="267"/>
      <c r="HT460" s="267"/>
      <c r="HU460" s="267"/>
      <c r="IH460" s="267"/>
      <c r="IK460" s="267"/>
      <c r="IN460" s="267"/>
      <c r="IQ460" s="267"/>
      <c r="IR460" s="267"/>
      <c r="IS460" s="267"/>
      <c r="IV460" s="267"/>
      <c r="IY460" s="267"/>
    </row>
    <row r="461" spans="10:259">
      <c r="J461" s="267"/>
      <c r="K461" s="267"/>
      <c r="L461" s="267"/>
      <c r="M461" s="267"/>
      <c r="N461" s="267"/>
      <c r="O461" s="267"/>
      <c r="P461" s="267"/>
      <c r="Q461" s="267"/>
      <c r="S461" s="267"/>
      <c r="T461" s="267"/>
      <c r="U461" s="267"/>
      <c r="V461" s="267"/>
      <c r="W461" s="264"/>
      <c r="Y461" s="267"/>
      <c r="Z461" s="267"/>
      <c r="AA461" s="267"/>
      <c r="AB461" s="267"/>
      <c r="AE461" s="267"/>
      <c r="AF461" s="267"/>
      <c r="AG461" s="267"/>
      <c r="AH461" s="267"/>
      <c r="AK461" s="267"/>
      <c r="AL461" s="267"/>
      <c r="AM461" s="267"/>
      <c r="AN461" s="267"/>
      <c r="AQ461" s="267"/>
      <c r="AR461" s="267"/>
      <c r="AS461" s="267"/>
      <c r="AT461" s="267"/>
      <c r="AW461" s="267"/>
      <c r="AX461" s="267"/>
      <c r="AY461" s="267"/>
      <c r="AZ461" s="267"/>
      <c r="BG461" s="269"/>
      <c r="BM461" s="269"/>
      <c r="BS461" s="269"/>
      <c r="BU461" s="267"/>
      <c r="BY461" s="267"/>
      <c r="CC461" s="267"/>
      <c r="CG461" s="267"/>
      <c r="CS461" s="267"/>
      <c r="CW461" s="270"/>
      <c r="CX461" s="267"/>
      <c r="DC461" s="267"/>
      <c r="DH461" s="267"/>
      <c r="DM461" s="267"/>
      <c r="DR461" s="267"/>
      <c r="DW461" s="267"/>
      <c r="EB461" s="267"/>
      <c r="EG461" s="267"/>
      <c r="EL461" s="267"/>
      <c r="EQ461" s="267"/>
      <c r="EU461" s="270"/>
      <c r="EV461" s="267"/>
      <c r="FC461" s="267"/>
      <c r="FD461" s="267"/>
      <c r="FE461" s="267"/>
      <c r="FF461" s="267"/>
      <c r="FG461" s="267"/>
      <c r="FL461" s="267"/>
      <c r="FM461" s="267"/>
      <c r="FN461" s="267"/>
      <c r="FO461" s="267"/>
      <c r="FP461" s="267"/>
      <c r="FQ461" s="264"/>
      <c r="FR461" s="264"/>
      <c r="FS461" s="264"/>
      <c r="FT461" s="264"/>
      <c r="FU461" s="267"/>
      <c r="FV461" s="267"/>
      <c r="FW461" s="267"/>
      <c r="FX461" s="267"/>
      <c r="FY461" s="267"/>
      <c r="GD461" s="267"/>
      <c r="GE461" s="267"/>
      <c r="GF461" s="267"/>
      <c r="GG461" s="267"/>
      <c r="GH461" s="267"/>
      <c r="GI461" s="264"/>
      <c r="GJ461" s="264"/>
      <c r="GK461" s="264"/>
      <c r="GL461" s="264"/>
      <c r="HD461" s="267"/>
      <c r="HE461" s="267"/>
      <c r="HF461" s="267"/>
      <c r="HG461" s="267"/>
      <c r="HH461" s="267"/>
      <c r="HI461" s="267"/>
      <c r="HJ461" s="267"/>
      <c r="HK461" s="267"/>
      <c r="HL461" s="267"/>
      <c r="HM461" s="267"/>
      <c r="HN461" s="267"/>
      <c r="HO461" s="267"/>
      <c r="HP461" s="267"/>
      <c r="HQ461" s="267"/>
      <c r="HR461" s="267"/>
      <c r="HS461" s="267"/>
      <c r="HT461" s="267"/>
      <c r="HU461" s="267"/>
      <c r="IH461" s="267"/>
      <c r="IK461" s="267"/>
      <c r="IN461" s="267"/>
      <c r="IQ461" s="267"/>
      <c r="IR461" s="267"/>
      <c r="IS461" s="267"/>
      <c r="IV461" s="267"/>
      <c r="IY461" s="267"/>
    </row>
    <row r="462" spans="10:259">
      <c r="J462" s="267"/>
      <c r="K462" s="267"/>
      <c r="L462" s="267"/>
      <c r="M462" s="267"/>
      <c r="N462" s="267"/>
      <c r="O462" s="267"/>
      <c r="P462" s="267"/>
      <c r="Q462" s="267"/>
      <c r="S462" s="267"/>
      <c r="T462" s="267"/>
      <c r="U462" s="267"/>
      <c r="V462" s="267"/>
      <c r="W462" s="264"/>
      <c r="Y462" s="267"/>
      <c r="Z462" s="267"/>
      <c r="AA462" s="267"/>
      <c r="AB462" s="267"/>
      <c r="AE462" s="267"/>
      <c r="AF462" s="267"/>
      <c r="AG462" s="267"/>
      <c r="AH462" s="267"/>
      <c r="AK462" s="267"/>
      <c r="AL462" s="267"/>
      <c r="AM462" s="267"/>
      <c r="AN462" s="267"/>
      <c r="AQ462" s="267"/>
      <c r="AR462" s="267"/>
      <c r="AS462" s="267"/>
      <c r="AT462" s="267"/>
      <c r="AW462" s="267"/>
      <c r="AX462" s="267"/>
      <c r="AY462" s="267"/>
      <c r="AZ462" s="267"/>
      <c r="BG462" s="269"/>
      <c r="BM462" s="269"/>
      <c r="BS462" s="269"/>
      <c r="BU462" s="267"/>
      <c r="BY462" s="267"/>
      <c r="CC462" s="267"/>
      <c r="CG462" s="267"/>
      <c r="CS462" s="267"/>
      <c r="CW462" s="270"/>
      <c r="CX462" s="267"/>
      <c r="DC462" s="267"/>
      <c r="DH462" s="267"/>
      <c r="DM462" s="267"/>
      <c r="DR462" s="267"/>
      <c r="DW462" s="267"/>
      <c r="EB462" s="267"/>
      <c r="EG462" s="267"/>
      <c r="EL462" s="267"/>
      <c r="EQ462" s="267"/>
      <c r="EU462" s="270"/>
      <c r="EV462" s="267"/>
      <c r="FC462" s="267"/>
      <c r="FD462" s="267"/>
      <c r="FE462" s="267"/>
      <c r="FF462" s="267"/>
      <c r="FG462" s="267"/>
      <c r="FL462" s="267"/>
      <c r="FM462" s="267"/>
      <c r="FN462" s="267"/>
      <c r="FO462" s="267"/>
      <c r="FP462" s="267"/>
      <c r="FQ462" s="264"/>
      <c r="FR462" s="264"/>
      <c r="FS462" s="264"/>
      <c r="FT462" s="264"/>
      <c r="FU462" s="267"/>
      <c r="FV462" s="267"/>
      <c r="FW462" s="267"/>
      <c r="FX462" s="267"/>
      <c r="FY462" s="267"/>
      <c r="GD462" s="267"/>
      <c r="GE462" s="267"/>
      <c r="GF462" s="267"/>
      <c r="GG462" s="267"/>
      <c r="GH462" s="267"/>
      <c r="GI462" s="264"/>
      <c r="GJ462" s="264"/>
      <c r="GK462" s="264"/>
      <c r="GL462" s="264"/>
      <c r="HD462" s="267"/>
      <c r="HE462" s="267"/>
      <c r="HF462" s="267"/>
      <c r="HG462" s="267"/>
      <c r="HH462" s="267"/>
      <c r="HI462" s="267"/>
      <c r="HJ462" s="267"/>
      <c r="HK462" s="267"/>
      <c r="HL462" s="267"/>
      <c r="HM462" s="267"/>
      <c r="HN462" s="267"/>
      <c r="HO462" s="267"/>
      <c r="HP462" s="267"/>
      <c r="HQ462" s="267"/>
      <c r="HR462" s="267"/>
      <c r="HS462" s="267"/>
      <c r="HT462" s="267"/>
      <c r="HU462" s="267"/>
      <c r="IH462" s="267"/>
      <c r="IK462" s="267"/>
      <c r="IN462" s="267"/>
      <c r="IQ462" s="267"/>
      <c r="IR462" s="267"/>
      <c r="IS462" s="267"/>
      <c r="IV462" s="267"/>
      <c r="IY462" s="267"/>
    </row>
    <row r="463" spans="10:259">
      <c r="J463" s="267"/>
      <c r="K463" s="267"/>
      <c r="L463" s="267"/>
      <c r="M463" s="267"/>
      <c r="N463" s="267"/>
      <c r="O463" s="267"/>
      <c r="P463" s="267"/>
      <c r="Q463" s="267"/>
      <c r="S463" s="267"/>
      <c r="T463" s="267"/>
      <c r="U463" s="267"/>
      <c r="V463" s="267"/>
      <c r="W463" s="264"/>
      <c r="Y463" s="267"/>
      <c r="Z463" s="267"/>
      <c r="AA463" s="267"/>
      <c r="AB463" s="267"/>
      <c r="AE463" s="267"/>
      <c r="AF463" s="267"/>
      <c r="AG463" s="267"/>
      <c r="AH463" s="267"/>
      <c r="AK463" s="267"/>
      <c r="AL463" s="267"/>
      <c r="AM463" s="267"/>
      <c r="AN463" s="267"/>
      <c r="AQ463" s="267"/>
      <c r="AR463" s="267"/>
      <c r="AS463" s="267"/>
      <c r="AT463" s="267"/>
      <c r="AW463" s="267"/>
      <c r="AX463" s="267"/>
      <c r="AY463" s="267"/>
      <c r="AZ463" s="267"/>
      <c r="BG463" s="269"/>
      <c r="BM463" s="269"/>
      <c r="BS463" s="269"/>
      <c r="BU463" s="267"/>
      <c r="BY463" s="267"/>
      <c r="CC463" s="267"/>
      <c r="CG463" s="267"/>
      <c r="CS463" s="267"/>
      <c r="CW463" s="270"/>
      <c r="CX463" s="267"/>
      <c r="DC463" s="267"/>
      <c r="DH463" s="267"/>
      <c r="DM463" s="267"/>
      <c r="DR463" s="267"/>
      <c r="DW463" s="267"/>
      <c r="EB463" s="267"/>
      <c r="EG463" s="267"/>
      <c r="EL463" s="267"/>
      <c r="EQ463" s="267"/>
      <c r="EU463" s="270"/>
      <c r="EV463" s="267"/>
      <c r="FC463" s="267"/>
      <c r="FD463" s="267"/>
      <c r="FE463" s="267"/>
      <c r="FF463" s="267"/>
      <c r="FG463" s="267"/>
      <c r="FL463" s="267"/>
      <c r="FM463" s="267"/>
      <c r="FN463" s="267"/>
      <c r="FO463" s="267"/>
      <c r="FP463" s="267"/>
      <c r="FQ463" s="264"/>
      <c r="FR463" s="264"/>
      <c r="FS463" s="264"/>
      <c r="FT463" s="264"/>
      <c r="FU463" s="267"/>
      <c r="FV463" s="267"/>
      <c r="FW463" s="267"/>
      <c r="FX463" s="267"/>
      <c r="FY463" s="267"/>
      <c r="GD463" s="267"/>
      <c r="GE463" s="267"/>
      <c r="GF463" s="267"/>
      <c r="GG463" s="267"/>
      <c r="GH463" s="267"/>
      <c r="GI463" s="264"/>
      <c r="GJ463" s="264"/>
      <c r="GK463" s="264"/>
      <c r="GL463" s="264"/>
      <c r="HD463" s="267"/>
      <c r="HE463" s="267"/>
      <c r="HF463" s="267"/>
      <c r="HG463" s="267"/>
      <c r="HH463" s="267"/>
      <c r="HI463" s="267"/>
      <c r="HJ463" s="267"/>
      <c r="HK463" s="267"/>
      <c r="HL463" s="267"/>
      <c r="HM463" s="267"/>
      <c r="HN463" s="267"/>
      <c r="HO463" s="267"/>
      <c r="HP463" s="267"/>
      <c r="HQ463" s="267"/>
      <c r="HR463" s="267"/>
      <c r="HS463" s="267"/>
      <c r="HT463" s="267"/>
      <c r="HU463" s="267"/>
      <c r="IH463" s="267"/>
      <c r="IK463" s="267"/>
      <c r="IN463" s="267"/>
      <c r="IQ463" s="267"/>
      <c r="IR463" s="267"/>
      <c r="IS463" s="267"/>
      <c r="IV463" s="267"/>
      <c r="IY463" s="267"/>
    </row>
    <row r="464" spans="10:259">
      <c r="J464" s="267"/>
      <c r="K464" s="267"/>
      <c r="L464" s="267"/>
      <c r="M464" s="267"/>
      <c r="N464" s="267"/>
      <c r="O464" s="267"/>
      <c r="P464" s="267"/>
      <c r="Q464" s="267"/>
      <c r="S464" s="267"/>
      <c r="T464" s="267"/>
      <c r="U464" s="267"/>
      <c r="V464" s="267"/>
      <c r="W464" s="264"/>
      <c r="Y464" s="267"/>
      <c r="Z464" s="267"/>
      <c r="AA464" s="267"/>
      <c r="AB464" s="267"/>
      <c r="AE464" s="267"/>
      <c r="AF464" s="267"/>
      <c r="AG464" s="267"/>
      <c r="AH464" s="267"/>
      <c r="AK464" s="267"/>
      <c r="AL464" s="267"/>
      <c r="AM464" s="267"/>
      <c r="AN464" s="267"/>
      <c r="AQ464" s="267"/>
      <c r="AR464" s="267"/>
      <c r="AS464" s="267"/>
      <c r="AT464" s="267"/>
      <c r="AW464" s="267"/>
      <c r="AX464" s="267"/>
      <c r="AY464" s="267"/>
      <c r="AZ464" s="267"/>
      <c r="BG464" s="269"/>
      <c r="BM464" s="269"/>
      <c r="BS464" s="269"/>
      <c r="BU464" s="267"/>
      <c r="BY464" s="267"/>
      <c r="CC464" s="267"/>
      <c r="CG464" s="267"/>
      <c r="CS464" s="267"/>
      <c r="CW464" s="270"/>
      <c r="CX464" s="267"/>
      <c r="DC464" s="267"/>
      <c r="DH464" s="267"/>
      <c r="DM464" s="267"/>
      <c r="DR464" s="267"/>
      <c r="DW464" s="267"/>
      <c r="EB464" s="267"/>
      <c r="EG464" s="267"/>
      <c r="EL464" s="267"/>
      <c r="EQ464" s="267"/>
      <c r="EU464" s="270"/>
      <c r="EV464" s="267"/>
      <c r="FC464" s="267"/>
      <c r="FD464" s="267"/>
      <c r="FE464" s="267"/>
      <c r="FF464" s="267"/>
      <c r="FG464" s="267"/>
      <c r="FL464" s="267"/>
      <c r="FM464" s="267"/>
      <c r="FN464" s="267"/>
      <c r="FO464" s="267"/>
      <c r="FP464" s="267"/>
      <c r="FQ464" s="264"/>
      <c r="FR464" s="264"/>
      <c r="FS464" s="264"/>
      <c r="FT464" s="264"/>
      <c r="FU464" s="267"/>
      <c r="FV464" s="267"/>
      <c r="FW464" s="267"/>
      <c r="FX464" s="267"/>
      <c r="FY464" s="267"/>
      <c r="GD464" s="267"/>
      <c r="GE464" s="267"/>
      <c r="GF464" s="267"/>
      <c r="GG464" s="267"/>
      <c r="GH464" s="267"/>
      <c r="GI464" s="264"/>
      <c r="GJ464" s="264"/>
      <c r="GK464" s="264"/>
      <c r="GL464" s="264"/>
      <c r="HD464" s="267"/>
      <c r="HE464" s="267"/>
      <c r="HF464" s="267"/>
      <c r="HG464" s="267"/>
      <c r="HH464" s="267"/>
      <c r="HI464" s="267"/>
      <c r="HJ464" s="267"/>
      <c r="HK464" s="267"/>
      <c r="HL464" s="267"/>
      <c r="HM464" s="267"/>
      <c r="HN464" s="267"/>
      <c r="HO464" s="267"/>
      <c r="HP464" s="267"/>
      <c r="HQ464" s="267"/>
      <c r="HR464" s="267"/>
      <c r="HS464" s="267"/>
      <c r="HT464" s="267"/>
      <c r="HU464" s="267"/>
      <c r="IH464" s="267"/>
      <c r="IK464" s="267"/>
      <c r="IN464" s="267"/>
      <c r="IQ464" s="267"/>
      <c r="IR464" s="267"/>
      <c r="IS464" s="267"/>
      <c r="IV464" s="267"/>
      <c r="IY464" s="267"/>
    </row>
    <row r="465" spans="10:259">
      <c r="J465" s="267"/>
      <c r="K465" s="267"/>
      <c r="L465" s="267"/>
      <c r="M465" s="267"/>
      <c r="N465" s="267"/>
      <c r="O465" s="267"/>
      <c r="P465" s="267"/>
      <c r="Q465" s="267"/>
      <c r="S465" s="267"/>
      <c r="T465" s="267"/>
      <c r="U465" s="267"/>
      <c r="V465" s="267"/>
      <c r="W465" s="264"/>
      <c r="Y465" s="267"/>
      <c r="Z465" s="267"/>
      <c r="AA465" s="267"/>
      <c r="AB465" s="267"/>
      <c r="AE465" s="267"/>
      <c r="AF465" s="267"/>
      <c r="AG465" s="267"/>
      <c r="AH465" s="267"/>
      <c r="AK465" s="267"/>
      <c r="AL465" s="267"/>
      <c r="AM465" s="267"/>
      <c r="AN465" s="267"/>
      <c r="AQ465" s="267"/>
      <c r="AR465" s="267"/>
      <c r="AS465" s="267"/>
      <c r="AT465" s="267"/>
      <c r="AW465" s="267"/>
      <c r="AX465" s="267"/>
      <c r="AY465" s="267"/>
      <c r="AZ465" s="267"/>
      <c r="BG465" s="269"/>
      <c r="BM465" s="269"/>
      <c r="BS465" s="269"/>
      <c r="BU465" s="267"/>
      <c r="BY465" s="267"/>
      <c r="CC465" s="267"/>
      <c r="CG465" s="267"/>
      <c r="CS465" s="267"/>
      <c r="CW465" s="270"/>
      <c r="CX465" s="267"/>
      <c r="DC465" s="267"/>
      <c r="DH465" s="267"/>
      <c r="DM465" s="267"/>
      <c r="DR465" s="267"/>
      <c r="DW465" s="267"/>
      <c r="EB465" s="267"/>
      <c r="EG465" s="267"/>
      <c r="EL465" s="267"/>
      <c r="EQ465" s="267"/>
      <c r="EU465" s="270"/>
      <c r="EV465" s="267"/>
      <c r="FC465" s="267"/>
      <c r="FD465" s="267"/>
      <c r="FE465" s="267"/>
      <c r="FF465" s="267"/>
      <c r="FG465" s="267"/>
      <c r="FL465" s="267"/>
      <c r="FM465" s="267"/>
      <c r="FN465" s="267"/>
      <c r="FO465" s="267"/>
      <c r="FP465" s="267"/>
      <c r="FQ465" s="264"/>
      <c r="FR465" s="264"/>
      <c r="FS465" s="264"/>
      <c r="FT465" s="264"/>
      <c r="FU465" s="267"/>
      <c r="FV465" s="267"/>
      <c r="FW465" s="267"/>
      <c r="FX465" s="267"/>
      <c r="FY465" s="267"/>
      <c r="GD465" s="267"/>
      <c r="GE465" s="267"/>
      <c r="GF465" s="267"/>
      <c r="GG465" s="267"/>
      <c r="GH465" s="267"/>
      <c r="GI465" s="264"/>
      <c r="GJ465" s="264"/>
      <c r="GK465" s="264"/>
      <c r="GL465" s="264"/>
      <c r="HD465" s="267"/>
      <c r="HE465" s="267"/>
      <c r="HF465" s="267"/>
      <c r="HG465" s="267"/>
      <c r="HH465" s="267"/>
      <c r="HI465" s="267"/>
      <c r="HJ465" s="267"/>
      <c r="HK465" s="267"/>
      <c r="HL465" s="267"/>
      <c r="HM465" s="267"/>
      <c r="HN465" s="267"/>
      <c r="HO465" s="267"/>
      <c r="HP465" s="267"/>
      <c r="HQ465" s="267"/>
      <c r="HR465" s="267"/>
      <c r="HS465" s="267"/>
      <c r="HT465" s="267"/>
      <c r="HU465" s="267"/>
      <c r="IH465" s="267"/>
      <c r="IK465" s="267"/>
      <c r="IN465" s="267"/>
      <c r="IQ465" s="267"/>
      <c r="IR465" s="267"/>
      <c r="IS465" s="267"/>
      <c r="IV465" s="267"/>
      <c r="IY465" s="267"/>
    </row>
    <row r="466" spans="10:259">
      <c r="J466" s="267"/>
      <c r="K466" s="267"/>
      <c r="L466" s="267"/>
      <c r="M466" s="267"/>
      <c r="N466" s="267"/>
      <c r="O466" s="267"/>
      <c r="P466" s="267"/>
      <c r="Q466" s="267"/>
      <c r="S466" s="267"/>
      <c r="T466" s="267"/>
      <c r="U466" s="267"/>
      <c r="V466" s="267"/>
      <c r="W466" s="264"/>
      <c r="Y466" s="267"/>
      <c r="Z466" s="267"/>
      <c r="AA466" s="267"/>
      <c r="AB466" s="267"/>
      <c r="AE466" s="267"/>
      <c r="AF466" s="267"/>
      <c r="AG466" s="267"/>
      <c r="AH466" s="267"/>
      <c r="AK466" s="267"/>
      <c r="AL466" s="267"/>
      <c r="AM466" s="267"/>
      <c r="AN466" s="267"/>
      <c r="AQ466" s="267"/>
      <c r="AR466" s="267"/>
      <c r="AS466" s="267"/>
      <c r="AT466" s="267"/>
      <c r="AW466" s="267"/>
      <c r="AX466" s="267"/>
      <c r="AY466" s="267"/>
      <c r="AZ466" s="267"/>
      <c r="BG466" s="269"/>
      <c r="BM466" s="269"/>
      <c r="BS466" s="269"/>
      <c r="BU466" s="267"/>
      <c r="BY466" s="267"/>
      <c r="CC466" s="267"/>
      <c r="CG466" s="267"/>
      <c r="CS466" s="267"/>
      <c r="CW466" s="270"/>
      <c r="CX466" s="267"/>
      <c r="DC466" s="267"/>
      <c r="DH466" s="267"/>
      <c r="DM466" s="267"/>
      <c r="DR466" s="267"/>
      <c r="DW466" s="267"/>
      <c r="EB466" s="267"/>
      <c r="EG466" s="267"/>
      <c r="EL466" s="267"/>
      <c r="EQ466" s="267"/>
      <c r="EU466" s="270"/>
      <c r="EV466" s="267"/>
      <c r="FC466" s="267"/>
      <c r="FD466" s="267"/>
      <c r="FE466" s="267"/>
      <c r="FF466" s="267"/>
      <c r="FG466" s="267"/>
      <c r="FL466" s="267"/>
      <c r="FM466" s="267"/>
      <c r="FN466" s="267"/>
      <c r="FO466" s="267"/>
      <c r="FP466" s="267"/>
      <c r="FQ466" s="264"/>
      <c r="FR466" s="264"/>
      <c r="FS466" s="264"/>
      <c r="FT466" s="264"/>
      <c r="FU466" s="267"/>
      <c r="FV466" s="267"/>
      <c r="FW466" s="267"/>
      <c r="FX466" s="267"/>
      <c r="FY466" s="267"/>
      <c r="GD466" s="267"/>
      <c r="GE466" s="267"/>
      <c r="GF466" s="267"/>
      <c r="GG466" s="267"/>
      <c r="GH466" s="267"/>
      <c r="GI466" s="264"/>
      <c r="GJ466" s="264"/>
      <c r="GK466" s="264"/>
      <c r="GL466" s="264"/>
      <c r="HD466" s="267"/>
      <c r="HE466" s="267"/>
      <c r="HF466" s="267"/>
      <c r="HG466" s="267"/>
      <c r="HH466" s="267"/>
      <c r="HI466" s="267"/>
      <c r="HJ466" s="267"/>
      <c r="HK466" s="267"/>
      <c r="HL466" s="267"/>
      <c r="HM466" s="267"/>
      <c r="HN466" s="267"/>
      <c r="HO466" s="267"/>
      <c r="HP466" s="267"/>
      <c r="HQ466" s="267"/>
      <c r="HR466" s="267"/>
      <c r="HS466" s="267"/>
      <c r="HT466" s="267"/>
      <c r="HU466" s="267"/>
      <c r="IH466" s="267"/>
      <c r="IK466" s="267"/>
      <c r="IN466" s="267"/>
      <c r="IQ466" s="267"/>
      <c r="IR466" s="267"/>
      <c r="IS466" s="267"/>
      <c r="IV466" s="267"/>
      <c r="IY466" s="267"/>
    </row>
    <row r="467" spans="10:259">
      <c r="J467" s="267"/>
      <c r="K467" s="267"/>
      <c r="L467" s="267"/>
      <c r="M467" s="267"/>
      <c r="N467" s="267"/>
      <c r="O467" s="267"/>
      <c r="P467" s="267"/>
      <c r="Q467" s="267"/>
      <c r="S467" s="267"/>
      <c r="T467" s="267"/>
      <c r="U467" s="267"/>
      <c r="V467" s="267"/>
      <c r="W467" s="264"/>
      <c r="Y467" s="267"/>
      <c r="Z467" s="267"/>
      <c r="AA467" s="267"/>
      <c r="AB467" s="267"/>
      <c r="AE467" s="267"/>
      <c r="AF467" s="267"/>
      <c r="AG467" s="267"/>
      <c r="AH467" s="267"/>
      <c r="AK467" s="267"/>
      <c r="AL467" s="267"/>
      <c r="AM467" s="267"/>
      <c r="AN467" s="267"/>
      <c r="AQ467" s="267"/>
      <c r="AR467" s="267"/>
      <c r="AS467" s="267"/>
      <c r="AT467" s="267"/>
      <c r="AW467" s="267"/>
      <c r="AX467" s="267"/>
      <c r="AY467" s="267"/>
      <c r="AZ467" s="267"/>
      <c r="BG467" s="269"/>
      <c r="BM467" s="269"/>
      <c r="BS467" s="269"/>
      <c r="BU467" s="267"/>
      <c r="BY467" s="267"/>
      <c r="CC467" s="267"/>
      <c r="CG467" s="267"/>
      <c r="CS467" s="267"/>
      <c r="CW467" s="270"/>
      <c r="CX467" s="267"/>
      <c r="DC467" s="267"/>
      <c r="DH467" s="267"/>
      <c r="DM467" s="267"/>
      <c r="DR467" s="267"/>
      <c r="DW467" s="267"/>
      <c r="EB467" s="267"/>
      <c r="EG467" s="267"/>
      <c r="EL467" s="267"/>
      <c r="EQ467" s="267"/>
      <c r="EU467" s="270"/>
      <c r="EV467" s="267"/>
      <c r="FC467" s="267"/>
      <c r="FD467" s="267"/>
      <c r="FE467" s="267"/>
      <c r="FF467" s="267"/>
      <c r="FG467" s="267"/>
      <c r="FL467" s="267"/>
      <c r="FM467" s="267"/>
      <c r="FN467" s="267"/>
      <c r="FO467" s="267"/>
      <c r="FP467" s="267"/>
      <c r="FQ467" s="264"/>
      <c r="FR467" s="264"/>
      <c r="FS467" s="264"/>
      <c r="FT467" s="264"/>
      <c r="FU467" s="267"/>
      <c r="FV467" s="267"/>
      <c r="FW467" s="267"/>
      <c r="FX467" s="267"/>
      <c r="FY467" s="267"/>
      <c r="GD467" s="267"/>
      <c r="GE467" s="267"/>
      <c r="GF467" s="267"/>
      <c r="GG467" s="267"/>
      <c r="GH467" s="267"/>
      <c r="GI467" s="264"/>
      <c r="GJ467" s="264"/>
      <c r="GK467" s="264"/>
      <c r="GL467" s="264"/>
      <c r="HD467" s="267"/>
      <c r="HE467" s="267"/>
      <c r="HF467" s="267"/>
      <c r="HG467" s="267"/>
      <c r="HH467" s="267"/>
      <c r="HI467" s="267"/>
      <c r="HJ467" s="267"/>
      <c r="HK467" s="267"/>
      <c r="HL467" s="267"/>
      <c r="HM467" s="267"/>
      <c r="HN467" s="267"/>
      <c r="HO467" s="267"/>
      <c r="HP467" s="267"/>
      <c r="HQ467" s="267"/>
      <c r="HR467" s="267"/>
      <c r="HS467" s="267"/>
      <c r="HT467" s="267"/>
      <c r="HU467" s="267"/>
      <c r="IH467" s="267"/>
      <c r="IK467" s="267"/>
      <c r="IN467" s="267"/>
      <c r="IQ467" s="267"/>
      <c r="IR467" s="267"/>
      <c r="IS467" s="267"/>
      <c r="IV467" s="267"/>
      <c r="IY467" s="267"/>
    </row>
    <row r="468" spans="10:259">
      <c r="J468" s="267"/>
      <c r="K468" s="267"/>
      <c r="L468" s="267"/>
      <c r="M468" s="267"/>
      <c r="N468" s="267"/>
      <c r="O468" s="267"/>
      <c r="P468" s="267"/>
      <c r="Q468" s="267"/>
      <c r="S468" s="267"/>
      <c r="T468" s="267"/>
      <c r="U468" s="267"/>
      <c r="V468" s="267"/>
      <c r="W468" s="264"/>
      <c r="Y468" s="267"/>
      <c r="Z468" s="267"/>
      <c r="AA468" s="267"/>
      <c r="AB468" s="267"/>
      <c r="AE468" s="267"/>
      <c r="AF468" s="267"/>
      <c r="AG468" s="267"/>
      <c r="AH468" s="267"/>
      <c r="AK468" s="267"/>
      <c r="AL468" s="267"/>
      <c r="AM468" s="267"/>
      <c r="AN468" s="267"/>
      <c r="AQ468" s="267"/>
      <c r="AR468" s="267"/>
      <c r="AS468" s="267"/>
      <c r="AT468" s="267"/>
      <c r="AW468" s="267"/>
      <c r="AX468" s="267"/>
      <c r="AY468" s="267"/>
      <c r="AZ468" s="267"/>
      <c r="BG468" s="269"/>
      <c r="BM468" s="269"/>
      <c r="BS468" s="269"/>
      <c r="BU468" s="267"/>
      <c r="BY468" s="267"/>
      <c r="CC468" s="267"/>
      <c r="CG468" s="267"/>
      <c r="CS468" s="267"/>
      <c r="CW468" s="270"/>
      <c r="CX468" s="267"/>
      <c r="DC468" s="267"/>
      <c r="DH468" s="267"/>
      <c r="DM468" s="267"/>
      <c r="DR468" s="267"/>
      <c r="DW468" s="267"/>
      <c r="EB468" s="267"/>
      <c r="EG468" s="267"/>
      <c r="EL468" s="267"/>
      <c r="EQ468" s="267"/>
      <c r="EU468" s="270"/>
      <c r="EV468" s="267"/>
      <c r="FC468" s="267"/>
      <c r="FD468" s="267"/>
      <c r="FE468" s="267"/>
      <c r="FF468" s="267"/>
      <c r="FG468" s="267"/>
      <c r="FL468" s="267"/>
      <c r="FM468" s="267"/>
      <c r="FN468" s="267"/>
      <c r="FO468" s="267"/>
      <c r="FP468" s="267"/>
      <c r="FQ468" s="264"/>
      <c r="FR468" s="264"/>
      <c r="FS468" s="264"/>
      <c r="FT468" s="264"/>
      <c r="FU468" s="267"/>
      <c r="FV468" s="267"/>
      <c r="FW468" s="267"/>
      <c r="FX468" s="267"/>
      <c r="FY468" s="267"/>
      <c r="GD468" s="267"/>
      <c r="GE468" s="267"/>
      <c r="GF468" s="267"/>
      <c r="GG468" s="267"/>
      <c r="GH468" s="267"/>
      <c r="GI468" s="264"/>
      <c r="GJ468" s="264"/>
      <c r="GK468" s="264"/>
      <c r="GL468" s="264"/>
      <c r="HD468" s="267"/>
      <c r="HE468" s="267"/>
      <c r="HF468" s="267"/>
      <c r="HG468" s="267"/>
      <c r="HH468" s="267"/>
      <c r="HI468" s="267"/>
      <c r="HJ468" s="267"/>
      <c r="HK468" s="267"/>
      <c r="HL468" s="267"/>
      <c r="HM468" s="267"/>
      <c r="HN468" s="267"/>
      <c r="HO468" s="267"/>
      <c r="HP468" s="267"/>
      <c r="HQ468" s="267"/>
      <c r="HR468" s="267"/>
      <c r="HS468" s="267"/>
      <c r="HT468" s="267"/>
      <c r="HU468" s="267"/>
      <c r="IH468" s="267"/>
      <c r="IK468" s="267"/>
      <c r="IN468" s="267"/>
      <c r="IQ468" s="267"/>
      <c r="IR468" s="267"/>
      <c r="IS468" s="267"/>
      <c r="IV468" s="267"/>
      <c r="IY468" s="267"/>
    </row>
    <row r="469" spans="10:259">
      <c r="J469" s="267"/>
      <c r="K469" s="267"/>
      <c r="L469" s="267"/>
      <c r="M469" s="267"/>
      <c r="N469" s="267"/>
      <c r="O469" s="267"/>
      <c r="P469" s="267"/>
      <c r="Q469" s="267"/>
      <c r="S469" s="267"/>
      <c r="T469" s="267"/>
      <c r="U469" s="267"/>
      <c r="V469" s="267"/>
      <c r="W469" s="264"/>
      <c r="Y469" s="267"/>
      <c r="Z469" s="267"/>
      <c r="AA469" s="267"/>
      <c r="AB469" s="267"/>
      <c r="AE469" s="267"/>
      <c r="AF469" s="267"/>
      <c r="AG469" s="267"/>
      <c r="AH469" s="267"/>
      <c r="AK469" s="267"/>
      <c r="AL469" s="267"/>
      <c r="AM469" s="267"/>
      <c r="AN469" s="267"/>
      <c r="AQ469" s="267"/>
      <c r="AR469" s="267"/>
      <c r="AS469" s="267"/>
      <c r="AT469" s="267"/>
      <c r="AW469" s="267"/>
      <c r="AX469" s="267"/>
      <c r="AY469" s="267"/>
      <c r="AZ469" s="267"/>
      <c r="BG469" s="269"/>
      <c r="BM469" s="269"/>
      <c r="BS469" s="269"/>
      <c r="BU469" s="267"/>
      <c r="BY469" s="267"/>
      <c r="CC469" s="267"/>
      <c r="CG469" s="267"/>
      <c r="CS469" s="267"/>
      <c r="CW469" s="270"/>
      <c r="CX469" s="267"/>
      <c r="DC469" s="267"/>
      <c r="DH469" s="267"/>
      <c r="DM469" s="267"/>
      <c r="DR469" s="267"/>
      <c r="DW469" s="267"/>
      <c r="EB469" s="267"/>
      <c r="EG469" s="267"/>
      <c r="EL469" s="267"/>
      <c r="EQ469" s="267"/>
      <c r="EU469" s="270"/>
      <c r="EV469" s="267"/>
      <c r="FC469" s="267"/>
      <c r="FD469" s="267"/>
      <c r="FE469" s="267"/>
      <c r="FF469" s="267"/>
      <c r="FG469" s="267"/>
      <c r="FL469" s="267"/>
      <c r="FM469" s="267"/>
      <c r="FN469" s="267"/>
      <c r="FO469" s="267"/>
      <c r="FP469" s="267"/>
      <c r="FQ469" s="264"/>
      <c r="FR469" s="264"/>
      <c r="FS469" s="264"/>
      <c r="FT469" s="264"/>
      <c r="FU469" s="267"/>
      <c r="FV469" s="267"/>
      <c r="FW469" s="267"/>
      <c r="FX469" s="267"/>
      <c r="FY469" s="267"/>
      <c r="GD469" s="267"/>
      <c r="GE469" s="267"/>
      <c r="GF469" s="267"/>
      <c r="GG469" s="267"/>
      <c r="GH469" s="267"/>
      <c r="GI469" s="264"/>
      <c r="GJ469" s="264"/>
      <c r="GK469" s="264"/>
      <c r="GL469" s="264"/>
      <c r="HD469" s="267"/>
      <c r="HE469" s="267"/>
      <c r="HF469" s="267"/>
      <c r="HG469" s="267"/>
      <c r="HH469" s="267"/>
      <c r="HI469" s="267"/>
      <c r="HJ469" s="267"/>
      <c r="HK469" s="267"/>
      <c r="HL469" s="267"/>
      <c r="HM469" s="267"/>
      <c r="HN469" s="267"/>
      <c r="HO469" s="267"/>
      <c r="HP469" s="267"/>
      <c r="HQ469" s="267"/>
      <c r="HR469" s="267"/>
      <c r="HS469" s="267"/>
      <c r="HT469" s="267"/>
      <c r="HU469" s="267"/>
      <c r="IH469" s="267"/>
      <c r="IK469" s="267"/>
      <c r="IN469" s="267"/>
      <c r="IQ469" s="267"/>
      <c r="IR469" s="267"/>
      <c r="IS469" s="267"/>
      <c r="IV469" s="267"/>
      <c r="IY469" s="267"/>
    </row>
    <row r="470" spans="10:259">
      <c r="J470" s="267"/>
      <c r="K470" s="267"/>
      <c r="L470" s="267"/>
      <c r="M470" s="267"/>
      <c r="N470" s="267"/>
      <c r="O470" s="267"/>
      <c r="P470" s="267"/>
      <c r="Q470" s="267"/>
      <c r="S470" s="267"/>
      <c r="T470" s="267"/>
      <c r="U470" s="267"/>
      <c r="V470" s="267"/>
      <c r="W470" s="264"/>
      <c r="Y470" s="267"/>
      <c r="Z470" s="267"/>
      <c r="AA470" s="267"/>
      <c r="AB470" s="267"/>
      <c r="AE470" s="267"/>
      <c r="AF470" s="267"/>
      <c r="AG470" s="267"/>
      <c r="AH470" s="267"/>
      <c r="AK470" s="267"/>
      <c r="AL470" s="267"/>
      <c r="AM470" s="267"/>
      <c r="AN470" s="267"/>
      <c r="AQ470" s="267"/>
      <c r="AR470" s="267"/>
      <c r="AS470" s="267"/>
      <c r="AT470" s="267"/>
      <c r="AW470" s="267"/>
      <c r="AX470" s="267"/>
      <c r="AY470" s="267"/>
      <c r="AZ470" s="267"/>
      <c r="BG470" s="269"/>
      <c r="BM470" s="269"/>
      <c r="BS470" s="269"/>
      <c r="BU470" s="267"/>
      <c r="BY470" s="267"/>
      <c r="CC470" s="267"/>
      <c r="CG470" s="267"/>
      <c r="CS470" s="267"/>
      <c r="CW470" s="270"/>
      <c r="CX470" s="267"/>
      <c r="DC470" s="267"/>
      <c r="DH470" s="267"/>
      <c r="DM470" s="267"/>
      <c r="DR470" s="267"/>
      <c r="DW470" s="267"/>
      <c r="EB470" s="267"/>
      <c r="EG470" s="267"/>
      <c r="EL470" s="267"/>
      <c r="EQ470" s="267"/>
      <c r="EU470" s="270"/>
      <c r="EV470" s="267"/>
      <c r="FC470" s="267"/>
      <c r="FD470" s="267"/>
      <c r="FE470" s="267"/>
      <c r="FF470" s="267"/>
      <c r="FG470" s="267"/>
      <c r="FL470" s="267"/>
      <c r="FM470" s="267"/>
      <c r="FN470" s="267"/>
      <c r="FO470" s="267"/>
      <c r="FP470" s="267"/>
      <c r="FQ470" s="264"/>
      <c r="FR470" s="264"/>
      <c r="FS470" s="264"/>
      <c r="FT470" s="264"/>
      <c r="FU470" s="267"/>
      <c r="FV470" s="267"/>
      <c r="FW470" s="267"/>
      <c r="FX470" s="267"/>
      <c r="FY470" s="267"/>
      <c r="GD470" s="267"/>
      <c r="GE470" s="267"/>
      <c r="GF470" s="267"/>
      <c r="GG470" s="267"/>
      <c r="GH470" s="267"/>
      <c r="GI470" s="264"/>
      <c r="GJ470" s="264"/>
      <c r="GK470" s="264"/>
      <c r="GL470" s="264"/>
      <c r="HD470" s="267"/>
      <c r="HE470" s="267"/>
      <c r="HF470" s="267"/>
      <c r="HG470" s="267"/>
      <c r="HH470" s="267"/>
      <c r="HI470" s="267"/>
      <c r="HJ470" s="267"/>
      <c r="HK470" s="267"/>
      <c r="HL470" s="267"/>
      <c r="HM470" s="267"/>
      <c r="HN470" s="267"/>
      <c r="HO470" s="267"/>
      <c r="HP470" s="267"/>
      <c r="HQ470" s="267"/>
      <c r="HR470" s="267"/>
      <c r="HS470" s="267"/>
      <c r="HT470" s="267"/>
      <c r="HU470" s="267"/>
      <c r="IH470" s="267"/>
      <c r="IK470" s="267"/>
      <c r="IN470" s="267"/>
      <c r="IQ470" s="267"/>
      <c r="IR470" s="267"/>
      <c r="IS470" s="267"/>
      <c r="IV470" s="267"/>
      <c r="IY470" s="267"/>
    </row>
    <row r="471" spans="10:259">
      <c r="J471" s="267"/>
      <c r="K471" s="267"/>
      <c r="L471" s="267"/>
      <c r="M471" s="267"/>
      <c r="N471" s="267"/>
      <c r="O471" s="267"/>
      <c r="P471" s="267"/>
      <c r="Q471" s="267"/>
      <c r="S471" s="267"/>
      <c r="T471" s="267"/>
      <c r="U471" s="267"/>
      <c r="V471" s="267"/>
      <c r="W471" s="264"/>
      <c r="Y471" s="267"/>
      <c r="Z471" s="267"/>
      <c r="AA471" s="267"/>
      <c r="AB471" s="267"/>
      <c r="AE471" s="267"/>
      <c r="AF471" s="267"/>
      <c r="AG471" s="267"/>
      <c r="AH471" s="267"/>
      <c r="AK471" s="267"/>
      <c r="AL471" s="267"/>
      <c r="AM471" s="267"/>
      <c r="AN471" s="267"/>
      <c r="AQ471" s="267"/>
      <c r="AR471" s="267"/>
      <c r="AS471" s="267"/>
      <c r="AT471" s="267"/>
      <c r="AW471" s="267"/>
      <c r="AX471" s="267"/>
      <c r="AY471" s="267"/>
      <c r="AZ471" s="267"/>
      <c r="BG471" s="269"/>
      <c r="BM471" s="269"/>
      <c r="BS471" s="269"/>
      <c r="BU471" s="267"/>
      <c r="BY471" s="267"/>
      <c r="CC471" s="267"/>
      <c r="CG471" s="267"/>
      <c r="CS471" s="267"/>
      <c r="CW471" s="270"/>
      <c r="CX471" s="267"/>
      <c r="DC471" s="267"/>
      <c r="DH471" s="267"/>
      <c r="DM471" s="267"/>
      <c r="DR471" s="267"/>
      <c r="DW471" s="267"/>
      <c r="EB471" s="267"/>
      <c r="EG471" s="267"/>
      <c r="EL471" s="267"/>
      <c r="EQ471" s="267"/>
      <c r="EU471" s="270"/>
      <c r="EV471" s="267"/>
      <c r="FC471" s="267"/>
      <c r="FD471" s="267"/>
      <c r="FE471" s="267"/>
      <c r="FF471" s="267"/>
      <c r="FG471" s="267"/>
      <c r="FL471" s="267"/>
      <c r="FM471" s="267"/>
      <c r="FN471" s="267"/>
      <c r="FO471" s="267"/>
      <c r="FP471" s="267"/>
      <c r="FQ471" s="264"/>
      <c r="FR471" s="264"/>
      <c r="FS471" s="264"/>
      <c r="FT471" s="264"/>
      <c r="FU471" s="267"/>
      <c r="FV471" s="267"/>
      <c r="FW471" s="267"/>
      <c r="FX471" s="267"/>
      <c r="FY471" s="267"/>
      <c r="GD471" s="267"/>
      <c r="GE471" s="267"/>
      <c r="GF471" s="267"/>
      <c r="GG471" s="267"/>
      <c r="GH471" s="267"/>
      <c r="GI471" s="264"/>
      <c r="GJ471" s="264"/>
      <c r="GK471" s="264"/>
      <c r="GL471" s="264"/>
      <c r="HD471" s="267"/>
      <c r="HE471" s="267"/>
      <c r="HF471" s="267"/>
      <c r="HG471" s="267"/>
      <c r="HH471" s="267"/>
      <c r="HI471" s="267"/>
      <c r="HJ471" s="267"/>
      <c r="HK471" s="267"/>
      <c r="HL471" s="267"/>
      <c r="HM471" s="267"/>
      <c r="HN471" s="267"/>
      <c r="HO471" s="267"/>
      <c r="HP471" s="267"/>
      <c r="HQ471" s="267"/>
      <c r="HR471" s="267"/>
      <c r="HS471" s="267"/>
      <c r="HT471" s="267"/>
      <c r="HU471" s="267"/>
      <c r="IH471" s="267"/>
      <c r="IK471" s="267"/>
      <c r="IN471" s="267"/>
      <c r="IQ471" s="267"/>
      <c r="IR471" s="267"/>
      <c r="IS471" s="267"/>
      <c r="IV471" s="267"/>
      <c r="IY471" s="267"/>
    </row>
    <row r="472" spans="10:259">
      <c r="J472" s="267"/>
      <c r="K472" s="267"/>
      <c r="L472" s="267"/>
      <c r="M472" s="267"/>
      <c r="N472" s="267"/>
      <c r="O472" s="267"/>
      <c r="P472" s="267"/>
      <c r="Q472" s="267"/>
      <c r="S472" s="267"/>
      <c r="T472" s="267"/>
      <c r="U472" s="267"/>
      <c r="V472" s="267"/>
      <c r="W472" s="264"/>
      <c r="Y472" s="267"/>
      <c r="Z472" s="267"/>
      <c r="AA472" s="267"/>
      <c r="AB472" s="267"/>
      <c r="AE472" s="267"/>
      <c r="AF472" s="267"/>
      <c r="AG472" s="267"/>
      <c r="AH472" s="267"/>
      <c r="AK472" s="267"/>
      <c r="AL472" s="267"/>
      <c r="AM472" s="267"/>
      <c r="AN472" s="267"/>
      <c r="AQ472" s="267"/>
      <c r="AR472" s="267"/>
      <c r="AS472" s="267"/>
      <c r="AT472" s="267"/>
      <c r="AW472" s="267"/>
      <c r="AX472" s="267"/>
      <c r="AY472" s="267"/>
      <c r="AZ472" s="267"/>
      <c r="BG472" s="269"/>
      <c r="BM472" s="269"/>
      <c r="BS472" s="269"/>
      <c r="BU472" s="267"/>
      <c r="BY472" s="267"/>
      <c r="CC472" s="267"/>
      <c r="CG472" s="267"/>
      <c r="CS472" s="267"/>
      <c r="CW472" s="270"/>
      <c r="CX472" s="267"/>
      <c r="DC472" s="267"/>
      <c r="DH472" s="267"/>
      <c r="DM472" s="267"/>
      <c r="DR472" s="267"/>
      <c r="DW472" s="267"/>
      <c r="EB472" s="267"/>
      <c r="EG472" s="267"/>
      <c r="EL472" s="267"/>
      <c r="EQ472" s="267"/>
      <c r="EU472" s="270"/>
      <c r="EV472" s="267"/>
      <c r="FC472" s="267"/>
      <c r="FD472" s="267"/>
      <c r="FE472" s="267"/>
      <c r="FF472" s="267"/>
      <c r="FG472" s="267"/>
      <c r="FL472" s="267"/>
      <c r="FM472" s="267"/>
      <c r="FN472" s="267"/>
      <c r="FO472" s="267"/>
      <c r="FP472" s="267"/>
      <c r="FQ472" s="264"/>
      <c r="FR472" s="264"/>
      <c r="FS472" s="264"/>
      <c r="FT472" s="264"/>
      <c r="FU472" s="267"/>
      <c r="FV472" s="267"/>
      <c r="FW472" s="267"/>
      <c r="FX472" s="267"/>
      <c r="FY472" s="267"/>
      <c r="GD472" s="267"/>
      <c r="GE472" s="267"/>
      <c r="GF472" s="267"/>
      <c r="GG472" s="267"/>
      <c r="GH472" s="267"/>
      <c r="GI472" s="264"/>
      <c r="GJ472" s="264"/>
      <c r="GK472" s="264"/>
      <c r="GL472" s="264"/>
      <c r="HD472" s="267"/>
      <c r="HE472" s="267"/>
      <c r="HF472" s="267"/>
      <c r="HG472" s="267"/>
      <c r="HH472" s="267"/>
      <c r="HI472" s="267"/>
      <c r="HJ472" s="267"/>
      <c r="HK472" s="267"/>
      <c r="HL472" s="267"/>
      <c r="HM472" s="267"/>
      <c r="HN472" s="267"/>
      <c r="HO472" s="267"/>
      <c r="HP472" s="267"/>
      <c r="HQ472" s="267"/>
      <c r="HR472" s="267"/>
      <c r="HS472" s="267"/>
      <c r="HT472" s="267"/>
      <c r="HU472" s="267"/>
      <c r="IH472" s="267"/>
      <c r="IK472" s="267"/>
      <c r="IN472" s="267"/>
      <c r="IQ472" s="267"/>
      <c r="IR472" s="267"/>
      <c r="IS472" s="267"/>
      <c r="IV472" s="267"/>
      <c r="IY472" s="267"/>
    </row>
    <row r="473" spans="10:259">
      <c r="J473" s="267"/>
      <c r="K473" s="267"/>
      <c r="L473" s="267"/>
      <c r="M473" s="267"/>
      <c r="N473" s="267"/>
      <c r="O473" s="267"/>
      <c r="P473" s="267"/>
      <c r="Q473" s="267"/>
      <c r="S473" s="267"/>
      <c r="T473" s="267"/>
      <c r="U473" s="267"/>
      <c r="V473" s="267"/>
      <c r="W473" s="264"/>
      <c r="Y473" s="267"/>
      <c r="Z473" s="267"/>
      <c r="AA473" s="267"/>
      <c r="AB473" s="267"/>
      <c r="AE473" s="267"/>
      <c r="AF473" s="267"/>
      <c r="AG473" s="267"/>
      <c r="AH473" s="267"/>
      <c r="AK473" s="267"/>
      <c r="AL473" s="267"/>
      <c r="AM473" s="267"/>
      <c r="AN473" s="267"/>
      <c r="AQ473" s="267"/>
      <c r="AR473" s="267"/>
      <c r="AS473" s="267"/>
      <c r="AT473" s="267"/>
      <c r="AW473" s="267"/>
      <c r="AX473" s="267"/>
      <c r="AY473" s="267"/>
      <c r="AZ473" s="267"/>
      <c r="BG473" s="269"/>
      <c r="BM473" s="269"/>
      <c r="BS473" s="269"/>
      <c r="BU473" s="267"/>
      <c r="BY473" s="267"/>
      <c r="CC473" s="267"/>
      <c r="CG473" s="267"/>
      <c r="CS473" s="267"/>
      <c r="CW473" s="270"/>
      <c r="CX473" s="267"/>
      <c r="DC473" s="267"/>
      <c r="DH473" s="267"/>
      <c r="DM473" s="267"/>
      <c r="DR473" s="267"/>
      <c r="DW473" s="267"/>
      <c r="EB473" s="267"/>
      <c r="EG473" s="267"/>
      <c r="EL473" s="267"/>
      <c r="EQ473" s="267"/>
      <c r="EU473" s="270"/>
      <c r="EV473" s="267"/>
      <c r="FC473" s="267"/>
      <c r="FD473" s="267"/>
      <c r="FE473" s="267"/>
      <c r="FF473" s="267"/>
      <c r="FG473" s="267"/>
      <c r="FL473" s="267"/>
      <c r="FM473" s="267"/>
      <c r="FN473" s="267"/>
      <c r="FO473" s="267"/>
      <c r="FP473" s="267"/>
      <c r="FQ473" s="264"/>
      <c r="FR473" s="264"/>
      <c r="FS473" s="264"/>
      <c r="FT473" s="264"/>
      <c r="FU473" s="267"/>
      <c r="FV473" s="267"/>
      <c r="FW473" s="267"/>
      <c r="FX473" s="267"/>
      <c r="FY473" s="267"/>
      <c r="GD473" s="267"/>
      <c r="GE473" s="267"/>
      <c r="GF473" s="267"/>
      <c r="GG473" s="267"/>
      <c r="GH473" s="267"/>
      <c r="GI473" s="264"/>
      <c r="GJ473" s="264"/>
      <c r="GK473" s="264"/>
      <c r="GL473" s="264"/>
      <c r="HD473" s="267"/>
      <c r="HE473" s="267"/>
      <c r="HF473" s="267"/>
      <c r="HG473" s="267"/>
      <c r="HH473" s="267"/>
      <c r="HI473" s="267"/>
      <c r="HJ473" s="267"/>
      <c r="HK473" s="267"/>
      <c r="HL473" s="267"/>
      <c r="HM473" s="267"/>
      <c r="HN473" s="267"/>
      <c r="HO473" s="267"/>
      <c r="HP473" s="267"/>
      <c r="HQ473" s="267"/>
      <c r="HR473" s="267"/>
      <c r="HS473" s="267"/>
      <c r="HT473" s="267"/>
      <c r="HU473" s="267"/>
      <c r="IH473" s="267"/>
      <c r="IK473" s="267"/>
      <c r="IN473" s="267"/>
      <c r="IQ473" s="267"/>
      <c r="IR473" s="267"/>
      <c r="IS473" s="267"/>
      <c r="IV473" s="267"/>
      <c r="IY473" s="267"/>
    </row>
    <row r="474" spans="10:259">
      <c r="J474" s="267"/>
      <c r="K474" s="267"/>
      <c r="L474" s="267"/>
      <c r="M474" s="267"/>
      <c r="N474" s="267"/>
      <c r="O474" s="267"/>
      <c r="P474" s="267"/>
      <c r="Q474" s="267"/>
      <c r="S474" s="267"/>
      <c r="T474" s="267"/>
      <c r="U474" s="267"/>
      <c r="V474" s="267"/>
      <c r="W474" s="264"/>
      <c r="Y474" s="267"/>
      <c r="Z474" s="267"/>
      <c r="AA474" s="267"/>
      <c r="AB474" s="267"/>
      <c r="AE474" s="267"/>
      <c r="AF474" s="267"/>
      <c r="AG474" s="267"/>
      <c r="AH474" s="267"/>
      <c r="AK474" s="267"/>
      <c r="AL474" s="267"/>
      <c r="AM474" s="267"/>
      <c r="AN474" s="267"/>
      <c r="AQ474" s="267"/>
      <c r="AR474" s="267"/>
      <c r="AS474" s="267"/>
      <c r="AT474" s="267"/>
      <c r="AW474" s="267"/>
      <c r="AX474" s="267"/>
      <c r="AY474" s="267"/>
      <c r="AZ474" s="267"/>
      <c r="BG474" s="269"/>
      <c r="BM474" s="269"/>
      <c r="BS474" s="269"/>
      <c r="BU474" s="267"/>
      <c r="BY474" s="267"/>
      <c r="CC474" s="267"/>
      <c r="CG474" s="267"/>
      <c r="CS474" s="267"/>
      <c r="CW474" s="270"/>
      <c r="CX474" s="267"/>
      <c r="DC474" s="267"/>
      <c r="DH474" s="267"/>
      <c r="DM474" s="267"/>
      <c r="DR474" s="267"/>
      <c r="DW474" s="267"/>
      <c r="EB474" s="267"/>
      <c r="EG474" s="267"/>
      <c r="EL474" s="267"/>
      <c r="EQ474" s="267"/>
      <c r="EU474" s="270"/>
      <c r="EV474" s="267"/>
      <c r="FC474" s="267"/>
      <c r="FD474" s="267"/>
      <c r="FE474" s="267"/>
      <c r="FF474" s="267"/>
      <c r="FG474" s="267"/>
      <c r="FL474" s="267"/>
      <c r="FM474" s="267"/>
      <c r="FN474" s="267"/>
      <c r="FO474" s="267"/>
      <c r="FP474" s="267"/>
      <c r="FQ474" s="264"/>
      <c r="FR474" s="264"/>
      <c r="FS474" s="264"/>
      <c r="FT474" s="264"/>
      <c r="FU474" s="267"/>
      <c r="FV474" s="267"/>
      <c r="FW474" s="267"/>
      <c r="FX474" s="267"/>
      <c r="FY474" s="267"/>
      <c r="GD474" s="267"/>
      <c r="GE474" s="267"/>
      <c r="GF474" s="267"/>
      <c r="GG474" s="267"/>
      <c r="GH474" s="267"/>
      <c r="GI474" s="264"/>
      <c r="GJ474" s="264"/>
      <c r="GK474" s="264"/>
      <c r="GL474" s="264"/>
      <c r="HD474" s="267"/>
      <c r="HE474" s="267"/>
      <c r="HF474" s="267"/>
      <c r="HG474" s="267"/>
      <c r="HH474" s="267"/>
      <c r="HI474" s="267"/>
      <c r="HJ474" s="267"/>
      <c r="HK474" s="267"/>
      <c r="HL474" s="267"/>
      <c r="HM474" s="267"/>
      <c r="HN474" s="267"/>
      <c r="HO474" s="267"/>
      <c r="HP474" s="267"/>
      <c r="HQ474" s="267"/>
      <c r="HR474" s="267"/>
      <c r="HS474" s="267"/>
      <c r="HT474" s="267"/>
      <c r="HU474" s="267"/>
      <c r="IH474" s="267"/>
      <c r="IK474" s="267"/>
      <c r="IN474" s="267"/>
      <c r="IQ474" s="267"/>
      <c r="IR474" s="267"/>
      <c r="IS474" s="267"/>
      <c r="IV474" s="267"/>
      <c r="IY474" s="267"/>
    </row>
    <row r="475" spans="10:259">
      <c r="J475" s="267"/>
      <c r="K475" s="267"/>
      <c r="L475" s="267"/>
      <c r="M475" s="267"/>
      <c r="N475" s="267"/>
      <c r="O475" s="267"/>
      <c r="P475" s="267"/>
      <c r="Q475" s="267"/>
      <c r="S475" s="267"/>
      <c r="T475" s="267"/>
      <c r="U475" s="267"/>
      <c r="V475" s="267"/>
      <c r="W475" s="264"/>
      <c r="Y475" s="267"/>
      <c r="Z475" s="267"/>
      <c r="AA475" s="267"/>
      <c r="AB475" s="267"/>
      <c r="AE475" s="267"/>
      <c r="AF475" s="267"/>
      <c r="AG475" s="267"/>
      <c r="AH475" s="267"/>
      <c r="AK475" s="267"/>
      <c r="AL475" s="267"/>
      <c r="AM475" s="267"/>
      <c r="AN475" s="267"/>
      <c r="AQ475" s="267"/>
      <c r="AR475" s="267"/>
      <c r="AS475" s="267"/>
      <c r="AT475" s="267"/>
      <c r="AW475" s="267"/>
      <c r="AX475" s="267"/>
      <c r="AY475" s="267"/>
      <c r="AZ475" s="267"/>
      <c r="BG475" s="269"/>
      <c r="BM475" s="269"/>
      <c r="BS475" s="269"/>
      <c r="BU475" s="267"/>
      <c r="BY475" s="267"/>
      <c r="CC475" s="267"/>
      <c r="CG475" s="267"/>
      <c r="CS475" s="267"/>
      <c r="CW475" s="270"/>
      <c r="CX475" s="267"/>
      <c r="DC475" s="267"/>
      <c r="DH475" s="267"/>
      <c r="DM475" s="267"/>
      <c r="DR475" s="267"/>
      <c r="DW475" s="267"/>
      <c r="EB475" s="267"/>
      <c r="EG475" s="267"/>
      <c r="EL475" s="267"/>
      <c r="EQ475" s="267"/>
      <c r="EU475" s="270"/>
      <c r="EV475" s="267"/>
      <c r="FC475" s="267"/>
      <c r="FD475" s="267"/>
      <c r="FE475" s="267"/>
      <c r="FF475" s="267"/>
      <c r="FG475" s="267"/>
      <c r="FL475" s="267"/>
      <c r="FM475" s="267"/>
      <c r="FN475" s="267"/>
      <c r="FO475" s="267"/>
      <c r="FP475" s="267"/>
      <c r="FQ475" s="264"/>
      <c r="FR475" s="264"/>
      <c r="FS475" s="264"/>
      <c r="FT475" s="264"/>
      <c r="FU475" s="267"/>
      <c r="FV475" s="267"/>
      <c r="FW475" s="267"/>
      <c r="FX475" s="267"/>
      <c r="FY475" s="267"/>
      <c r="GD475" s="267"/>
      <c r="GE475" s="267"/>
      <c r="GF475" s="267"/>
      <c r="GG475" s="267"/>
      <c r="GH475" s="267"/>
      <c r="GI475" s="264"/>
      <c r="GJ475" s="264"/>
      <c r="GK475" s="264"/>
      <c r="GL475" s="264"/>
      <c r="HD475" s="267"/>
      <c r="HE475" s="267"/>
      <c r="HF475" s="267"/>
      <c r="HG475" s="267"/>
      <c r="HH475" s="267"/>
      <c r="HI475" s="267"/>
      <c r="HJ475" s="267"/>
      <c r="HK475" s="267"/>
      <c r="HL475" s="267"/>
      <c r="HM475" s="267"/>
      <c r="HN475" s="267"/>
      <c r="HO475" s="267"/>
      <c r="HP475" s="267"/>
      <c r="HQ475" s="267"/>
      <c r="HR475" s="267"/>
      <c r="HS475" s="267"/>
      <c r="HT475" s="267"/>
      <c r="HU475" s="267"/>
      <c r="IH475" s="267"/>
      <c r="IK475" s="267"/>
      <c r="IN475" s="267"/>
      <c r="IQ475" s="267"/>
      <c r="IR475" s="267"/>
      <c r="IS475" s="267"/>
      <c r="IV475" s="267"/>
      <c r="IY475" s="267"/>
    </row>
    <row r="476" spans="10:259">
      <c r="J476" s="267"/>
      <c r="K476" s="267"/>
      <c r="L476" s="267"/>
      <c r="M476" s="267"/>
      <c r="N476" s="267"/>
      <c r="O476" s="267"/>
      <c r="P476" s="267"/>
      <c r="Q476" s="267"/>
      <c r="S476" s="267"/>
      <c r="T476" s="267"/>
      <c r="U476" s="267"/>
      <c r="V476" s="267"/>
      <c r="W476" s="264"/>
      <c r="Y476" s="267"/>
      <c r="Z476" s="267"/>
      <c r="AA476" s="267"/>
      <c r="AB476" s="267"/>
      <c r="AE476" s="267"/>
      <c r="AF476" s="267"/>
      <c r="AG476" s="267"/>
      <c r="AH476" s="267"/>
      <c r="AK476" s="267"/>
      <c r="AL476" s="267"/>
      <c r="AM476" s="267"/>
      <c r="AN476" s="267"/>
      <c r="AQ476" s="267"/>
      <c r="AR476" s="267"/>
      <c r="AS476" s="267"/>
      <c r="AT476" s="267"/>
      <c r="AW476" s="267"/>
      <c r="AX476" s="267"/>
      <c r="AY476" s="267"/>
      <c r="AZ476" s="267"/>
      <c r="BG476" s="269"/>
      <c r="BM476" s="269"/>
      <c r="BS476" s="269"/>
      <c r="BU476" s="267"/>
      <c r="BY476" s="267"/>
      <c r="CC476" s="267"/>
      <c r="CG476" s="267"/>
      <c r="CS476" s="267"/>
      <c r="CW476" s="270"/>
      <c r="CX476" s="267"/>
      <c r="DC476" s="267"/>
      <c r="DH476" s="267"/>
      <c r="DM476" s="267"/>
      <c r="DR476" s="267"/>
      <c r="DW476" s="267"/>
      <c r="EB476" s="267"/>
      <c r="EG476" s="267"/>
      <c r="EL476" s="267"/>
      <c r="EQ476" s="267"/>
      <c r="EU476" s="270"/>
      <c r="EV476" s="267"/>
      <c r="FC476" s="267"/>
      <c r="FD476" s="267"/>
      <c r="FE476" s="267"/>
      <c r="FF476" s="267"/>
      <c r="FG476" s="267"/>
      <c r="FL476" s="267"/>
      <c r="FM476" s="267"/>
      <c r="FN476" s="267"/>
      <c r="FO476" s="267"/>
      <c r="FP476" s="267"/>
      <c r="FQ476" s="264"/>
      <c r="FR476" s="264"/>
      <c r="FS476" s="264"/>
      <c r="FT476" s="264"/>
      <c r="FU476" s="267"/>
      <c r="FV476" s="267"/>
      <c r="FW476" s="267"/>
      <c r="FX476" s="267"/>
      <c r="FY476" s="267"/>
      <c r="GD476" s="267"/>
      <c r="GE476" s="267"/>
      <c r="GF476" s="267"/>
      <c r="GG476" s="267"/>
      <c r="GH476" s="267"/>
      <c r="GI476" s="264"/>
      <c r="GJ476" s="264"/>
      <c r="GK476" s="264"/>
      <c r="GL476" s="264"/>
      <c r="HD476" s="267"/>
      <c r="HE476" s="267"/>
      <c r="HF476" s="267"/>
      <c r="HG476" s="267"/>
      <c r="HH476" s="267"/>
      <c r="HI476" s="267"/>
      <c r="HJ476" s="267"/>
      <c r="HK476" s="267"/>
      <c r="HL476" s="267"/>
      <c r="HM476" s="267"/>
      <c r="HN476" s="267"/>
      <c r="HO476" s="267"/>
      <c r="HP476" s="267"/>
      <c r="HQ476" s="267"/>
      <c r="HR476" s="267"/>
      <c r="HS476" s="267"/>
      <c r="HT476" s="267"/>
      <c r="HU476" s="267"/>
      <c r="IH476" s="267"/>
      <c r="IK476" s="267"/>
      <c r="IN476" s="267"/>
      <c r="IQ476" s="267"/>
      <c r="IR476" s="267"/>
      <c r="IS476" s="267"/>
      <c r="IV476" s="267"/>
      <c r="IY476" s="267"/>
    </row>
    <row r="477" spans="10:259">
      <c r="J477" s="267"/>
      <c r="K477" s="267"/>
      <c r="L477" s="267"/>
      <c r="M477" s="267"/>
      <c r="N477" s="267"/>
      <c r="O477" s="267"/>
      <c r="P477" s="267"/>
      <c r="Q477" s="267"/>
      <c r="S477" s="267"/>
      <c r="T477" s="267"/>
      <c r="U477" s="267"/>
      <c r="V477" s="267"/>
      <c r="W477" s="264"/>
      <c r="Y477" s="267"/>
      <c r="Z477" s="267"/>
      <c r="AA477" s="267"/>
      <c r="AB477" s="267"/>
      <c r="AE477" s="267"/>
      <c r="AF477" s="267"/>
      <c r="AG477" s="267"/>
      <c r="AH477" s="267"/>
      <c r="AK477" s="267"/>
      <c r="AL477" s="267"/>
      <c r="AM477" s="267"/>
      <c r="AN477" s="267"/>
      <c r="AQ477" s="267"/>
      <c r="AR477" s="267"/>
      <c r="AS477" s="267"/>
      <c r="AT477" s="267"/>
      <c r="AW477" s="267"/>
      <c r="AX477" s="267"/>
      <c r="AY477" s="267"/>
      <c r="AZ477" s="267"/>
      <c r="BG477" s="269"/>
      <c r="BM477" s="269"/>
      <c r="BS477" s="269"/>
      <c r="BU477" s="267"/>
      <c r="BY477" s="267"/>
      <c r="CC477" s="267"/>
      <c r="CG477" s="267"/>
      <c r="CS477" s="267"/>
      <c r="CW477" s="270"/>
      <c r="CX477" s="267"/>
      <c r="DC477" s="267"/>
      <c r="DH477" s="267"/>
      <c r="DM477" s="267"/>
      <c r="DR477" s="267"/>
      <c r="DW477" s="267"/>
      <c r="EB477" s="267"/>
      <c r="EG477" s="267"/>
      <c r="EL477" s="267"/>
      <c r="EQ477" s="267"/>
      <c r="EU477" s="270"/>
      <c r="EV477" s="267"/>
      <c r="FC477" s="267"/>
      <c r="FD477" s="267"/>
      <c r="FE477" s="267"/>
      <c r="FF477" s="267"/>
      <c r="FG477" s="267"/>
      <c r="FL477" s="267"/>
      <c r="FM477" s="267"/>
      <c r="FN477" s="267"/>
      <c r="FO477" s="267"/>
      <c r="FP477" s="267"/>
      <c r="FQ477" s="264"/>
      <c r="FR477" s="264"/>
      <c r="FS477" s="264"/>
      <c r="FT477" s="264"/>
      <c r="FU477" s="267"/>
      <c r="FV477" s="267"/>
      <c r="FW477" s="267"/>
      <c r="FX477" s="267"/>
      <c r="FY477" s="267"/>
      <c r="GD477" s="267"/>
      <c r="GE477" s="267"/>
      <c r="GF477" s="267"/>
      <c r="GG477" s="267"/>
      <c r="GH477" s="267"/>
      <c r="GI477" s="264"/>
      <c r="GJ477" s="264"/>
      <c r="GK477" s="264"/>
      <c r="GL477" s="264"/>
      <c r="HD477" s="267"/>
      <c r="HE477" s="267"/>
      <c r="HF477" s="267"/>
      <c r="HG477" s="267"/>
      <c r="HH477" s="267"/>
      <c r="HI477" s="267"/>
      <c r="HJ477" s="267"/>
      <c r="HK477" s="267"/>
      <c r="HL477" s="267"/>
      <c r="HM477" s="267"/>
      <c r="HN477" s="267"/>
      <c r="HO477" s="267"/>
      <c r="HP477" s="267"/>
      <c r="HQ477" s="267"/>
      <c r="HR477" s="267"/>
      <c r="HS477" s="267"/>
      <c r="HT477" s="267"/>
      <c r="HU477" s="267"/>
      <c r="IH477" s="267"/>
      <c r="IK477" s="267"/>
      <c r="IN477" s="267"/>
      <c r="IQ477" s="267"/>
      <c r="IR477" s="267"/>
      <c r="IS477" s="267"/>
      <c r="IV477" s="267"/>
      <c r="IY477" s="267"/>
    </row>
    <row r="478" spans="10:259">
      <c r="J478" s="267"/>
      <c r="K478" s="267"/>
      <c r="L478" s="267"/>
      <c r="M478" s="267"/>
      <c r="N478" s="267"/>
      <c r="O478" s="267"/>
      <c r="P478" s="267"/>
      <c r="Q478" s="267"/>
      <c r="S478" s="267"/>
      <c r="T478" s="267"/>
      <c r="U478" s="267"/>
      <c r="V478" s="267"/>
      <c r="W478" s="264"/>
      <c r="Y478" s="267"/>
      <c r="Z478" s="267"/>
      <c r="AA478" s="267"/>
      <c r="AB478" s="267"/>
      <c r="AE478" s="267"/>
      <c r="AF478" s="267"/>
      <c r="AG478" s="267"/>
      <c r="AH478" s="267"/>
      <c r="AK478" s="267"/>
      <c r="AL478" s="267"/>
      <c r="AM478" s="267"/>
      <c r="AN478" s="267"/>
      <c r="AQ478" s="267"/>
      <c r="AR478" s="267"/>
      <c r="AS478" s="267"/>
      <c r="AT478" s="267"/>
      <c r="AW478" s="267"/>
      <c r="AX478" s="267"/>
      <c r="AY478" s="267"/>
      <c r="AZ478" s="267"/>
      <c r="BG478" s="269"/>
      <c r="BM478" s="269"/>
      <c r="BS478" s="269"/>
      <c r="BU478" s="267"/>
      <c r="BY478" s="267"/>
      <c r="CC478" s="267"/>
      <c r="CG478" s="267"/>
      <c r="CS478" s="267"/>
      <c r="CW478" s="270"/>
      <c r="CX478" s="267"/>
      <c r="DC478" s="267"/>
      <c r="DH478" s="267"/>
      <c r="DM478" s="267"/>
      <c r="DR478" s="267"/>
      <c r="DW478" s="267"/>
      <c r="EB478" s="267"/>
      <c r="EG478" s="267"/>
      <c r="EL478" s="267"/>
      <c r="EQ478" s="267"/>
      <c r="EU478" s="270"/>
      <c r="EV478" s="267"/>
      <c r="FC478" s="267"/>
      <c r="FD478" s="267"/>
      <c r="FE478" s="267"/>
      <c r="FF478" s="267"/>
      <c r="FG478" s="267"/>
      <c r="FL478" s="267"/>
      <c r="FM478" s="267"/>
      <c r="FN478" s="267"/>
      <c r="FO478" s="267"/>
      <c r="FP478" s="267"/>
      <c r="FQ478" s="264"/>
      <c r="FR478" s="264"/>
      <c r="FS478" s="264"/>
      <c r="FT478" s="264"/>
      <c r="FU478" s="267"/>
      <c r="FV478" s="267"/>
      <c r="FW478" s="267"/>
      <c r="FX478" s="267"/>
      <c r="FY478" s="267"/>
      <c r="GD478" s="267"/>
      <c r="GE478" s="267"/>
      <c r="GF478" s="267"/>
      <c r="GG478" s="267"/>
      <c r="GH478" s="267"/>
      <c r="GI478" s="264"/>
      <c r="GJ478" s="264"/>
      <c r="GK478" s="264"/>
      <c r="GL478" s="264"/>
      <c r="HD478" s="267"/>
      <c r="HE478" s="267"/>
      <c r="HF478" s="267"/>
      <c r="HG478" s="267"/>
      <c r="HH478" s="267"/>
      <c r="HI478" s="267"/>
      <c r="HJ478" s="267"/>
      <c r="HK478" s="267"/>
      <c r="HL478" s="267"/>
      <c r="HM478" s="267"/>
      <c r="HN478" s="267"/>
      <c r="HO478" s="267"/>
      <c r="HP478" s="267"/>
      <c r="HQ478" s="267"/>
      <c r="HR478" s="267"/>
      <c r="HS478" s="267"/>
      <c r="HT478" s="267"/>
      <c r="HU478" s="267"/>
      <c r="IH478" s="267"/>
      <c r="IK478" s="267"/>
      <c r="IN478" s="267"/>
      <c r="IQ478" s="267"/>
      <c r="IR478" s="267"/>
      <c r="IS478" s="267"/>
      <c r="IV478" s="267"/>
      <c r="IY478" s="267"/>
    </row>
    <row r="479" spans="10:259">
      <c r="J479" s="267"/>
      <c r="K479" s="267"/>
      <c r="L479" s="267"/>
      <c r="M479" s="267"/>
      <c r="N479" s="267"/>
      <c r="O479" s="267"/>
      <c r="P479" s="267"/>
      <c r="Q479" s="267"/>
      <c r="S479" s="267"/>
      <c r="T479" s="267"/>
      <c r="U479" s="267"/>
      <c r="V479" s="267"/>
      <c r="W479" s="264"/>
      <c r="Y479" s="267"/>
      <c r="Z479" s="267"/>
      <c r="AA479" s="267"/>
      <c r="AB479" s="267"/>
      <c r="AE479" s="267"/>
      <c r="AF479" s="267"/>
      <c r="AG479" s="267"/>
      <c r="AH479" s="267"/>
      <c r="AK479" s="267"/>
      <c r="AL479" s="267"/>
      <c r="AM479" s="267"/>
      <c r="AN479" s="267"/>
      <c r="AQ479" s="267"/>
      <c r="AR479" s="267"/>
      <c r="AS479" s="267"/>
      <c r="AT479" s="267"/>
      <c r="AW479" s="267"/>
      <c r="AX479" s="267"/>
      <c r="AY479" s="267"/>
      <c r="AZ479" s="267"/>
      <c r="BG479" s="269"/>
      <c r="BM479" s="269"/>
      <c r="BS479" s="269"/>
      <c r="BU479" s="267"/>
      <c r="BY479" s="267"/>
      <c r="CC479" s="267"/>
      <c r="CG479" s="267"/>
      <c r="CS479" s="267"/>
      <c r="CW479" s="270"/>
      <c r="CX479" s="267"/>
      <c r="DC479" s="267"/>
      <c r="DH479" s="267"/>
      <c r="DM479" s="267"/>
      <c r="DR479" s="267"/>
      <c r="DW479" s="267"/>
      <c r="EB479" s="267"/>
      <c r="EG479" s="267"/>
      <c r="EL479" s="267"/>
      <c r="EQ479" s="267"/>
      <c r="EU479" s="270"/>
      <c r="EV479" s="267"/>
      <c r="FC479" s="267"/>
      <c r="FD479" s="267"/>
      <c r="FE479" s="267"/>
      <c r="FF479" s="267"/>
      <c r="FG479" s="267"/>
      <c r="FL479" s="267"/>
      <c r="FM479" s="267"/>
      <c r="FN479" s="267"/>
      <c r="FO479" s="267"/>
      <c r="FP479" s="267"/>
      <c r="FQ479" s="264"/>
      <c r="FR479" s="264"/>
      <c r="FS479" s="264"/>
      <c r="FT479" s="264"/>
      <c r="FU479" s="267"/>
      <c r="FV479" s="267"/>
      <c r="FW479" s="267"/>
      <c r="FX479" s="267"/>
      <c r="FY479" s="267"/>
      <c r="GD479" s="267"/>
      <c r="GE479" s="267"/>
      <c r="GF479" s="267"/>
      <c r="GG479" s="267"/>
      <c r="GH479" s="267"/>
      <c r="GI479" s="264"/>
      <c r="GJ479" s="264"/>
      <c r="GK479" s="264"/>
      <c r="GL479" s="264"/>
      <c r="HD479" s="267"/>
      <c r="HE479" s="267"/>
      <c r="HF479" s="267"/>
      <c r="HG479" s="267"/>
      <c r="HH479" s="267"/>
      <c r="HI479" s="267"/>
      <c r="HJ479" s="267"/>
      <c r="HK479" s="267"/>
      <c r="HL479" s="267"/>
      <c r="HM479" s="267"/>
      <c r="HN479" s="267"/>
      <c r="HO479" s="267"/>
      <c r="HP479" s="267"/>
      <c r="HQ479" s="267"/>
      <c r="HR479" s="267"/>
      <c r="HS479" s="267"/>
      <c r="HT479" s="267"/>
      <c r="HU479" s="267"/>
      <c r="IH479" s="267"/>
      <c r="IK479" s="267"/>
      <c r="IN479" s="267"/>
      <c r="IQ479" s="267"/>
      <c r="IR479" s="267"/>
      <c r="IS479" s="267"/>
      <c r="IV479" s="267"/>
      <c r="IY479" s="267"/>
    </row>
    <row r="480" spans="10:259">
      <c r="J480" s="267"/>
      <c r="K480" s="267"/>
      <c r="L480" s="267"/>
      <c r="M480" s="267"/>
      <c r="N480" s="267"/>
      <c r="O480" s="267"/>
      <c r="P480" s="267"/>
      <c r="Q480" s="267"/>
      <c r="S480" s="267"/>
      <c r="T480" s="267"/>
      <c r="U480" s="267"/>
      <c r="V480" s="267"/>
      <c r="W480" s="264"/>
      <c r="Y480" s="267"/>
      <c r="Z480" s="267"/>
      <c r="AA480" s="267"/>
      <c r="AB480" s="267"/>
      <c r="AE480" s="267"/>
      <c r="AF480" s="267"/>
      <c r="AG480" s="267"/>
      <c r="AH480" s="267"/>
      <c r="AK480" s="267"/>
      <c r="AL480" s="267"/>
      <c r="AM480" s="267"/>
      <c r="AN480" s="267"/>
      <c r="AQ480" s="267"/>
      <c r="AR480" s="267"/>
      <c r="AS480" s="267"/>
      <c r="AT480" s="267"/>
      <c r="AW480" s="267"/>
      <c r="AX480" s="267"/>
      <c r="AY480" s="267"/>
      <c r="AZ480" s="267"/>
      <c r="BG480" s="269"/>
      <c r="BM480" s="269"/>
      <c r="BS480" s="269"/>
      <c r="BU480" s="267"/>
      <c r="BY480" s="267"/>
      <c r="CC480" s="267"/>
      <c r="CG480" s="267"/>
      <c r="CS480" s="267"/>
      <c r="CW480" s="270"/>
      <c r="CX480" s="267"/>
      <c r="DC480" s="267"/>
      <c r="DH480" s="267"/>
      <c r="DM480" s="267"/>
      <c r="DR480" s="267"/>
      <c r="DW480" s="267"/>
      <c r="EB480" s="267"/>
      <c r="EG480" s="267"/>
      <c r="EL480" s="267"/>
      <c r="EQ480" s="267"/>
      <c r="EU480" s="270"/>
      <c r="EV480" s="267"/>
      <c r="FC480" s="267"/>
      <c r="FD480" s="267"/>
      <c r="FE480" s="267"/>
      <c r="FF480" s="267"/>
      <c r="FG480" s="267"/>
      <c r="FL480" s="267"/>
      <c r="FM480" s="267"/>
      <c r="FN480" s="267"/>
      <c r="FO480" s="267"/>
      <c r="FP480" s="267"/>
      <c r="FQ480" s="264"/>
      <c r="FR480" s="264"/>
      <c r="FS480" s="264"/>
      <c r="FT480" s="264"/>
      <c r="FU480" s="267"/>
      <c r="FV480" s="267"/>
      <c r="FW480" s="267"/>
      <c r="FX480" s="267"/>
      <c r="FY480" s="267"/>
      <c r="GD480" s="267"/>
      <c r="GE480" s="267"/>
      <c r="GF480" s="267"/>
      <c r="GG480" s="267"/>
      <c r="GH480" s="267"/>
      <c r="GI480" s="264"/>
      <c r="GJ480" s="264"/>
      <c r="GK480" s="264"/>
      <c r="GL480" s="264"/>
      <c r="HD480" s="267"/>
      <c r="HE480" s="267"/>
      <c r="HF480" s="267"/>
      <c r="HG480" s="267"/>
      <c r="HH480" s="267"/>
      <c r="HI480" s="267"/>
      <c r="HJ480" s="267"/>
      <c r="HK480" s="267"/>
      <c r="HL480" s="267"/>
      <c r="HM480" s="267"/>
      <c r="HN480" s="267"/>
      <c r="HO480" s="267"/>
      <c r="HP480" s="267"/>
      <c r="HQ480" s="267"/>
      <c r="HR480" s="267"/>
      <c r="HS480" s="267"/>
      <c r="HT480" s="267"/>
      <c r="HU480" s="267"/>
      <c r="IH480" s="267"/>
      <c r="IK480" s="267"/>
      <c r="IN480" s="267"/>
      <c r="IQ480" s="267"/>
      <c r="IR480" s="267"/>
      <c r="IS480" s="267"/>
      <c r="IV480" s="267"/>
      <c r="IY480" s="267"/>
    </row>
    <row r="481" spans="10:259">
      <c r="J481" s="267"/>
      <c r="K481" s="267"/>
      <c r="L481" s="267"/>
      <c r="M481" s="267"/>
      <c r="N481" s="267"/>
      <c r="O481" s="267"/>
      <c r="P481" s="267"/>
      <c r="Q481" s="267"/>
      <c r="S481" s="267"/>
      <c r="T481" s="267"/>
      <c r="U481" s="267"/>
      <c r="V481" s="267"/>
      <c r="W481" s="264"/>
      <c r="Y481" s="267"/>
      <c r="Z481" s="267"/>
      <c r="AA481" s="267"/>
      <c r="AB481" s="267"/>
      <c r="AE481" s="267"/>
      <c r="AF481" s="267"/>
      <c r="AG481" s="267"/>
      <c r="AH481" s="267"/>
      <c r="AK481" s="267"/>
      <c r="AL481" s="267"/>
      <c r="AM481" s="267"/>
      <c r="AN481" s="267"/>
      <c r="AQ481" s="267"/>
      <c r="AR481" s="267"/>
      <c r="AS481" s="267"/>
      <c r="AT481" s="267"/>
      <c r="AW481" s="267"/>
      <c r="AX481" s="267"/>
      <c r="AY481" s="267"/>
      <c r="AZ481" s="267"/>
      <c r="BG481" s="269"/>
      <c r="BM481" s="269"/>
      <c r="BS481" s="269"/>
      <c r="BU481" s="267"/>
      <c r="BY481" s="267"/>
      <c r="CC481" s="267"/>
      <c r="CG481" s="267"/>
      <c r="CS481" s="267"/>
      <c r="CW481" s="270"/>
      <c r="CX481" s="267"/>
      <c r="DC481" s="267"/>
      <c r="DH481" s="267"/>
      <c r="DM481" s="267"/>
      <c r="DR481" s="267"/>
      <c r="DW481" s="267"/>
      <c r="EB481" s="267"/>
      <c r="EG481" s="267"/>
      <c r="EL481" s="267"/>
      <c r="EQ481" s="267"/>
      <c r="EU481" s="270"/>
      <c r="EV481" s="267"/>
      <c r="FC481" s="267"/>
      <c r="FD481" s="267"/>
      <c r="FE481" s="267"/>
      <c r="FF481" s="267"/>
      <c r="FG481" s="267"/>
      <c r="FL481" s="267"/>
      <c r="FM481" s="267"/>
      <c r="FN481" s="267"/>
      <c r="FO481" s="267"/>
      <c r="FP481" s="267"/>
      <c r="FQ481" s="264"/>
      <c r="FR481" s="264"/>
      <c r="FS481" s="264"/>
      <c r="FT481" s="264"/>
      <c r="FU481" s="267"/>
      <c r="FV481" s="267"/>
      <c r="FW481" s="267"/>
      <c r="FX481" s="267"/>
      <c r="FY481" s="267"/>
      <c r="GD481" s="267"/>
      <c r="GE481" s="267"/>
      <c r="GF481" s="267"/>
      <c r="GG481" s="267"/>
      <c r="GH481" s="267"/>
      <c r="GI481" s="264"/>
      <c r="GJ481" s="264"/>
      <c r="GK481" s="264"/>
      <c r="GL481" s="264"/>
      <c r="HD481" s="267"/>
      <c r="HE481" s="267"/>
      <c r="HF481" s="267"/>
      <c r="HG481" s="267"/>
      <c r="HH481" s="267"/>
      <c r="HI481" s="267"/>
      <c r="HJ481" s="267"/>
      <c r="HK481" s="267"/>
      <c r="HL481" s="267"/>
      <c r="HM481" s="267"/>
      <c r="HN481" s="267"/>
      <c r="HO481" s="267"/>
      <c r="HP481" s="267"/>
      <c r="HQ481" s="267"/>
      <c r="HR481" s="267"/>
      <c r="HS481" s="267"/>
      <c r="HT481" s="267"/>
      <c r="HU481" s="267"/>
      <c r="IH481" s="267"/>
      <c r="IK481" s="267"/>
      <c r="IN481" s="267"/>
      <c r="IQ481" s="267"/>
      <c r="IR481" s="267"/>
      <c r="IS481" s="267"/>
      <c r="IV481" s="267"/>
      <c r="IY481" s="267"/>
    </row>
    <row r="482" spans="10:259">
      <c r="J482" s="267"/>
      <c r="K482" s="267"/>
      <c r="L482" s="267"/>
      <c r="M482" s="267"/>
      <c r="N482" s="267"/>
      <c r="O482" s="267"/>
      <c r="P482" s="267"/>
      <c r="Q482" s="267"/>
      <c r="S482" s="267"/>
      <c r="T482" s="267"/>
      <c r="U482" s="267"/>
      <c r="V482" s="267"/>
      <c r="W482" s="264"/>
      <c r="Y482" s="267"/>
      <c r="Z482" s="267"/>
      <c r="AA482" s="267"/>
      <c r="AB482" s="267"/>
      <c r="AE482" s="267"/>
      <c r="AF482" s="267"/>
      <c r="AG482" s="267"/>
      <c r="AH482" s="267"/>
      <c r="AK482" s="267"/>
      <c r="AL482" s="267"/>
      <c r="AM482" s="267"/>
      <c r="AN482" s="267"/>
      <c r="AQ482" s="267"/>
      <c r="AR482" s="267"/>
      <c r="AS482" s="267"/>
      <c r="AT482" s="267"/>
      <c r="AW482" s="267"/>
      <c r="AX482" s="267"/>
      <c r="AY482" s="267"/>
      <c r="AZ482" s="267"/>
      <c r="BG482" s="269"/>
      <c r="BM482" s="269"/>
      <c r="BS482" s="269"/>
      <c r="BU482" s="267"/>
      <c r="BY482" s="267"/>
      <c r="CC482" s="267"/>
      <c r="CG482" s="267"/>
      <c r="CS482" s="267"/>
      <c r="CW482" s="270"/>
      <c r="CX482" s="267"/>
      <c r="DC482" s="267"/>
      <c r="DH482" s="267"/>
      <c r="DM482" s="267"/>
      <c r="DR482" s="267"/>
      <c r="DW482" s="267"/>
      <c r="EB482" s="267"/>
      <c r="EG482" s="267"/>
      <c r="EL482" s="267"/>
      <c r="EQ482" s="267"/>
      <c r="EU482" s="270"/>
      <c r="EV482" s="267"/>
      <c r="FC482" s="267"/>
      <c r="FD482" s="267"/>
      <c r="FE482" s="267"/>
      <c r="FF482" s="267"/>
      <c r="FG482" s="267"/>
      <c r="FL482" s="267"/>
      <c r="FM482" s="267"/>
      <c r="FN482" s="267"/>
      <c r="FO482" s="267"/>
      <c r="FP482" s="267"/>
      <c r="FQ482" s="264"/>
      <c r="FR482" s="264"/>
      <c r="FS482" s="264"/>
      <c r="FT482" s="264"/>
      <c r="FU482" s="267"/>
      <c r="FV482" s="267"/>
      <c r="FW482" s="267"/>
      <c r="FX482" s="267"/>
      <c r="FY482" s="267"/>
      <c r="GD482" s="267"/>
      <c r="GE482" s="267"/>
      <c r="GF482" s="267"/>
      <c r="GG482" s="267"/>
      <c r="GH482" s="267"/>
      <c r="GI482" s="264"/>
      <c r="GJ482" s="264"/>
      <c r="GK482" s="264"/>
      <c r="GL482" s="264"/>
      <c r="HD482" s="267"/>
      <c r="HE482" s="267"/>
      <c r="HF482" s="267"/>
      <c r="HG482" s="267"/>
      <c r="HH482" s="267"/>
      <c r="HI482" s="267"/>
      <c r="HJ482" s="267"/>
      <c r="HK482" s="267"/>
      <c r="HL482" s="267"/>
      <c r="HM482" s="267"/>
      <c r="HN482" s="267"/>
      <c r="HO482" s="267"/>
      <c r="HP482" s="267"/>
      <c r="HQ482" s="267"/>
      <c r="HR482" s="267"/>
      <c r="HS482" s="267"/>
      <c r="HT482" s="267"/>
      <c r="HU482" s="267"/>
      <c r="IH482" s="267"/>
      <c r="IK482" s="267"/>
      <c r="IN482" s="267"/>
      <c r="IQ482" s="267"/>
      <c r="IR482" s="267"/>
      <c r="IS482" s="267"/>
      <c r="IV482" s="267"/>
      <c r="IY482" s="267"/>
    </row>
    <row r="483" spans="10:259">
      <c r="J483" s="267"/>
      <c r="K483" s="267"/>
      <c r="L483" s="267"/>
      <c r="M483" s="267"/>
      <c r="N483" s="267"/>
      <c r="O483" s="267"/>
      <c r="P483" s="267"/>
      <c r="Q483" s="267"/>
      <c r="S483" s="267"/>
      <c r="T483" s="267"/>
      <c r="U483" s="267"/>
      <c r="V483" s="267"/>
      <c r="W483" s="264"/>
      <c r="Y483" s="267"/>
      <c r="Z483" s="267"/>
      <c r="AA483" s="267"/>
      <c r="AB483" s="267"/>
      <c r="AE483" s="267"/>
      <c r="AF483" s="267"/>
      <c r="AG483" s="267"/>
      <c r="AH483" s="267"/>
      <c r="AK483" s="267"/>
      <c r="AL483" s="267"/>
      <c r="AM483" s="267"/>
      <c r="AN483" s="267"/>
      <c r="AQ483" s="267"/>
      <c r="AR483" s="267"/>
      <c r="AS483" s="267"/>
      <c r="AT483" s="267"/>
      <c r="AW483" s="267"/>
      <c r="AX483" s="267"/>
      <c r="AY483" s="267"/>
      <c r="AZ483" s="267"/>
      <c r="BG483" s="269"/>
      <c r="BM483" s="269"/>
      <c r="BS483" s="269"/>
      <c r="BU483" s="267"/>
      <c r="BY483" s="267"/>
      <c r="CC483" s="267"/>
      <c r="CG483" s="267"/>
      <c r="CS483" s="267"/>
      <c r="CW483" s="270"/>
      <c r="CX483" s="267"/>
      <c r="DC483" s="267"/>
      <c r="DH483" s="267"/>
      <c r="DM483" s="267"/>
      <c r="DR483" s="267"/>
      <c r="DW483" s="267"/>
      <c r="EB483" s="267"/>
      <c r="EG483" s="267"/>
      <c r="EL483" s="267"/>
      <c r="EQ483" s="267"/>
      <c r="EU483" s="270"/>
      <c r="EV483" s="267"/>
      <c r="FC483" s="267"/>
      <c r="FD483" s="267"/>
      <c r="FE483" s="267"/>
      <c r="FF483" s="267"/>
      <c r="FG483" s="267"/>
      <c r="FL483" s="267"/>
      <c r="FM483" s="267"/>
      <c r="FN483" s="267"/>
      <c r="FO483" s="267"/>
      <c r="FP483" s="267"/>
      <c r="FQ483" s="264"/>
      <c r="FR483" s="264"/>
      <c r="FS483" s="264"/>
      <c r="FT483" s="264"/>
      <c r="FU483" s="267"/>
      <c r="FV483" s="267"/>
      <c r="FW483" s="267"/>
      <c r="FX483" s="267"/>
      <c r="FY483" s="267"/>
      <c r="GD483" s="267"/>
      <c r="GE483" s="267"/>
      <c r="GF483" s="267"/>
      <c r="GG483" s="267"/>
      <c r="GH483" s="267"/>
      <c r="GI483" s="264"/>
      <c r="GJ483" s="264"/>
      <c r="GK483" s="264"/>
      <c r="GL483" s="264"/>
      <c r="HD483" s="267"/>
      <c r="HE483" s="267"/>
      <c r="HF483" s="267"/>
      <c r="HG483" s="267"/>
      <c r="HH483" s="267"/>
      <c r="HI483" s="267"/>
      <c r="HJ483" s="267"/>
      <c r="HK483" s="267"/>
      <c r="HL483" s="267"/>
      <c r="HM483" s="267"/>
      <c r="HN483" s="267"/>
      <c r="HO483" s="267"/>
      <c r="HP483" s="267"/>
      <c r="HQ483" s="267"/>
      <c r="HR483" s="267"/>
      <c r="HS483" s="267"/>
      <c r="HT483" s="267"/>
      <c r="HU483" s="267"/>
      <c r="IH483" s="267"/>
      <c r="IK483" s="267"/>
      <c r="IN483" s="267"/>
      <c r="IQ483" s="267"/>
      <c r="IR483" s="267"/>
      <c r="IS483" s="267"/>
      <c r="IV483" s="267"/>
      <c r="IY483" s="267"/>
    </row>
    <row r="484" spans="10:259">
      <c r="J484" s="267"/>
      <c r="K484" s="267"/>
      <c r="L484" s="267"/>
      <c r="M484" s="267"/>
      <c r="N484" s="267"/>
      <c r="O484" s="267"/>
      <c r="P484" s="267"/>
      <c r="Q484" s="267"/>
      <c r="S484" s="267"/>
      <c r="T484" s="267"/>
      <c r="U484" s="267"/>
      <c r="V484" s="267"/>
      <c r="W484" s="264"/>
      <c r="Y484" s="267"/>
      <c r="Z484" s="267"/>
      <c r="AA484" s="267"/>
      <c r="AB484" s="267"/>
      <c r="AE484" s="267"/>
      <c r="AF484" s="267"/>
      <c r="AG484" s="267"/>
      <c r="AH484" s="267"/>
      <c r="AK484" s="267"/>
      <c r="AL484" s="267"/>
      <c r="AM484" s="267"/>
      <c r="AN484" s="267"/>
      <c r="AQ484" s="267"/>
      <c r="AR484" s="267"/>
      <c r="AS484" s="267"/>
      <c r="AT484" s="267"/>
      <c r="AW484" s="267"/>
      <c r="AX484" s="267"/>
      <c r="AY484" s="267"/>
      <c r="AZ484" s="267"/>
      <c r="BG484" s="269"/>
      <c r="BM484" s="269"/>
      <c r="BS484" s="269"/>
      <c r="BU484" s="267"/>
      <c r="BY484" s="267"/>
      <c r="CC484" s="267"/>
      <c r="CG484" s="267"/>
      <c r="CS484" s="267"/>
      <c r="CW484" s="270"/>
      <c r="CX484" s="267"/>
      <c r="DC484" s="267"/>
      <c r="DH484" s="267"/>
      <c r="DM484" s="267"/>
      <c r="DR484" s="267"/>
      <c r="DW484" s="267"/>
      <c r="EB484" s="267"/>
      <c r="EG484" s="267"/>
      <c r="EL484" s="267"/>
      <c r="EQ484" s="267"/>
      <c r="EU484" s="270"/>
      <c r="EV484" s="267"/>
      <c r="FC484" s="267"/>
      <c r="FD484" s="267"/>
      <c r="FE484" s="267"/>
      <c r="FF484" s="267"/>
      <c r="FG484" s="267"/>
      <c r="FL484" s="267"/>
      <c r="FM484" s="267"/>
      <c r="FN484" s="267"/>
      <c r="FO484" s="267"/>
      <c r="FP484" s="267"/>
      <c r="FQ484" s="264"/>
      <c r="FR484" s="264"/>
      <c r="FS484" s="264"/>
      <c r="FT484" s="264"/>
      <c r="FU484" s="267"/>
      <c r="FV484" s="267"/>
      <c r="FW484" s="267"/>
      <c r="FX484" s="267"/>
      <c r="FY484" s="267"/>
      <c r="GD484" s="267"/>
      <c r="GE484" s="267"/>
      <c r="GF484" s="267"/>
      <c r="GG484" s="267"/>
      <c r="GH484" s="267"/>
      <c r="GI484" s="264"/>
      <c r="GJ484" s="264"/>
      <c r="GK484" s="264"/>
      <c r="GL484" s="264"/>
      <c r="HD484" s="267"/>
      <c r="HE484" s="267"/>
      <c r="HF484" s="267"/>
      <c r="HG484" s="267"/>
      <c r="HH484" s="267"/>
      <c r="HI484" s="267"/>
      <c r="HJ484" s="267"/>
      <c r="HK484" s="267"/>
      <c r="HL484" s="267"/>
      <c r="HM484" s="267"/>
      <c r="HN484" s="267"/>
      <c r="HO484" s="267"/>
      <c r="HP484" s="267"/>
      <c r="HQ484" s="267"/>
      <c r="HR484" s="267"/>
      <c r="HS484" s="267"/>
      <c r="HT484" s="267"/>
      <c r="HU484" s="267"/>
      <c r="IH484" s="267"/>
      <c r="IK484" s="267"/>
      <c r="IN484" s="267"/>
      <c r="IQ484" s="267"/>
      <c r="IR484" s="267"/>
      <c r="IS484" s="267"/>
      <c r="IV484" s="267"/>
      <c r="IY484" s="267"/>
    </row>
    <row r="485" spans="10:259">
      <c r="J485" s="267"/>
      <c r="K485" s="267"/>
      <c r="L485" s="267"/>
      <c r="M485" s="267"/>
      <c r="N485" s="267"/>
      <c r="O485" s="267"/>
      <c r="P485" s="267"/>
      <c r="Q485" s="267"/>
      <c r="S485" s="267"/>
      <c r="T485" s="267"/>
      <c r="U485" s="267"/>
      <c r="V485" s="267"/>
      <c r="W485" s="264"/>
      <c r="Y485" s="267"/>
      <c r="Z485" s="267"/>
      <c r="AA485" s="267"/>
      <c r="AB485" s="267"/>
      <c r="AE485" s="267"/>
      <c r="AF485" s="267"/>
      <c r="AG485" s="267"/>
      <c r="AH485" s="267"/>
      <c r="AK485" s="267"/>
      <c r="AL485" s="267"/>
      <c r="AM485" s="267"/>
      <c r="AN485" s="267"/>
      <c r="AQ485" s="267"/>
      <c r="AR485" s="267"/>
      <c r="AS485" s="267"/>
      <c r="AT485" s="267"/>
      <c r="AW485" s="267"/>
      <c r="AX485" s="267"/>
      <c r="AY485" s="267"/>
      <c r="AZ485" s="267"/>
      <c r="BG485" s="269"/>
      <c r="BM485" s="269"/>
      <c r="BS485" s="269"/>
      <c r="BU485" s="267"/>
      <c r="BY485" s="267"/>
      <c r="CC485" s="267"/>
      <c r="CG485" s="267"/>
      <c r="CS485" s="267"/>
      <c r="CW485" s="270"/>
      <c r="CX485" s="267"/>
      <c r="DC485" s="267"/>
      <c r="DH485" s="267"/>
      <c r="DM485" s="267"/>
      <c r="DR485" s="267"/>
      <c r="DW485" s="267"/>
      <c r="EB485" s="267"/>
      <c r="EG485" s="267"/>
      <c r="EL485" s="267"/>
      <c r="EQ485" s="267"/>
      <c r="EU485" s="270"/>
      <c r="EV485" s="267"/>
      <c r="FC485" s="267"/>
      <c r="FD485" s="267"/>
      <c r="FE485" s="267"/>
      <c r="FF485" s="267"/>
      <c r="FG485" s="267"/>
      <c r="FL485" s="267"/>
      <c r="FM485" s="267"/>
      <c r="FN485" s="267"/>
      <c r="FO485" s="267"/>
      <c r="FP485" s="267"/>
      <c r="FQ485" s="264"/>
      <c r="FR485" s="264"/>
      <c r="FS485" s="264"/>
      <c r="FT485" s="264"/>
      <c r="FU485" s="267"/>
      <c r="FV485" s="267"/>
      <c r="FW485" s="267"/>
      <c r="FX485" s="267"/>
      <c r="FY485" s="267"/>
      <c r="GD485" s="267"/>
      <c r="GE485" s="267"/>
      <c r="GF485" s="267"/>
      <c r="GG485" s="267"/>
      <c r="GH485" s="267"/>
      <c r="GI485" s="264"/>
      <c r="GJ485" s="264"/>
      <c r="GK485" s="264"/>
      <c r="GL485" s="264"/>
      <c r="HD485" s="267"/>
      <c r="HE485" s="267"/>
      <c r="HF485" s="267"/>
      <c r="HG485" s="267"/>
      <c r="HH485" s="267"/>
      <c r="HI485" s="267"/>
      <c r="HJ485" s="267"/>
      <c r="HK485" s="267"/>
      <c r="HL485" s="267"/>
      <c r="HM485" s="267"/>
      <c r="HN485" s="267"/>
      <c r="HO485" s="267"/>
      <c r="HP485" s="267"/>
      <c r="HQ485" s="267"/>
      <c r="HR485" s="267"/>
      <c r="HS485" s="267"/>
      <c r="HT485" s="267"/>
      <c r="HU485" s="267"/>
      <c r="IH485" s="267"/>
      <c r="IK485" s="267"/>
      <c r="IN485" s="267"/>
      <c r="IQ485" s="267"/>
      <c r="IR485" s="267"/>
      <c r="IS485" s="267"/>
      <c r="IV485" s="267"/>
      <c r="IY485" s="267"/>
    </row>
    <row r="486" spans="10:259">
      <c r="J486" s="267"/>
      <c r="K486" s="267"/>
      <c r="L486" s="267"/>
      <c r="M486" s="267"/>
      <c r="N486" s="267"/>
      <c r="O486" s="267"/>
      <c r="P486" s="267"/>
      <c r="Q486" s="267"/>
      <c r="S486" s="267"/>
      <c r="T486" s="267"/>
      <c r="U486" s="267"/>
      <c r="V486" s="267"/>
      <c r="W486" s="264"/>
      <c r="Y486" s="267"/>
      <c r="Z486" s="267"/>
      <c r="AA486" s="267"/>
      <c r="AB486" s="267"/>
      <c r="AE486" s="267"/>
      <c r="AF486" s="267"/>
      <c r="AG486" s="267"/>
      <c r="AH486" s="267"/>
      <c r="AK486" s="267"/>
      <c r="AL486" s="267"/>
      <c r="AM486" s="267"/>
      <c r="AN486" s="267"/>
      <c r="AQ486" s="267"/>
      <c r="AR486" s="267"/>
      <c r="AS486" s="267"/>
      <c r="AT486" s="267"/>
      <c r="AW486" s="267"/>
      <c r="AX486" s="267"/>
      <c r="AY486" s="267"/>
      <c r="AZ486" s="267"/>
      <c r="BG486" s="269"/>
      <c r="BM486" s="269"/>
      <c r="BS486" s="269"/>
      <c r="BU486" s="267"/>
      <c r="BY486" s="267"/>
      <c r="CC486" s="267"/>
      <c r="CG486" s="267"/>
      <c r="CS486" s="267"/>
      <c r="CW486" s="270"/>
      <c r="CX486" s="267"/>
      <c r="DC486" s="267"/>
      <c r="DH486" s="267"/>
      <c r="DM486" s="267"/>
      <c r="DR486" s="267"/>
      <c r="DW486" s="267"/>
      <c r="EB486" s="267"/>
      <c r="EG486" s="267"/>
      <c r="EL486" s="267"/>
      <c r="EQ486" s="267"/>
      <c r="EU486" s="270"/>
      <c r="EV486" s="267"/>
      <c r="FC486" s="267"/>
      <c r="FD486" s="267"/>
      <c r="FE486" s="267"/>
      <c r="FF486" s="267"/>
      <c r="FG486" s="267"/>
      <c r="FL486" s="267"/>
      <c r="FM486" s="267"/>
      <c r="FN486" s="267"/>
      <c r="FO486" s="267"/>
      <c r="FP486" s="267"/>
      <c r="FQ486" s="264"/>
      <c r="FR486" s="264"/>
      <c r="FS486" s="264"/>
      <c r="FT486" s="264"/>
      <c r="FU486" s="267"/>
      <c r="FV486" s="267"/>
      <c r="FW486" s="267"/>
      <c r="FX486" s="267"/>
      <c r="FY486" s="267"/>
      <c r="GD486" s="267"/>
      <c r="GE486" s="267"/>
      <c r="GF486" s="267"/>
      <c r="GG486" s="267"/>
      <c r="GH486" s="267"/>
      <c r="GI486" s="264"/>
      <c r="GJ486" s="264"/>
      <c r="GK486" s="264"/>
      <c r="GL486" s="264"/>
      <c r="HD486" s="267"/>
      <c r="HE486" s="267"/>
      <c r="HF486" s="267"/>
      <c r="HG486" s="267"/>
      <c r="HH486" s="267"/>
      <c r="HI486" s="267"/>
      <c r="HJ486" s="267"/>
      <c r="HK486" s="267"/>
      <c r="HL486" s="267"/>
      <c r="HM486" s="267"/>
      <c r="HN486" s="267"/>
      <c r="HO486" s="267"/>
      <c r="HP486" s="267"/>
      <c r="HQ486" s="267"/>
      <c r="HR486" s="267"/>
      <c r="HS486" s="267"/>
      <c r="HT486" s="267"/>
      <c r="HU486" s="267"/>
      <c r="IH486" s="267"/>
      <c r="IK486" s="267"/>
      <c r="IN486" s="267"/>
      <c r="IQ486" s="267"/>
      <c r="IR486" s="267"/>
      <c r="IS486" s="267"/>
      <c r="IV486" s="267"/>
      <c r="IY486" s="267"/>
    </row>
    <row r="487" spans="10:259">
      <c r="J487" s="267"/>
      <c r="K487" s="267"/>
      <c r="L487" s="267"/>
      <c r="M487" s="267"/>
      <c r="N487" s="267"/>
      <c r="O487" s="267"/>
      <c r="P487" s="267"/>
      <c r="Q487" s="267"/>
      <c r="S487" s="267"/>
      <c r="T487" s="267"/>
      <c r="U487" s="267"/>
      <c r="V487" s="267"/>
      <c r="W487" s="264"/>
      <c r="Y487" s="267"/>
      <c r="Z487" s="267"/>
      <c r="AA487" s="267"/>
      <c r="AB487" s="267"/>
      <c r="AE487" s="267"/>
      <c r="AF487" s="267"/>
      <c r="AG487" s="267"/>
      <c r="AH487" s="267"/>
      <c r="AK487" s="267"/>
      <c r="AL487" s="267"/>
      <c r="AM487" s="267"/>
      <c r="AN487" s="267"/>
      <c r="AQ487" s="267"/>
      <c r="AR487" s="267"/>
      <c r="AS487" s="267"/>
      <c r="AT487" s="267"/>
      <c r="AW487" s="267"/>
      <c r="AX487" s="267"/>
      <c r="AY487" s="267"/>
      <c r="AZ487" s="267"/>
      <c r="BG487" s="269"/>
      <c r="BM487" s="269"/>
      <c r="BS487" s="269"/>
      <c r="BU487" s="267"/>
      <c r="BY487" s="267"/>
      <c r="CC487" s="267"/>
      <c r="CG487" s="267"/>
      <c r="CS487" s="267"/>
      <c r="CW487" s="270"/>
      <c r="CX487" s="267"/>
      <c r="DC487" s="267"/>
      <c r="DH487" s="267"/>
      <c r="DM487" s="267"/>
      <c r="DR487" s="267"/>
      <c r="DW487" s="267"/>
      <c r="EB487" s="267"/>
      <c r="EG487" s="267"/>
      <c r="EL487" s="267"/>
      <c r="EQ487" s="267"/>
      <c r="EU487" s="270"/>
      <c r="EV487" s="267"/>
      <c r="FC487" s="267"/>
      <c r="FD487" s="267"/>
      <c r="FE487" s="267"/>
      <c r="FF487" s="267"/>
      <c r="FG487" s="267"/>
      <c r="FL487" s="267"/>
      <c r="FM487" s="267"/>
      <c r="FN487" s="267"/>
      <c r="FO487" s="267"/>
      <c r="FP487" s="267"/>
      <c r="FQ487" s="264"/>
      <c r="FR487" s="264"/>
      <c r="FS487" s="264"/>
      <c r="FT487" s="264"/>
      <c r="FU487" s="267"/>
      <c r="FV487" s="267"/>
      <c r="FW487" s="267"/>
      <c r="FX487" s="267"/>
      <c r="FY487" s="267"/>
      <c r="GD487" s="267"/>
      <c r="GE487" s="267"/>
      <c r="GF487" s="267"/>
      <c r="GG487" s="267"/>
      <c r="GH487" s="267"/>
      <c r="GI487" s="264"/>
      <c r="GJ487" s="264"/>
      <c r="GK487" s="264"/>
      <c r="GL487" s="264"/>
      <c r="HD487" s="267"/>
      <c r="HE487" s="267"/>
      <c r="HF487" s="267"/>
      <c r="HG487" s="267"/>
      <c r="HH487" s="267"/>
      <c r="HI487" s="267"/>
      <c r="HJ487" s="267"/>
      <c r="HK487" s="267"/>
      <c r="HL487" s="267"/>
      <c r="HM487" s="267"/>
      <c r="HN487" s="267"/>
      <c r="HO487" s="267"/>
      <c r="HP487" s="267"/>
      <c r="HQ487" s="267"/>
      <c r="HR487" s="267"/>
      <c r="HS487" s="267"/>
      <c r="HT487" s="267"/>
      <c r="HU487" s="267"/>
      <c r="IH487" s="267"/>
      <c r="IK487" s="267"/>
      <c r="IN487" s="267"/>
      <c r="IQ487" s="267"/>
      <c r="IR487" s="267"/>
      <c r="IS487" s="267"/>
      <c r="IV487" s="267"/>
      <c r="IY487" s="267"/>
    </row>
    <row r="488" spans="10:259">
      <c r="J488" s="267"/>
      <c r="K488" s="267"/>
      <c r="L488" s="267"/>
      <c r="M488" s="267"/>
      <c r="N488" s="267"/>
      <c r="O488" s="267"/>
      <c r="P488" s="267"/>
      <c r="Q488" s="267"/>
      <c r="S488" s="267"/>
      <c r="T488" s="267"/>
      <c r="U488" s="267"/>
      <c r="V488" s="267"/>
      <c r="W488" s="264"/>
      <c r="Y488" s="267"/>
      <c r="Z488" s="267"/>
      <c r="AA488" s="267"/>
      <c r="AB488" s="267"/>
      <c r="AE488" s="267"/>
      <c r="AF488" s="267"/>
      <c r="AG488" s="267"/>
      <c r="AH488" s="267"/>
      <c r="AK488" s="267"/>
      <c r="AL488" s="267"/>
      <c r="AM488" s="267"/>
      <c r="AN488" s="267"/>
      <c r="AQ488" s="267"/>
      <c r="AR488" s="267"/>
      <c r="AS488" s="267"/>
      <c r="AT488" s="267"/>
      <c r="AW488" s="267"/>
      <c r="AX488" s="267"/>
      <c r="AY488" s="267"/>
      <c r="AZ488" s="267"/>
      <c r="BG488" s="269"/>
      <c r="BM488" s="269"/>
      <c r="BS488" s="269"/>
      <c r="BU488" s="267"/>
      <c r="BY488" s="267"/>
      <c r="CC488" s="267"/>
      <c r="CG488" s="267"/>
      <c r="CS488" s="267"/>
      <c r="CW488" s="270"/>
      <c r="CX488" s="267"/>
      <c r="DC488" s="267"/>
      <c r="DH488" s="267"/>
      <c r="DM488" s="267"/>
      <c r="DR488" s="267"/>
      <c r="DW488" s="267"/>
      <c r="EB488" s="267"/>
      <c r="EG488" s="267"/>
      <c r="EL488" s="267"/>
      <c r="EQ488" s="267"/>
      <c r="EU488" s="270"/>
      <c r="EV488" s="267"/>
      <c r="FC488" s="267"/>
      <c r="FD488" s="267"/>
      <c r="FE488" s="267"/>
      <c r="FF488" s="267"/>
      <c r="FG488" s="267"/>
      <c r="FL488" s="267"/>
      <c r="FM488" s="267"/>
      <c r="FN488" s="267"/>
      <c r="FO488" s="267"/>
      <c r="FP488" s="267"/>
      <c r="FQ488" s="264"/>
      <c r="FR488" s="264"/>
      <c r="FS488" s="264"/>
      <c r="FT488" s="264"/>
      <c r="FU488" s="267"/>
      <c r="FV488" s="267"/>
      <c r="FW488" s="267"/>
      <c r="FX488" s="267"/>
      <c r="FY488" s="267"/>
      <c r="GD488" s="267"/>
      <c r="GE488" s="267"/>
      <c r="GF488" s="267"/>
      <c r="GG488" s="267"/>
      <c r="GH488" s="267"/>
      <c r="GI488" s="264"/>
      <c r="GJ488" s="264"/>
      <c r="GK488" s="264"/>
      <c r="GL488" s="264"/>
      <c r="HD488" s="267"/>
      <c r="HE488" s="267"/>
      <c r="HF488" s="267"/>
      <c r="HG488" s="267"/>
      <c r="HH488" s="267"/>
      <c r="HI488" s="267"/>
      <c r="HJ488" s="267"/>
      <c r="HK488" s="267"/>
      <c r="HL488" s="267"/>
      <c r="HM488" s="267"/>
      <c r="HN488" s="267"/>
      <c r="HO488" s="267"/>
      <c r="HP488" s="267"/>
      <c r="HQ488" s="267"/>
      <c r="HR488" s="267"/>
      <c r="HS488" s="267"/>
      <c r="HT488" s="267"/>
      <c r="HU488" s="267"/>
      <c r="IH488" s="267"/>
      <c r="IK488" s="267"/>
      <c r="IN488" s="267"/>
      <c r="IQ488" s="267"/>
      <c r="IR488" s="267"/>
      <c r="IS488" s="267"/>
      <c r="IV488" s="267"/>
      <c r="IY488" s="267"/>
    </row>
    <row r="489" spans="10:259">
      <c r="J489" s="267"/>
      <c r="K489" s="267"/>
      <c r="L489" s="267"/>
      <c r="M489" s="267"/>
      <c r="N489" s="267"/>
      <c r="O489" s="267"/>
      <c r="P489" s="267"/>
      <c r="Q489" s="267"/>
      <c r="S489" s="267"/>
      <c r="T489" s="267"/>
      <c r="U489" s="267"/>
      <c r="V489" s="267"/>
      <c r="W489" s="264"/>
      <c r="Y489" s="267"/>
      <c r="Z489" s="267"/>
      <c r="AA489" s="267"/>
      <c r="AB489" s="267"/>
      <c r="AE489" s="267"/>
      <c r="AF489" s="267"/>
      <c r="AG489" s="267"/>
      <c r="AH489" s="267"/>
      <c r="AK489" s="267"/>
      <c r="AL489" s="267"/>
      <c r="AM489" s="267"/>
      <c r="AN489" s="267"/>
      <c r="AQ489" s="267"/>
      <c r="AR489" s="267"/>
      <c r="AS489" s="267"/>
      <c r="AT489" s="267"/>
      <c r="AW489" s="267"/>
      <c r="AX489" s="267"/>
      <c r="AY489" s="267"/>
      <c r="AZ489" s="267"/>
      <c r="BG489" s="269"/>
      <c r="BM489" s="269"/>
      <c r="BS489" s="269"/>
      <c r="BU489" s="267"/>
      <c r="BY489" s="267"/>
      <c r="CC489" s="267"/>
      <c r="CG489" s="267"/>
      <c r="CS489" s="267"/>
      <c r="CW489" s="270"/>
      <c r="CX489" s="267"/>
      <c r="DC489" s="267"/>
      <c r="DH489" s="267"/>
      <c r="DM489" s="267"/>
      <c r="DR489" s="267"/>
      <c r="DW489" s="267"/>
      <c r="EB489" s="267"/>
      <c r="EG489" s="267"/>
      <c r="EL489" s="267"/>
      <c r="EQ489" s="267"/>
      <c r="EU489" s="270"/>
      <c r="EV489" s="267"/>
      <c r="FC489" s="267"/>
      <c r="FD489" s="267"/>
      <c r="FE489" s="267"/>
      <c r="FF489" s="267"/>
      <c r="FG489" s="267"/>
      <c r="FL489" s="267"/>
      <c r="FM489" s="267"/>
      <c r="FN489" s="267"/>
      <c r="FO489" s="267"/>
      <c r="FP489" s="267"/>
      <c r="FQ489" s="264"/>
      <c r="FR489" s="264"/>
      <c r="FS489" s="264"/>
      <c r="FT489" s="264"/>
      <c r="FU489" s="267"/>
      <c r="FV489" s="267"/>
      <c r="FW489" s="267"/>
      <c r="FX489" s="267"/>
      <c r="FY489" s="267"/>
      <c r="GD489" s="267"/>
      <c r="GE489" s="267"/>
      <c r="GF489" s="267"/>
      <c r="GG489" s="267"/>
      <c r="GH489" s="267"/>
      <c r="GI489" s="264"/>
      <c r="GJ489" s="264"/>
      <c r="GK489" s="264"/>
      <c r="GL489" s="264"/>
      <c r="HD489" s="267"/>
      <c r="HE489" s="267"/>
      <c r="HF489" s="267"/>
      <c r="HG489" s="267"/>
      <c r="HH489" s="267"/>
      <c r="HI489" s="267"/>
      <c r="HJ489" s="267"/>
      <c r="HK489" s="267"/>
      <c r="HL489" s="267"/>
      <c r="HM489" s="267"/>
      <c r="HN489" s="267"/>
      <c r="HO489" s="267"/>
      <c r="HP489" s="267"/>
      <c r="HQ489" s="267"/>
      <c r="HR489" s="267"/>
      <c r="HS489" s="267"/>
      <c r="HT489" s="267"/>
      <c r="HU489" s="267"/>
      <c r="IH489" s="267"/>
      <c r="IK489" s="267"/>
      <c r="IN489" s="267"/>
      <c r="IQ489" s="267"/>
      <c r="IR489" s="267"/>
      <c r="IS489" s="267"/>
      <c r="IV489" s="267"/>
      <c r="IY489" s="267"/>
    </row>
    <row r="490" spans="10:259">
      <c r="J490" s="267"/>
      <c r="K490" s="267"/>
      <c r="L490" s="267"/>
      <c r="M490" s="267"/>
      <c r="N490" s="267"/>
      <c r="O490" s="267"/>
      <c r="P490" s="267"/>
      <c r="Q490" s="267"/>
      <c r="S490" s="267"/>
      <c r="T490" s="267"/>
      <c r="U490" s="267"/>
      <c r="V490" s="267"/>
      <c r="W490" s="264"/>
      <c r="Y490" s="267"/>
      <c r="Z490" s="267"/>
      <c r="AA490" s="267"/>
      <c r="AB490" s="267"/>
      <c r="AE490" s="267"/>
      <c r="AF490" s="267"/>
      <c r="AG490" s="267"/>
      <c r="AH490" s="267"/>
      <c r="AK490" s="267"/>
      <c r="AL490" s="267"/>
      <c r="AM490" s="267"/>
      <c r="AN490" s="267"/>
      <c r="AQ490" s="267"/>
      <c r="AR490" s="267"/>
      <c r="AS490" s="267"/>
      <c r="AT490" s="267"/>
      <c r="AW490" s="267"/>
      <c r="AX490" s="267"/>
      <c r="AY490" s="267"/>
      <c r="AZ490" s="267"/>
      <c r="BG490" s="269"/>
      <c r="BM490" s="269"/>
      <c r="BS490" s="269"/>
      <c r="BU490" s="267"/>
      <c r="BY490" s="267"/>
      <c r="CC490" s="267"/>
      <c r="CG490" s="267"/>
      <c r="CS490" s="267"/>
      <c r="CW490" s="270"/>
      <c r="CX490" s="267"/>
      <c r="DC490" s="267"/>
      <c r="DH490" s="267"/>
      <c r="DM490" s="267"/>
      <c r="DR490" s="267"/>
      <c r="DW490" s="267"/>
      <c r="EB490" s="267"/>
      <c r="EG490" s="267"/>
      <c r="EL490" s="267"/>
      <c r="EQ490" s="267"/>
      <c r="EU490" s="270"/>
      <c r="EV490" s="267"/>
      <c r="FC490" s="267"/>
      <c r="FD490" s="267"/>
      <c r="FE490" s="267"/>
      <c r="FF490" s="267"/>
      <c r="FG490" s="267"/>
      <c r="FL490" s="267"/>
      <c r="FM490" s="267"/>
      <c r="FN490" s="267"/>
      <c r="FO490" s="267"/>
      <c r="FP490" s="267"/>
      <c r="FQ490" s="264"/>
      <c r="FR490" s="264"/>
      <c r="FS490" s="264"/>
      <c r="FT490" s="264"/>
      <c r="FU490" s="267"/>
      <c r="FV490" s="267"/>
      <c r="FW490" s="267"/>
      <c r="FX490" s="267"/>
      <c r="FY490" s="267"/>
      <c r="GD490" s="267"/>
      <c r="GE490" s="267"/>
      <c r="GF490" s="267"/>
      <c r="GG490" s="267"/>
      <c r="GH490" s="267"/>
      <c r="GI490" s="264"/>
      <c r="GJ490" s="264"/>
      <c r="GK490" s="264"/>
      <c r="GL490" s="264"/>
      <c r="HD490" s="267"/>
      <c r="HE490" s="267"/>
      <c r="HF490" s="267"/>
      <c r="HG490" s="267"/>
      <c r="HH490" s="267"/>
      <c r="HI490" s="267"/>
      <c r="HJ490" s="267"/>
      <c r="HK490" s="267"/>
      <c r="HL490" s="267"/>
      <c r="HM490" s="267"/>
      <c r="HN490" s="267"/>
      <c r="HO490" s="267"/>
      <c r="HP490" s="267"/>
      <c r="HQ490" s="267"/>
      <c r="HR490" s="267"/>
      <c r="HS490" s="267"/>
      <c r="HT490" s="267"/>
      <c r="HU490" s="267"/>
      <c r="IH490" s="267"/>
      <c r="IK490" s="267"/>
      <c r="IN490" s="267"/>
      <c r="IQ490" s="267"/>
      <c r="IR490" s="267"/>
      <c r="IS490" s="267"/>
      <c r="IV490" s="267"/>
      <c r="IY490" s="267"/>
    </row>
    <row r="491" spans="10:259">
      <c r="J491" s="267"/>
      <c r="K491" s="267"/>
      <c r="L491" s="267"/>
      <c r="M491" s="267"/>
      <c r="N491" s="267"/>
      <c r="O491" s="267"/>
      <c r="P491" s="267"/>
      <c r="Q491" s="267"/>
      <c r="S491" s="267"/>
      <c r="T491" s="267"/>
      <c r="U491" s="267"/>
      <c r="V491" s="267"/>
      <c r="W491" s="264"/>
      <c r="Y491" s="267"/>
      <c r="Z491" s="267"/>
      <c r="AA491" s="267"/>
      <c r="AB491" s="267"/>
      <c r="AE491" s="267"/>
      <c r="AF491" s="267"/>
      <c r="AG491" s="267"/>
      <c r="AH491" s="267"/>
      <c r="AK491" s="267"/>
      <c r="AL491" s="267"/>
      <c r="AM491" s="267"/>
      <c r="AN491" s="267"/>
      <c r="AQ491" s="267"/>
      <c r="AR491" s="267"/>
      <c r="AS491" s="267"/>
      <c r="AT491" s="267"/>
      <c r="AW491" s="267"/>
      <c r="AX491" s="267"/>
      <c r="AY491" s="267"/>
      <c r="AZ491" s="267"/>
      <c r="BG491" s="269"/>
      <c r="BM491" s="269"/>
      <c r="BS491" s="269"/>
      <c r="BU491" s="267"/>
      <c r="BY491" s="267"/>
      <c r="CC491" s="267"/>
      <c r="CG491" s="267"/>
      <c r="CS491" s="267"/>
      <c r="CW491" s="270"/>
      <c r="CX491" s="267"/>
      <c r="DC491" s="267"/>
      <c r="DH491" s="267"/>
      <c r="DM491" s="267"/>
      <c r="DR491" s="267"/>
      <c r="DW491" s="267"/>
      <c r="EB491" s="267"/>
      <c r="EG491" s="267"/>
      <c r="EL491" s="267"/>
      <c r="EQ491" s="267"/>
      <c r="EU491" s="270"/>
      <c r="EV491" s="267"/>
      <c r="FC491" s="267"/>
      <c r="FD491" s="267"/>
      <c r="FE491" s="267"/>
      <c r="FF491" s="267"/>
      <c r="FG491" s="267"/>
      <c r="FL491" s="267"/>
      <c r="FM491" s="267"/>
      <c r="FN491" s="267"/>
      <c r="FO491" s="267"/>
      <c r="FP491" s="267"/>
      <c r="FQ491" s="264"/>
      <c r="FR491" s="264"/>
      <c r="FS491" s="264"/>
      <c r="FT491" s="264"/>
      <c r="FU491" s="267"/>
      <c r="FV491" s="267"/>
      <c r="FW491" s="267"/>
      <c r="FX491" s="267"/>
      <c r="FY491" s="267"/>
      <c r="GD491" s="267"/>
      <c r="GE491" s="267"/>
      <c r="GF491" s="267"/>
      <c r="GG491" s="267"/>
      <c r="GH491" s="267"/>
      <c r="GI491" s="264"/>
      <c r="GJ491" s="264"/>
      <c r="GK491" s="264"/>
      <c r="GL491" s="264"/>
      <c r="HD491" s="267"/>
      <c r="HE491" s="267"/>
      <c r="HF491" s="267"/>
      <c r="HG491" s="267"/>
      <c r="HH491" s="267"/>
      <c r="HI491" s="267"/>
      <c r="HJ491" s="267"/>
      <c r="HK491" s="267"/>
      <c r="HL491" s="267"/>
      <c r="HM491" s="267"/>
      <c r="HN491" s="267"/>
      <c r="HO491" s="267"/>
      <c r="HP491" s="267"/>
      <c r="HQ491" s="267"/>
      <c r="HR491" s="267"/>
      <c r="HS491" s="267"/>
      <c r="HT491" s="267"/>
      <c r="HU491" s="267"/>
      <c r="IH491" s="267"/>
      <c r="IK491" s="267"/>
      <c r="IN491" s="267"/>
      <c r="IQ491" s="267"/>
      <c r="IR491" s="267"/>
      <c r="IS491" s="267"/>
      <c r="IV491" s="267"/>
      <c r="IY491" s="267"/>
    </row>
    <row r="492" spans="10:259">
      <c r="J492" s="267"/>
      <c r="K492" s="267"/>
      <c r="L492" s="267"/>
      <c r="M492" s="267"/>
      <c r="N492" s="267"/>
      <c r="O492" s="267"/>
      <c r="P492" s="267"/>
      <c r="Q492" s="267"/>
      <c r="S492" s="267"/>
      <c r="T492" s="267"/>
      <c r="U492" s="267"/>
      <c r="V492" s="267"/>
      <c r="W492" s="264"/>
      <c r="Y492" s="267"/>
      <c r="Z492" s="267"/>
      <c r="AA492" s="267"/>
      <c r="AB492" s="267"/>
      <c r="AE492" s="267"/>
      <c r="AF492" s="267"/>
      <c r="AG492" s="267"/>
      <c r="AH492" s="267"/>
      <c r="AK492" s="267"/>
      <c r="AL492" s="267"/>
      <c r="AM492" s="267"/>
      <c r="AN492" s="267"/>
      <c r="AQ492" s="267"/>
      <c r="AR492" s="267"/>
      <c r="AS492" s="267"/>
      <c r="AT492" s="267"/>
      <c r="AW492" s="267"/>
      <c r="AX492" s="267"/>
      <c r="AY492" s="267"/>
      <c r="AZ492" s="267"/>
      <c r="BG492" s="269"/>
      <c r="BM492" s="269"/>
      <c r="BS492" s="269"/>
      <c r="BU492" s="267"/>
      <c r="BY492" s="267"/>
      <c r="CC492" s="267"/>
      <c r="CG492" s="267"/>
      <c r="CS492" s="267"/>
      <c r="CW492" s="270"/>
      <c r="CX492" s="267"/>
      <c r="DC492" s="267"/>
      <c r="DH492" s="267"/>
      <c r="DM492" s="267"/>
      <c r="DR492" s="267"/>
      <c r="DW492" s="267"/>
      <c r="EB492" s="267"/>
      <c r="EG492" s="267"/>
      <c r="EL492" s="267"/>
      <c r="EQ492" s="267"/>
      <c r="EU492" s="270"/>
      <c r="EV492" s="267"/>
      <c r="FC492" s="267"/>
      <c r="FD492" s="267"/>
      <c r="FE492" s="267"/>
      <c r="FF492" s="267"/>
      <c r="FG492" s="267"/>
      <c r="FL492" s="267"/>
      <c r="FM492" s="267"/>
      <c r="FN492" s="267"/>
      <c r="FO492" s="267"/>
      <c r="FP492" s="267"/>
      <c r="FQ492" s="264"/>
      <c r="FR492" s="264"/>
      <c r="FS492" s="264"/>
      <c r="FT492" s="264"/>
      <c r="FU492" s="267"/>
      <c r="FV492" s="267"/>
      <c r="FW492" s="267"/>
      <c r="FX492" s="267"/>
      <c r="FY492" s="267"/>
      <c r="GD492" s="267"/>
      <c r="GE492" s="267"/>
      <c r="GF492" s="267"/>
      <c r="GG492" s="267"/>
      <c r="GH492" s="267"/>
      <c r="GI492" s="264"/>
      <c r="GJ492" s="264"/>
      <c r="GK492" s="264"/>
      <c r="GL492" s="264"/>
      <c r="HD492" s="267"/>
      <c r="HE492" s="267"/>
      <c r="HF492" s="267"/>
      <c r="HG492" s="267"/>
      <c r="HH492" s="267"/>
      <c r="HI492" s="267"/>
      <c r="HJ492" s="267"/>
      <c r="HK492" s="267"/>
      <c r="HL492" s="267"/>
      <c r="HM492" s="267"/>
      <c r="HN492" s="267"/>
      <c r="HO492" s="267"/>
      <c r="HP492" s="267"/>
      <c r="HQ492" s="267"/>
      <c r="HR492" s="267"/>
      <c r="HS492" s="267"/>
      <c r="HT492" s="267"/>
      <c r="HU492" s="267"/>
      <c r="IH492" s="267"/>
      <c r="IK492" s="267"/>
      <c r="IN492" s="267"/>
      <c r="IQ492" s="267"/>
      <c r="IR492" s="267"/>
      <c r="IS492" s="267"/>
      <c r="IV492" s="267"/>
      <c r="IY492" s="267"/>
    </row>
    <row r="493" spans="10:259">
      <c r="J493" s="267"/>
      <c r="K493" s="267"/>
      <c r="L493" s="267"/>
      <c r="M493" s="267"/>
      <c r="N493" s="267"/>
      <c r="O493" s="267"/>
      <c r="P493" s="267"/>
      <c r="Q493" s="267"/>
      <c r="S493" s="267"/>
      <c r="T493" s="267"/>
      <c r="U493" s="267"/>
      <c r="V493" s="267"/>
      <c r="W493" s="264"/>
      <c r="Y493" s="267"/>
      <c r="Z493" s="267"/>
      <c r="AA493" s="267"/>
      <c r="AB493" s="267"/>
      <c r="AE493" s="267"/>
      <c r="AF493" s="267"/>
      <c r="AG493" s="267"/>
      <c r="AH493" s="267"/>
      <c r="AK493" s="267"/>
      <c r="AL493" s="267"/>
      <c r="AM493" s="267"/>
      <c r="AN493" s="267"/>
      <c r="AQ493" s="267"/>
      <c r="AR493" s="267"/>
      <c r="AS493" s="267"/>
      <c r="AT493" s="267"/>
      <c r="AW493" s="267"/>
      <c r="AX493" s="267"/>
      <c r="AY493" s="267"/>
      <c r="AZ493" s="267"/>
      <c r="BG493" s="269"/>
      <c r="BM493" s="269"/>
      <c r="BS493" s="269"/>
      <c r="BU493" s="267"/>
      <c r="BY493" s="267"/>
      <c r="CC493" s="267"/>
      <c r="CG493" s="267"/>
      <c r="CS493" s="267"/>
      <c r="CW493" s="270"/>
      <c r="CX493" s="267"/>
      <c r="DC493" s="267"/>
      <c r="DH493" s="267"/>
      <c r="DM493" s="267"/>
      <c r="DR493" s="267"/>
      <c r="DW493" s="267"/>
      <c r="EB493" s="267"/>
      <c r="EG493" s="267"/>
      <c r="EL493" s="267"/>
      <c r="EQ493" s="267"/>
      <c r="EU493" s="270"/>
      <c r="EV493" s="267"/>
      <c r="FC493" s="267"/>
      <c r="FD493" s="267"/>
      <c r="FE493" s="267"/>
      <c r="FF493" s="267"/>
      <c r="FG493" s="267"/>
      <c r="FL493" s="267"/>
      <c r="FM493" s="267"/>
      <c r="FN493" s="267"/>
      <c r="FO493" s="267"/>
      <c r="FP493" s="267"/>
      <c r="FQ493" s="264"/>
      <c r="FR493" s="264"/>
      <c r="FS493" s="264"/>
      <c r="FT493" s="264"/>
      <c r="FU493" s="267"/>
      <c r="FV493" s="267"/>
      <c r="FW493" s="267"/>
      <c r="FX493" s="267"/>
      <c r="FY493" s="267"/>
      <c r="GD493" s="267"/>
      <c r="GE493" s="267"/>
      <c r="GF493" s="267"/>
      <c r="GG493" s="267"/>
      <c r="GH493" s="267"/>
      <c r="GI493" s="264"/>
      <c r="GJ493" s="264"/>
      <c r="GK493" s="264"/>
      <c r="GL493" s="264"/>
      <c r="HD493" s="267"/>
      <c r="HE493" s="267"/>
      <c r="HF493" s="267"/>
      <c r="HG493" s="267"/>
      <c r="HH493" s="267"/>
      <c r="HI493" s="267"/>
      <c r="HJ493" s="267"/>
      <c r="HK493" s="267"/>
      <c r="HL493" s="267"/>
      <c r="HM493" s="267"/>
      <c r="HN493" s="267"/>
      <c r="HO493" s="267"/>
      <c r="HP493" s="267"/>
      <c r="HQ493" s="267"/>
      <c r="HR493" s="267"/>
      <c r="HS493" s="267"/>
      <c r="HT493" s="267"/>
      <c r="HU493" s="267"/>
      <c r="IH493" s="267"/>
      <c r="IK493" s="267"/>
      <c r="IN493" s="267"/>
      <c r="IQ493" s="267"/>
      <c r="IR493" s="267"/>
      <c r="IS493" s="267"/>
      <c r="IV493" s="267"/>
      <c r="IY493" s="267"/>
    </row>
    <row r="494" spans="10:259">
      <c r="J494" s="267"/>
      <c r="K494" s="267"/>
      <c r="L494" s="267"/>
      <c r="M494" s="267"/>
      <c r="N494" s="267"/>
      <c r="O494" s="267"/>
      <c r="P494" s="267"/>
      <c r="Q494" s="267"/>
      <c r="S494" s="267"/>
      <c r="T494" s="267"/>
      <c r="U494" s="267"/>
      <c r="V494" s="267"/>
      <c r="W494" s="264"/>
      <c r="Y494" s="267"/>
      <c r="Z494" s="267"/>
      <c r="AA494" s="267"/>
      <c r="AB494" s="267"/>
      <c r="AE494" s="267"/>
      <c r="AF494" s="267"/>
      <c r="AG494" s="267"/>
      <c r="AH494" s="267"/>
      <c r="AK494" s="267"/>
      <c r="AL494" s="267"/>
      <c r="AM494" s="267"/>
      <c r="AN494" s="267"/>
      <c r="AQ494" s="267"/>
      <c r="AR494" s="267"/>
      <c r="AS494" s="267"/>
      <c r="AT494" s="267"/>
      <c r="AW494" s="267"/>
      <c r="AX494" s="267"/>
      <c r="AY494" s="267"/>
      <c r="AZ494" s="267"/>
      <c r="BG494" s="269"/>
      <c r="BM494" s="269"/>
      <c r="BS494" s="269"/>
      <c r="BU494" s="267"/>
      <c r="BY494" s="267"/>
      <c r="CC494" s="267"/>
      <c r="CG494" s="267"/>
      <c r="CS494" s="267"/>
      <c r="CW494" s="270"/>
      <c r="CX494" s="267"/>
      <c r="DC494" s="267"/>
      <c r="DH494" s="267"/>
      <c r="DM494" s="267"/>
      <c r="DR494" s="267"/>
      <c r="DW494" s="267"/>
      <c r="EB494" s="267"/>
      <c r="EG494" s="267"/>
      <c r="EL494" s="267"/>
      <c r="EQ494" s="267"/>
      <c r="EU494" s="270"/>
      <c r="EV494" s="267"/>
      <c r="FC494" s="267"/>
      <c r="FD494" s="267"/>
      <c r="FE494" s="267"/>
      <c r="FF494" s="267"/>
      <c r="FG494" s="267"/>
      <c r="FL494" s="267"/>
      <c r="FM494" s="267"/>
      <c r="FN494" s="267"/>
      <c r="FO494" s="267"/>
      <c r="FP494" s="267"/>
      <c r="FQ494" s="264"/>
      <c r="FR494" s="264"/>
      <c r="FS494" s="264"/>
      <c r="FT494" s="264"/>
      <c r="FU494" s="267"/>
      <c r="FV494" s="267"/>
      <c r="FW494" s="267"/>
      <c r="FX494" s="267"/>
      <c r="FY494" s="267"/>
      <c r="GD494" s="267"/>
      <c r="GE494" s="267"/>
      <c r="GF494" s="267"/>
      <c r="GG494" s="267"/>
      <c r="GH494" s="267"/>
      <c r="GI494" s="264"/>
      <c r="GJ494" s="264"/>
      <c r="GK494" s="264"/>
      <c r="GL494" s="264"/>
      <c r="HD494" s="267"/>
      <c r="HE494" s="267"/>
      <c r="HF494" s="267"/>
      <c r="HG494" s="267"/>
      <c r="HH494" s="267"/>
      <c r="HI494" s="267"/>
      <c r="HJ494" s="267"/>
      <c r="HK494" s="267"/>
      <c r="HL494" s="267"/>
      <c r="HM494" s="267"/>
      <c r="HN494" s="267"/>
      <c r="HO494" s="267"/>
      <c r="HP494" s="267"/>
      <c r="HQ494" s="267"/>
      <c r="HR494" s="267"/>
      <c r="HS494" s="267"/>
      <c r="HT494" s="267"/>
      <c r="HU494" s="267"/>
      <c r="IH494" s="267"/>
      <c r="IK494" s="267"/>
      <c r="IN494" s="267"/>
      <c r="IQ494" s="267"/>
      <c r="IR494" s="267"/>
      <c r="IS494" s="267"/>
      <c r="IV494" s="267"/>
      <c r="IY494" s="267"/>
    </row>
    <row r="495" spans="10:259">
      <c r="J495" s="267"/>
      <c r="K495" s="267"/>
      <c r="L495" s="267"/>
      <c r="M495" s="267"/>
      <c r="N495" s="267"/>
      <c r="O495" s="267"/>
      <c r="P495" s="267"/>
      <c r="Q495" s="267"/>
      <c r="S495" s="267"/>
      <c r="T495" s="267"/>
      <c r="U495" s="267"/>
      <c r="V495" s="267"/>
      <c r="W495" s="264"/>
      <c r="Y495" s="267"/>
      <c r="Z495" s="267"/>
      <c r="AA495" s="267"/>
      <c r="AB495" s="267"/>
      <c r="AE495" s="267"/>
      <c r="AF495" s="267"/>
      <c r="AG495" s="267"/>
      <c r="AH495" s="267"/>
      <c r="AK495" s="267"/>
      <c r="AL495" s="267"/>
      <c r="AM495" s="267"/>
      <c r="AN495" s="267"/>
      <c r="AQ495" s="267"/>
      <c r="AR495" s="267"/>
      <c r="AS495" s="267"/>
      <c r="AT495" s="267"/>
      <c r="AW495" s="267"/>
      <c r="AX495" s="267"/>
      <c r="AY495" s="267"/>
      <c r="AZ495" s="267"/>
      <c r="BG495" s="269"/>
      <c r="BM495" s="269"/>
      <c r="BS495" s="269"/>
      <c r="BU495" s="267"/>
      <c r="BY495" s="267"/>
      <c r="CC495" s="267"/>
      <c r="CG495" s="267"/>
      <c r="CS495" s="267"/>
      <c r="CW495" s="270"/>
      <c r="CX495" s="267"/>
      <c r="DC495" s="267"/>
      <c r="DH495" s="267"/>
      <c r="DM495" s="267"/>
      <c r="DR495" s="267"/>
      <c r="DW495" s="267"/>
      <c r="EB495" s="267"/>
      <c r="EG495" s="267"/>
      <c r="EL495" s="267"/>
      <c r="EQ495" s="267"/>
      <c r="EU495" s="270"/>
      <c r="EV495" s="267"/>
      <c r="FC495" s="267"/>
      <c r="FD495" s="267"/>
      <c r="FE495" s="267"/>
      <c r="FF495" s="267"/>
      <c r="FG495" s="267"/>
      <c r="FL495" s="267"/>
      <c r="FM495" s="267"/>
      <c r="FN495" s="267"/>
      <c r="FO495" s="267"/>
      <c r="FP495" s="267"/>
      <c r="FQ495" s="264"/>
      <c r="FR495" s="264"/>
      <c r="FS495" s="264"/>
      <c r="FT495" s="264"/>
      <c r="FU495" s="267"/>
      <c r="FV495" s="267"/>
      <c r="FW495" s="267"/>
      <c r="FX495" s="267"/>
      <c r="FY495" s="267"/>
      <c r="GD495" s="267"/>
      <c r="GE495" s="267"/>
      <c r="GF495" s="267"/>
      <c r="GG495" s="267"/>
      <c r="GH495" s="267"/>
      <c r="GI495" s="264"/>
      <c r="GJ495" s="264"/>
      <c r="GK495" s="264"/>
      <c r="GL495" s="264"/>
      <c r="HD495" s="267"/>
      <c r="HE495" s="267"/>
      <c r="HF495" s="267"/>
      <c r="HG495" s="267"/>
      <c r="HH495" s="267"/>
      <c r="HI495" s="267"/>
      <c r="HJ495" s="267"/>
      <c r="HK495" s="267"/>
      <c r="HL495" s="267"/>
      <c r="HM495" s="267"/>
      <c r="HN495" s="267"/>
      <c r="HO495" s="267"/>
      <c r="HP495" s="267"/>
      <c r="HQ495" s="267"/>
      <c r="HR495" s="267"/>
      <c r="HS495" s="267"/>
      <c r="HT495" s="267"/>
      <c r="HU495" s="267"/>
      <c r="IH495" s="267"/>
      <c r="IK495" s="267"/>
      <c r="IN495" s="267"/>
      <c r="IQ495" s="267"/>
      <c r="IR495" s="267"/>
      <c r="IS495" s="267"/>
      <c r="IV495" s="267"/>
      <c r="IY495" s="267"/>
    </row>
    <row r="496" spans="10:259">
      <c r="J496" s="267"/>
      <c r="K496" s="267"/>
      <c r="L496" s="267"/>
      <c r="M496" s="267"/>
      <c r="N496" s="267"/>
      <c r="O496" s="267"/>
      <c r="P496" s="267"/>
      <c r="Q496" s="267"/>
      <c r="S496" s="267"/>
      <c r="T496" s="267"/>
      <c r="U496" s="267"/>
      <c r="V496" s="267"/>
      <c r="W496" s="264"/>
      <c r="Y496" s="267"/>
      <c r="Z496" s="267"/>
      <c r="AA496" s="267"/>
      <c r="AB496" s="267"/>
      <c r="AE496" s="267"/>
      <c r="AF496" s="267"/>
      <c r="AG496" s="267"/>
      <c r="AH496" s="267"/>
      <c r="AK496" s="267"/>
      <c r="AL496" s="267"/>
      <c r="AM496" s="267"/>
      <c r="AN496" s="267"/>
      <c r="AQ496" s="267"/>
      <c r="AR496" s="267"/>
      <c r="AS496" s="267"/>
      <c r="AT496" s="267"/>
      <c r="AW496" s="267"/>
      <c r="AX496" s="267"/>
      <c r="AY496" s="267"/>
      <c r="AZ496" s="267"/>
      <c r="BG496" s="269"/>
      <c r="BM496" s="269"/>
      <c r="BS496" s="269"/>
      <c r="BU496" s="267"/>
      <c r="BY496" s="267"/>
      <c r="CC496" s="267"/>
      <c r="CG496" s="267"/>
      <c r="CS496" s="267"/>
      <c r="CW496" s="270"/>
      <c r="CX496" s="267"/>
      <c r="DC496" s="267"/>
      <c r="DH496" s="267"/>
      <c r="DM496" s="267"/>
      <c r="DR496" s="267"/>
      <c r="DW496" s="267"/>
      <c r="EB496" s="267"/>
      <c r="EG496" s="267"/>
      <c r="EL496" s="267"/>
      <c r="EQ496" s="267"/>
      <c r="EU496" s="270"/>
      <c r="EV496" s="267"/>
      <c r="FC496" s="267"/>
      <c r="FD496" s="267"/>
      <c r="FE496" s="267"/>
      <c r="FF496" s="267"/>
      <c r="FG496" s="267"/>
      <c r="FL496" s="267"/>
      <c r="FM496" s="267"/>
      <c r="FN496" s="267"/>
      <c r="FO496" s="267"/>
      <c r="FP496" s="267"/>
      <c r="FQ496" s="264"/>
      <c r="FR496" s="264"/>
      <c r="FS496" s="264"/>
      <c r="FT496" s="264"/>
      <c r="FU496" s="267"/>
      <c r="FV496" s="267"/>
      <c r="FW496" s="267"/>
      <c r="FX496" s="267"/>
      <c r="FY496" s="267"/>
      <c r="GD496" s="267"/>
      <c r="GE496" s="267"/>
      <c r="GF496" s="267"/>
      <c r="GG496" s="267"/>
      <c r="GH496" s="267"/>
      <c r="GI496" s="264"/>
      <c r="GJ496" s="264"/>
      <c r="GK496" s="264"/>
      <c r="GL496" s="264"/>
      <c r="HD496" s="267"/>
      <c r="HE496" s="267"/>
      <c r="HF496" s="267"/>
      <c r="HG496" s="267"/>
      <c r="HH496" s="267"/>
      <c r="HI496" s="267"/>
      <c r="HJ496" s="267"/>
      <c r="HK496" s="267"/>
      <c r="HL496" s="267"/>
      <c r="HM496" s="267"/>
      <c r="HN496" s="267"/>
      <c r="HO496" s="267"/>
      <c r="HP496" s="267"/>
      <c r="HQ496" s="267"/>
      <c r="HR496" s="267"/>
      <c r="HS496" s="267"/>
      <c r="HT496" s="267"/>
      <c r="HU496" s="267"/>
      <c r="IH496" s="267"/>
      <c r="IK496" s="267"/>
      <c r="IN496" s="267"/>
      <c r="IQ496" s="267"/>
      <c r="IR496" s="267"/>
      <c r="IS496" s="267"/>
      <c r="IV496" s="267"/>
      <c r="IY496" s="267"/>
    </row>
    <row r="497" spans="10:259">
      <c r="J497" s="267"/>
      <c r="K497" s="267"/>
      <c r="L497" s="267"/>
      <c r="M497" s="267"/>
      <c r="N497" s="267"/>
      <c r="O497" s="267"/>
      <c r="P497" s="267"/>
      <c r="Q497" s="267"/>
      <c r="S497" s="267"/>
      <c r="T497" s="267"/>
      <c r="U497" s="267"/>
      <c r="V497" s="267"/>
      <c r="W497" s="264"/>
      <c r="Y497" s="267"/>
      <c r="Z497" s="267"/>
      <c r="AA497" s="267"/>
      <c r="AB497" s="267"/>
      <c r="AE497" s="267"/>
      <c r="AF497" s="267"/>
      <c r="AG497" s="267"/>
      <c r="AH497" s="267"/>
      <c r="AK497" s="267"/>
      <c r="AL497" s="267"/>
      <c r="AM497" s="267"/>
      <c r="AN497" s="267"/>
      <c r="AQ497" s="267"/>
      <c r="AR497" s="267"/>
      <c r="AS497" s="267"/>
      <c r="AT497" s="267"/>
      <c r="AW497" s="267"/>
      <c r="AX497" s="267"/>
      <c r="AY497" s="267"/>
      <c r="AZ497" s="267"/>
      <c r="BG497" s="269"/>
      <c r="BM497" s="269"/>
      <c r="BS497" s="269"/>
      <c r="BU497" s="267"/>
      <c r="BY497" s="267"/>
      <c r="CC497" s="267"/>
      <c r="CG497" s="267"/>
      <c r="CS497" s="267"/>
      <c r="CW497" s="270"/>
      <c r="CX497" s="267"/>
      <c r="DC497" s="267"/>
      <c r="DH497" s="267"/>
      <c r="DM497" s="267"/>
      <c r="DR497" s="267"/>
      <c r="DW497" s="267"/>
      <c r="EB497" s="267"/>
      <c r="EG497" s="267"/>
      <c r="EL497" s="267"/>
      <c r="EQ497" s="267"/>
      <c r="EU497" s="270"/>
      <c r="EV497" s="267"/>
      <c r="FC497" s="267"/>
      <c r="FD497" s="267"/>
      <c r="FE497" s="267"/>
      <c r="FF497" s="267"/>
      <c r="FG497" s="267"/>
      <c r="FL497" s="267"/>
      <c r="FM497" s="267"/>
      <c r="FN497" s="267"/>
      <c r="FO497" s="267"/>
      <c r="FP497" s="267"/>
      <c r="FQ497" s="264"/>
      <c r="FR497" s="264"/>
      <c r="FS497" s="264"/>
      <c r="FT497" s="264"/>
      <c r="FU497" s="267"/>
      <c r="FV497" s="267"/>
      <c r="FW497" s="267"/>
      <c r="FX497" s="267"/>
      <c r="FY497" s="267"/>
      <c r="GD497" s="267"/>
      <c r="GE497" s="267"/>
      <c r="GF497" s="267"/>
      <c r="GG497" s="267"/>
      <c r="GH497" s="267"/>
      <c r="GI497" s="264"/>
      <c r="GJ497" s="264"/>
      <c r="GK497" s="264"/>
      <c r="GL497" s="264"/>
      <c r="HD497" s="267"/>
      <c r="HE497" s="267"/>
      <c r="HF497" s="267"/>
      <c r="HG497" s="267"/>
      <c r="HH497" s="267"/>
      <c r="HI497" s="267"/>
      <c r="HJ497" s="267"/>
      <c r="HK497" s="267"/>
      <c r="HL497" s="267"/>
      <c r="HM497" s="267"/>
      <c r="HN497" s="267"/>
      <c r="HO497" s="267"/>
      <c r="HP497" s="267"/>
      <c r="HQ497" s="267"/>
      <c r="HR497" s="267"/>
      <c r="HS497" s="267"/>
      <c r="HT497" s="267"/>
      <c r="HU497" s="267"/>
      <c r="IH497" s="267"/>
      <c r="IK497" s="267"/>
      <c r="IN497" s="267"/>
      <c r="IQ497" s="267"/>
      <c r="IR497" s="267"/>
      <c r="IS497" s="267"/>
      <c r="IV497" s="267"/>
      <c r="IY497" s="267"/>
    </row>
    <row r="498" spans="10:259">
      <c r="J498" s="267"/>
      <c r="K498" s="267"/>
      <c r="L498" s="267"/>
      <c r="M498" s="267"/>
      <c r="N498" s="267"/>
      <c r="O498" s="267"/>
      <c r="P498" s="267"/>
      <c r="Q498" s="267"/>
      <c r="S498" s="267"/>
      <c r="T498" s="267"/>
      <c r="U498" s="267"/>
      <c r="V498" s="267"/>
      <c r="W498" s="264"/>
      <c r="Y498" s="267"/>
      <c r="Z498" s="267"/>
      <c r="AA498" s="267"/>
      <c r="AB498" s="267"/>
      <c r="AE498" s="267"/>
      <c r="AF498" s="267"/>
      <c r="AG498" s="267"/>
      <c r="AH498" s="267"/>
      <c r="AK498" s="267"/>
      <c r="AL498" s="267"/>
      <c r="AM498" s="267"/>
      <c r="AN498" s="267"/>
      <c r="AQ498" s="267"/>
      <c r="AR498" s="267"/>
      <c r="AS498" s="267"/>
      <c r="AT498" s="267"/>
      <c r="AW498" s="267"/>
      <c r="AX498" s="267"/>
      <c r="AY498" s="267"/>
      <c r="AZ498" s="267"/>
      <c r="BG498" s="269"/>
      <c r="BM498" s="269"/>
      <c r="BS498" s="269"/>
      <c r="BU498" s="267"/>
      <c r="BY498" s="267"/>
      <c r="CC498" s="267"/>
      <c r="CG498" s="267"/>
      <c r="CS498" s="267"/>
      <c r="CW498" s="270"/>
      <c r="CX498" s="267"/>
      <c r="DC498" s="267"/>
      <c r="DH498" s="267"/>
      <c r="DM498" s="267"/>
      <c r="DR498" s="267"/>
      <c r="DW498" s="267"/>
      <c r="EB498" s="267"/>
      <c r="EG498" s="267"/>
      <c r="EL498" s="267"/>
      <c r="EQ498" s="267"/>
      <c r="EU498" s="270"/>
      <c r="EV498" s="267"/>
      <c r="FC498" s="267"/>
      <c r="FD498" s="267"/>
      <c r="FE498" s="267"/>
      <c r="FF498" s="267"/>
      <c r="FG498" s="267"/>
      <c r="FL498" s="267"/>
      <c r="FM498" s="267"/>
      <c r="FN498" s="267"/>
      <c r="FO498" s="267"/>
      <c r="FP498" s="267"/>
      <c r="FQ498" s="264"/>
      <c r="FR498" s="264"/>
      <c r="FS498" s="264"/>
      <c r="FT498" s="264"/>
      <c r="FU498" s="267"/>
      <c r="FV498" s="267"/>
      <c r="FW498" s="267"/>
      <c r="FX498" s="267"/>
      <c r="FY498" s="267"/>
      <c r="GD498" s="267"/>
      <c r="GE498" s="267"/>
      <c r="GF498" s="267"/>
      <c r="GG498" s="267"/>
      <c r="GH498" s="267"/>
      <c r="GI498" s="264"/>
      <c r="GJ498" s="264"/>
      <c r="GK498" s="264"/>
      <c r="GL498" s="264"/>
      <c r="HD498" s="267"/>
      <c r="HE498" s="267"/>
      <c r="HF498" s="267"/>
      <c r="HG498" s="267"/>
      <c r="HH498" s="267"/>
      <c r="HI498" s="267"/>
      <c r="HJ498" s="267"/>
      <c r="HK498" s="267"/>
      <c r="HL498" s="267"/>
      <c r="HM498" s="267"/>
      <c r="HN498" s="267"/>
      <c r="HO498" s="267"/>
      <c r="HP498" s="267"/>
      <c r="HQ498" s="267"/>
      <c r="HR498" s="267"/>
      <c r="HS498" s="267"/>
      <c r="HT498" s="267"/>
      <c r="HU498" s="267"/>
      <c r="IH498" s="267"/>
      <c r="IK498" s="267"/>
      <c r="IN498" s="267"/>
      <c r="IQ498" s="267"/>
      <c r="IR498" s="267"/>
      <c r="IS498" s="267"/>
      <c r="IV498" s="267"/>
      <c r="IY498" s="267"/>
    </row>
    <row r="499" spans="10:259">
      <c r="J499" s="267"/>
      <c r="K499" s="267"/>
      <c r="L499" s="267"/>
      <c r="M499" s="267"/>
      <c r="N499" s="267"/>
      <c r="O499" s="267"/>
      <c r="P499" s="267"/>
      <c r="Q499" s="267"/>
      <c r="S499" s="267"/>
      <c r="T499" s="267"/>
      <c r="U499" s="267"/>
      <c r="V499" s="267"/>
      <c r="W499" s="264"/>
      <c r="Y499" s="267"/>
      <c r="Z499" s="267"/>
      <c r="AA499" s="267"/>
      <c r="AB499" s="267"/>
      <c r="AE499" s="267"/>
      <c r="AF499" s="267"/>
      <c r="AG499" s="267"/>
      <c r="AH499" s="267"/>
      <c r="AK499" s="267"/>
      <c r="AL499" s="267"/>
      <c r="AM499" s="267"/>
      <c r="AN499" s="267"/>
      <c r="AQ499" s="267"/>
      <c r="AR499" s="267"/>
      <c r="AS499" s="267"/>
      <c r="AT499" s="267"/>
      <c r="AW499" s="267"/>
      <c r="AX499" s="267"/>
      <c r="AY499" s="267"/>
      <c r="AZ499" s="267"/>
      <c r="BG499" s="269"/>
      <c r="BM499" s="269"/>
      <c r="BS499" s="269"/>
      <c r="BU499" s="267"/>
      <c r="BY499" s="267"/>
      <c r="CC499" s="267"/>
      <c r="CG499" s="267"/>
      <c r="CS499" s="267"/>
      <c r="CW499" s="270"/>
      <c r="CX499" s="267"/>
      <c r="DC499" s="267"/>
      <c r="DH499" s="267"/>
      <c r="DM499" s="267"/>
      <c r="DR499" s="267"/>
      <c r="DW499" s="267"/>
      <c r="EB499" s="267"/>
      <c r="EG499" s="267"/>
      <c r="EL499" s="267"/>
      <c r="EQ499" s="267"/>
      <c r="EU499" s="270"/>
      <c r="EV499" s="267"/>
      <c r="FC499" s="267"/>
      <c r="FD499" s="267"/>
      <c r="FE499" s="267"/>
      <c r="FF499" s="267"/>
      <c r="FG499" s="267"/>
      <c r="FL499" s="267"/>
      <c r="FM499" s="267"/>
      <c r="FN499" s="267"/>
      <c r="FO499" s="267"/>
      <c r="FP499" s="267"/>
      <c r="FQ499" s="264"/>
      <c r="FR499" s="264"/>
      <c r="FS499" s="264"/>
      <c r="FT499" s="264"/>
      <c r="FU499" s="267"/>
      <c r="FV499" s="267"/>
      <c r="FW499" s="267"/>
      <c r="FX499" s="267"/>
      <c r="FY499" s="267"/>
      <c r="GD499" s="267"/>
      <c r="GE499" s="267"/>
      <c r="GF499" s="267"/>
      <c r="GG499" s="267"/>
      <c r="GH499" s="267"/>
      <c r="GI499" s="264"/>
      <c r="GJ499" s="264"/>
      <c r="GK499" s="264"/>
      <c r="GL499" s="264"/>
      <c r="HD499" s="267"/>
      <c r="HE499" s="267"/>
      <c r="HF499" s="267"/>
      <c r="HG499" s="267"/>
      <c r="HH499" s="267"/>
      <c r="HI499" s="267"/>
      <c r="HJ499" s="267"/>
      <c r="HK499" s="267"/>
      <c r="HL499" s="267"/>
      <c r="HM499" s="267"/>
      <c r="HN499" s="267"/>
      <c r="HO499" s="267"/>
      <c r="HP499" s="267"/>
      <c r="HQ499" s="267"/>
      <c r="HR499" s="267"/>
      <c r="HS499" s="267"/>
      <c r="HT499" s="267"/>
      <c r="HU499" s="267"/>
      <c r="IH499" s="267"/>
      <c r="IK499" s="267"/>
      <c r="IN499" s="267"/>
      <c r="IQ499" s="267"/>
      <c r="IR499" s="267"/>
      <c r="IS499" s="267"/>
      <c r="IV499" s="267"/>
      <c r="IY499" s="267"/>
    </row>
    <row r="500" spans="10:259">
      <c r="J500" s="267"/>
      <c r="K500" s="267"/>
      <c r="L500" s="267"/>
      <c r="M500" s="267"/>
      <c r="N500" s="267"/>
      <c r="O500" s="267"/>
      <c r="P500" s="267"/>
      <c r="Q500" s="267"/>
      <c r="S500" s="267"/>
      <c r="T500" s="267"/>
      <c r="U500" s="267"/>
      <c r="V500" s="267"/>
      <c r="W500" s="264"/>
      <c r="Y500" s="267"/>
      <c r="Z500" s="267"/>
      <c r="AA500" s="267"/>
      <c r="AB500" s="267"/>
      <c r="AE500" s="267"/>
      <c r="AF500" s="267"/>
      <c r="AG500" s="267"/>
      <c r="AH500" s="267"/>
      <c r="AK500" s="267"/>
      <c r="AL500" s="267"/>
      <c r="AM500" s="267"/>
      <c r="AN500" s="267"/>
      <c r="AQ500" s="267"/>
      <c r="AR500" s="267"/>
      <c r="AS500" s="267"/>
      <c r="AT500" s="267"/>
      <c r="AW500" s="267"/>
      <c r="AX500" s="267"/>
      <c r="AY500" s="267"/>
      <c r="AZ500" s="267"/>
      <c r="BG500" s="269"/>
      <c r="BM500" s="269"/>
      <c r="BS500" s="269"/>
      <c r="BU500" s="267"/>
      <c r="BY500" s="267"/>
      <c r="CC500" s="267"/>
      <c r="CG500" s="267"/>
      <c r="CS500" s="267"/>
      <c r="CW500" s="270"/>
      <c r="CX500" s="267"/>
      <c r="DC500" s="267"/>
      <c r="DH500" s="267"/>
      <c r="DM500" s="267"/>
      <c r="DR500" s="267"/>
      <c r="DW500" s="267"/>
      <c r="EB500" s="267"/>
      <c r="EG500" s="267"/>
      <c r="EL500" s="267"/>
      <c r="EQ500" s="267"/>
      <c r="EU500" s="270"/>
      <c r="EV500" s="267"/>
      <c r="FC500" s="267"/>
      <c r="FD500" s="267"/>
      <c r="FE500" s="267"/>
      <c r="FF500" s="267"/>
      <c r="FG500" s="267"/>
      <c r="FL500" s="267"/>
      <c r="FM500" s="267"/>
      <c r="FN500" s="267"/>
      <c r="FO500" s="267"/>
      <c r="FP500" s="267"/>
      <c r="FQ500" s="264"/>
      <c r="FR500" s="264"/>
      <c r="FS500" s="264"/>
      <c r="FT500" s="264"/>
      <c r="FU500" s="267"/>
      <c r="FV500" s="267"/>
      <c r="FW500" s="267"/>
      <c r="FX500" s="267"/>
      <c r="FY500" s="267"/>
      <c r="GD500" s="267"/>
      <c r="GE500" s="267"/>
      <c r="GF500" s="267"/>
      <c r="GG500" s="267"/>
      <c r="GH500" s="267"/>
      <c r="GI500" s="264"/>
      <c r="GJ500" s="264"/>
      <c r="GK500" s="264"/>
      <c r="GL500" s="264"/>
      <c r="HD500" s="267"/>
      <c r="HE500" s="267"/>
      <c r="HF500" s="267"/>
      <c r="HG500" s="267"/>
      <c r="HH500" s="267"/>
      <c r="HI500" s="267"/>
      <c r="HJ500" s="267"/>
      <c r="HK500" s="267"/>
      <c r="HL500" s="267"/>
      <c r="HM500" s="267"/>
      <c r="HN500" s="267"/>
      <c r="HO500" s="267"/>
      <c r="HP500" s="267"/>
      <c r="HQ500" s="267"/>
      <c r="HR500" s="267"/>
      <c r="HS500" s="267"/>
      <c r="HT500" s="267"/>
      <c r="HU500" s="267"/>
      <c r="IH500" s="267"/>
      <c r="IK500" s="267"/>
      <c r="IN500" s="267"/>
      <c r="IQ500" s="267"/>
      <c r="IR500" s="267"/>
      <c r="IS500" s="267"/>
      <c r="IV500" s="267"/>
      <c r="IY500" s="267"/>
    </row>
    <row r="501" spans="10:259">
      <c r="J501" s="267"/>
      <c r="K501" s="267"/>
      <c r="L501" s="267"/>
      <c r="M501" s="267"/>
      <c r="N501" s="267"/>
      <c r="O501" s="267"/>
      <c r="P501" s="267"/>
      <c r="Q501" s="267"/>
      <c r="S501" s="267"/>
      <c r="T501" s="267"/>
      <c r="U501" s="267"/>
      <c r="V501" s="267"/>
      <c r="W501" s="264"/>
      <c r="Y501" s="267"/>
      <c r="Z501" s="267"/>
      <c r="AA501" s="267"/>
      <c r="AB501" s="267"/>
      <c r="AE501" s="267"/>
      <c r="AF501" s="267"/>
      <c r="AG501" s="267"/>
      <c r="AH501" s="267"/>
      <c r="AK501" s="267"/>
      <c r="AL501" s="267"/>
      <c r="AM501" s="267"/>
      <c r="AN501" s="267"/>
      <c r="AQ501" s="267"/>
      <c r="AR501" s="267"/>
      <c r="AS501" s="267"/>
      <c r="AT501" s="267"/>
      <c r="AW501" s="267"/>
      <c r="AX501" s="267"/>
      <c r="AY501" s="267"/>
      <c r="AZ501" s="267"/>
      <c r="BG501" s="269"/>
      <c r="BM501" s="269"/>
      <c r="BS501" s="269"/>
      <c r="BU501" s="267"/>
      <c r="BY501" s="267"/>
      <c r="CC501" s="267"/>
      <c r="CG501" s="267"/>
      <c r="CS501" s="267"/>
      <c r="CW501" s="270"/>
      <c r="CX501" s="267"/>
      <c r="DC501" s="267"/>
      <c r="DH501" s="267"/>
      <c r="DM501" s="267"/>
      <c r="DR501" s="267"/>
      <c r="DW501" s="267"/>
      <c r="EB501" s="267"/>
      <c r="EG501" s="267"/>
      <c r="EL501" s="267"/>
      <c r="EQ501" s="267"/>
      <c r="EU501" s="270"/>
      <c r="EV501" s="267"/>
      <c r="FC501" s="267"/>
      <c r="FD501" s="267"/>
      <c r="FE501" s="267"/>
      <c r="FF501" s="267"/>
      <c r="FG501" s="267"/>
      <c r="FL501" s="267"/>
      <c r="FM501" s="267"/>
      <c r="FN501" s="267"/>
      <c r="FO501" s="267"/>
      <c r="FP501" s="267"/>
      <c r="FQ501" s="264"/>
      <c r="FR501" s="264"/>
      <c r="FS501" s="264"/>
      <c r="FT501" s="264"/>
      <c r="FU501" s="267"/>
      <c r="FV501" s="267"/>
      <c r="FW501" s="267"/>
      <c r="FX501" s="267"/>
      <c r="FY501" s="267"/>
      <c r="GD501" s="267"/>
      <c r="GE501" s="267"/>
      <c r="GF501" s="267"/>
      <c r="GG501" s="267"/>
      <c r="GH501" s="267"/>
      <c r="GI501" s="264"/>
      <c r="GJ501" s="264"/>
      <c r="GK501" s="264"/>
      <c r="GL501" s="264"/>
      <c r="HD501" s="267"/>
      <c r="HE501" s="267"/>
      <c r="HF501" s="267"/>
      <c r="HG501" s="267"/>
      <c r="HH501" s="267"/>
      <c r="HI501" s="267"/>
      <c r="HJ501" s="267"/>
      <c r="HK501" s="267"/>
      <c r="HL501" s="267"/>
      <c r="HM501" s="267"/>
      <c r="HN501" s="267"/>
      <c r="HO501" s="267"/>
      <c r="HP501" s="267"/>
      <c r="HQ501" s="267"/>
      <c r="HR501" s="267"/>
      <c r="HS501" s="267"/>
      <c r="HT501" s="267"/>
      <c r="HU501" s="267"/>
      <c r="IH501" s="267"/>
      <c r="IK501" s="267"/>
      <c r="IN501" s="267"/>
      <c r="IQ501" s="267"/>
      <c r="IR501" s="267"/>
      <c r="IS501" s="267"/>
      <c r="IV501" s="267"/>
      <c r="IY501" s="267"/>
    </row>
    <row r="502" spans="10:259">
      <c r="J502" s="267"/>
      <c r="K502" s="267"/>
      <c r="L502" s="267"/>
      <c r="M502" s="267"/>
      <c r="N502" s="267"/>
      <c r="O502" s="267"/>
      <c r="P502" s="267"/>
      <c r="Q502" s="267"/>
      <c r="S502" s="267"/>
      <c r="T502" s="267"/>
      <c r="U502" s="267"/>
      <c r="V502" s="267"/>
      <c r="W502" s="264"/>
      <c r="Y502" s="267"/>
      <c r="Z502" s="267"/>
      <c r="AA502" s="267"/>
      <c r="AB502" s="267"/>
      <c r="AE502" s="267"/>
      <c r="AF502" s="267"/>
      <c r="AG502" s="267"/>
      <c r="AH502" s="267"/>
      <c r="AK502" s="267"/>
      <c r="AL502" s="267"/>
      <c r="AM502" s="267"/>
      <c r="AN502" s="267"/>
      <c r="AQ502" s="267"/>
      <c r="AR502" s="267"/>
      <c r="AS502" s="267"/>
      <c r="AT502" s="267"/>
      <c r="AW502" s="267"/>
      <c r="AX502" s="267"/>
      <c r="AY502" s="267"/>
      <c r="AZ502" s="267"/>
      <c r="BG502" s="269"/>
      <c r="BM502" s="269"/>
      <c r="BS502" s="269"/>
      <c r="BU502" s="267"/>
      <c r="BY502" s="267"/>
      <c r="CC502" s="267"/>
      <c r="CG502" s="267"/>
      <c r="CS502" s="267"/>
      <c r="CW502" s="270"/>
      <c r="CX502" s="267"/>
      <c r="DC502" s="267"/>
      <c r="DH502" s="267"/>
      <c r="DM502" s="267"/>
      <c r="DR502" s="267"/>
      <c r="DW502" s="267"/>
      <c r="EB502" s="267"/>
      <c r="EG502" s="267"/>
      <c r="EL502" s="267"/>
      <c r="EQ502" s="267"/>
      <c r="EU502" s="270"/>
      <c r="EV502" s="267"/>
      <c r="FC502" s="267"/>
      <c r="FD502" s="267"/>
      <c r="FE502" s="267"/>
      <c r="FF502" s="267"/>
      <c r="FG502" s="267"/>
      <c r="FL502" s="267"/>
      <c r="FM502" s="267"/>
      <c r="FN502" s="267"/>
      <c r="FO502" s="267"/>
      <c r="FP502" s="267"/>
      <c r="FQ502" s="264"/>
      <c r="FR502" s="264"/>
      <c r="FS502" s="264"/>
      <c r="FT502" s="264"/>
      <c r="FU502" s="267"/>
      <c r="FV502" s="267"/>
      <c r="FW502" s="267"/>
      <c r="FX502" s="267"/>
      <c r="FY502" s="267"/>
      <c r="GD502" s="267"/>
      <c r="GE502" s="267"/>
      <c r="GF502" s="267"/>
      <c r="GG502" s="267"/>
      <c r="GH502" s="267"/>
      <c r="GI502" s="264"/>
      <c r="GJ502" s="264"/>
      <c r="GK502" s="264"/>
      <c r="GL502" s="264"/>
      <c r="HD502" s="267"/>
      <c r="HE502" s="267"/>
      <c r="HF502" s="267"/>
      <c r="HG502" s="267"/>
      <c r="HH502" s="267"/>
      <c r="HI502" s="267"/>
      <c r="HJ502" s="267"/>
      <c r="HK502" s="267"/>
      <c r="HL502" s="267"/>
      <c r="HM502" s="267"/>
      <c r="HN502" s="267"/>
      <c r="HO502" s="267"/>
      <c r="HP502" s="267"/>
      <c r="HQ502" s="267"/>
      <c r="HR502" s="267"/>
      <c r="HS502" s="267"/>
      <c r="HT502" s="267"/>
      <c r="HU502" s="267"/>
      <c r="IH502" s="267"/>
      <c r="IK502" s="267"/>
      <c r="IN502" s="267"/>
      <c r="IQ502" s="267"/>
      <c r="IR502" s="267"/>
      <c r="IS502" s="267"/>
      <c r="IV502" s="267"/>
      <c r="IY502" s="267"/>
    </row>
    <row r="503" spans="10:259">
      <c r="J503" s="267"/>
      <c r="K503" s="267"/>
      <c r="L503" s="267"/>
      <c r="M503" s="267"/>
      <c r="N503" s="267"/>
      <c r="O503" s="267"/>
      <c r="P503" s="267"/>
      <c r="Q503" s="267"/>
      <c r="S503" s="267"/>
      <c r="T503" s="267"/>
      <c r="U503" s="267"/>
      <c r="V503" s="267"/>
      <c r="W503" s="264"/>
      <c r="Y503" s="267"/>
      <c r="Z503" s="267"/>
      <c r="AA503" s="267"/>
      <c r="AB503" s="267"/>
      <c r="AE503" s="267"/>
      <c r="AF503" s="267"/>
      <c r="AG503" s="267"/>
      <c r="AH503" s="267"/>
      <c r="AK503" s="267"/>
      <c r="AL503" s="267"/>
      <c r="AM503" s="267"/>
      <c r="AN503" s="267"/>
      <c r="AQ503" s="267"/>
      <c r="AR503" s="267"/>
      <c r="AS503" s="267"/>
      <c r="AT503" s="267"/>
      <c r="AW503" s="267"/>
      <c r="AX503" s="267"/>
      <c r="AY503" s="267"/>
      <c r="AZ503" s="267"/>
      <c r="BG503" s="269"/>
      <c r="BM503" s="269"/>
      <c r="BS503" s="269"/>
      <c r="BU503" s="267"/>
      <c r="BY503" s="267"/>
      <c r="CC503" s="267"/>
      <c r="CG503" s="267"/>
      <c r="CS503" s="267"/>
      <c r="CW503" s="270"/>
      <c r="CX503" s="267"/>
      <c r="DC503" s="267"/>
      <c r="DH503" s="267"/>
      <c r="DM503" s="267"/>
      <c r="DR503" s="267"/>
      <c r="DW503" s="267"/>
      <c r="EB503" s="267"/>
      <c r="EG503" s="267"/>
      <c r="EL503" s="267"/>
      <c r="EQ503" s="267"/>
      <c r="EU503" s="270"/>
      <c r="EV503" s="267"/>
      <c r="FC503" s="267"/>
      <c r="FD503" s="267"/>
      <c r="FE503" s="267"/>
      <c r="FF503" s="267"/>
      <c r="FG503" s="267"/>
      <c r="FL503" s="267"/>
      <c r="FM503" s="267"/>
      <c r="FN503" s="267"/>
      <c r="FO503" s="267"/>
      <c r="FP503" s="267"/>
      <c r="FQ503" s="264"/>
      <c r="FR503" s="264"/>
      <c r="FS503" s="264"/>
      <c r="FT503" s="264"/>
      <c r="FU503" s="267"/>
      <c r="FV503" s="267"/>
      <c r="FW503" s="267"/>
      <c r="FX503" s="267"/>
      <c r="FY503" s="267"/>
      <c r="GD503" s="267"/>
      <c r="GE503" s="267"/>
      <c r="GF503" s="267"/>
      <c r="GG503" s="267"/>
      <c r="GH503" s="267"/>
      <c r="GI503" s="264"/>
      <c r="GJ503" s="264"/>
      <c r="GK503" s="264"/>
      <c r="GL503" s="264"/>
      <c r="HD503" s="267"/>
      <c r="HE503" s="267"/>
      <c r="HF503" s="267"/>
      <c r="HG503" s="267"/>
      <c r="HH503" s="267"/>
      <c r="HI503" s="267"/>
      <c r="HJ503" s="267"/>
      <c r="HK503" s="267"/>
      <c r="HL503" s="267"/>
      <c r="HM503" s="267"/>
      <c r="HN503" s="267"/>
      <c r="HO503" s="267"/>
      <c r="HP503" s="267"/>
      <c r="HQ503" s="267"/>
      <c r="HR503" s="267"/>
      <c r="HS503" s="267"/>
      <c r="HT503" s="267"/>
      <c r="HU503" s="267"/>
      <c r="IH503" s="267"/>
      <c r="IK503" s="267"/>
      <c r="IN503" s="267"/>
      <c r="IQ503" s="267"/>
      <c r="IR503" s="267"/>
      <c r="IS503" s="267"/>
      <c r="IV503" s="267"/>
      <c r="IY503" s="267"/>
    </row>
    <row r="504" spans="10:259">
      <c r="J504" s="267"/>
      <c r="K504" s="267"/>
      <c r="L504" s="267"/>
      <c r="M504" s="267"/>
      <c r="N504" s="267"/>
      <c r="O504" s="267"/>
      <c r="P504" s="267"/>
      <c r="Q504" s="267"/>
      <c r="S504" s="267"/>
      <c r="T504" s="267"/>
      <c r="U504" s="267"/>
      <c r="V504" s="267"/>
      <c r="W504" s="264"/>
      <c r="Y504" s="267"/>
      <c r="Z504" s="267"/>
      <c r="AA504" s="267"/>
      <c r="AB504" s="267"/>
      <c r="AE504" s="267"/>
      <c r="AF504" s="267"/>
      <c r="AG504" s="267"/>
      <c r="AH504" s="267"/>
      <c r="AK504" s="267"/>
      <c r="AL504" s="267"/>
      <c r="AM504" s="267"/>
      <c r="AN504" s="267"/>
      <c r="AQ504" s="267"/>
      <c r="AR504" s="267"/>
      <c r="AS504" s="267"/>
      <c r="AT504" s="267"/>
      <c r="AW504" s="267"/>
      <c r="AX504" s="267"/>
      <c r="AY504" s="267"/>
      <c r="AZ504" s="267"/>
      <c r="BG504" s="269"/>
      <c r="BM504" s="269"/>
      <c r="BS504" s="269"/>
      <c r="BU504" s="267"/>
      <c r="BY504" s="267"/>
      <c r="CC504" s="267"/>
      <c r="CG504" s="267"/>
      <c r="CS504" s="267"/>
      <c r="CW504" s="270"/>
      <c r="CX504" s="267"/>
      <c r="DC504" s="267"/>
      <c r="DH504" s="267"/>
      <c r="DM504" s="267"/>
      <c r="DR504" s="267"/>
      <c r="DW504" s="267"/>
      <c r="EB504" s="267"/>
      <c r="EG504" s="267"/>
      <c r="EL504" s="267"/>
      <c r="EQ504" s="267"/>
      <c r="EU504" s="270"/>
      <c r="EV504" s="267"/>
      <c r="FC504" s="267"/>
      <c r="FD504" s="267"/>
      <c r="FE504" s="267"/>
      <c r="FF504" s="267"/>
      <c r="FG504" s="267"/>
      <c r="FL504" s="267"/>
      <c r="FM504" s="267"/>
      <c r="FN504" s="267"/>
      <c r="FO504" s="267"/>
      <c r="FP504" s="267"/>
      <c r="FQ504" s="264"/>
      <c r="FR504" s="264"/>
      <c r="FS504" s="264"/>
      <c r="FT504" s="264"/>
      <c r="FU504" s="267"/>
      <c r="FV504" s="267"/>
      <c r="FW504" s="267"/>
      <c r="FX504" s="267"/>
      <c r="FY504" s="267"/>
      <c r="GD504" s="267"/>
      <c r="GE504" s="267"/>
      <c r="GF504" s="267"/>
      <c r="GG504" s="267"/>
      <c r="GH504" s="267"/>
      <c r="GI504" s="264"/>
      <c r="GJ504" s="264"/>
      <c r="GK504" s="264"/>
      <c r="GL504" s="264"/>
      <c r="HD504" s="267"/>
      <c r="HE504" s="267"/>
      <c r="HF504" s="267"/>
      <c r="HG504" s="267"/>
      <c r="HH504" s="267"/>
      <c r="HI504" s="267"/>
      <c r="HJ504" s="267"/>
      <c r="HK504" s="267"/>
      <c r="HL504" s="267"/>
      <c r="HM504" s="267"/>
      <c r="HN504" s="267"/>
      <c r="HO504" s="267"/>
      <c r="HP504" s="267"/>
      <c r="HQ504" s="267"/>
      <c r="HR504" s="267"/>
      <c r="HS504" s="267"/>
      <c r="HT504" s="267"/>
      <c r="HU504" s="267"/>
      <c r="IH504" s="267"/>
      <c r="IK504" s="267"/>
      <c r="IN504" s="267"/>
      <c r="IQ504" s="267"/>
      <c r="IR504" s="267"/>
      <c r="IS504" s="267"/>
      <c r="IV504" s="267"/>
      <c r="IY504" s="267"/>
    </row>
    <row r="505" spans="10:259">
      <c r="J505" s="267"/>
      <c r="K505" s="267"/>
      <c r="L505" s="267"/>
      <c r="M505" s="267"/>
      <c r="N505" s="267"/>
      <c r="O505" s="267"/>
      <c r="P505" s="267"/>
      <c r="Q505" s="267"/>
      <c r="S505" s="267"/>
      <c r="T505" s="267"/>
      <c r="U505" s="267"/>
      <c r="V505" s="267"/>
      <c r="W505" s="264"/>
      <c r="Y505" s="267"/>
      <c r="Z505" s="267"/>
      <c r="AA505" s="267"/>
      <c r="AB505" s="267"/>
      <c r="AE505" s="267"/>
      <c r="AF505" s="267"/>
      <c r="AG505" s="267"/>
      <c r="AH505" s="267"/>
      <c r="AK505" s="267"/>
      <c r="AL505" s="267"/>
      <c r="AM505" s="267"/>
      <c r="AN505" s="267"/>
      <c r="AQ505" s="267"/>
      <c r="AR505" s="267"/>
      <c r="AS505" s="267"/>
      <c r="AT505" s="267"/>
      <c r="AW505" s="267"/>
      <c r="AX505" s="267"/>
      <c r="AY505" s="267"/>
      <c r="AZ505" s="267"/>
      <c r="BG505" s="269"/>
      <c r="BM505" s="269"/>
      <c r="BS505" s="269"/>
      <c r="BU505" s="267"/>
      <c r="BY505" s="267"/>
      <c r="CC505" s="267"/>
      <c r="CG505" s="267"/>
      <c r="CS505" s="267"/>
      <c r="CW505" s="270"/>
      <c r="CX505" s="267"/>
      <c r="DC505" s="267"/>
      <c r="DH505" s="267"/>
      <c r="DM505" s="267"/>
      <c r="DR505" s="267"/>
      <c r="DW505" s="267"/>
      <c r="EB505" s="267"/>
      <c r="EG505" s="267"/>
      <c r="EL505" s="267"/>
      <c r="EQ505" s="267"/>
      <c r="EU505" s="270"/>
      <c r="EV505" s="267"/>
      <c r="FC505" s="267"/>
      <c r="FD505" s="267"/>
      <c r="FE505" s="267"/>
      <c r="FF505" s="267"/>
      <c r="FG505" s="267"/>
      <c r="FL505" s="267"/>
      <c r="FM505" s="267"/>
      <c r="FN505" s="267"/>
      <c r="FO505" s="267"/>
      <c r="FP505" s="267"/>
      <c r="FQ505" s="264"/>
      <c r="FR505" s="264"/>
      <c r="FS505" s="264"/>
      <c r="FT505" s="264"/>
      <c r="FU505" s="267"/>
      <c r="FV505" s="267"/>
      <c r="FW505" s="267"/>
      <c r="FX505" s="267"/>
      <c r="FY505" s="267"/>
      <c r="GD505" s="267"/>
      <c r="GE505" s="267"/>
      <c r="GF505" s="267"/>
      <c r="GG505" s="267"/>
      <c r="GH505" s="267"/>
      <c r="GI505" s="264"/>
      <c r="GJ505" s="264"/>
      <c r="GK505" s="264"/>
      <c r="GL505" s="264"/>
      <c r="HD505" s="267"/>
      <c r="HE505" s="267"/>
      <c r="HF505" s="267"/>
      <c r="HG505" s="267"/>
      <c r="HH505" s="267"/>
      <c r="HI505" s="267"/>
      <c r="HJ505" s="267"/>
      <c r="HK505" s="267"/>
      <c r="HL505" s="267"/>
      <c r="HM505" s="267"/>
      <c r="HN505" s="267"/>
      <c r="HO505" s="267"/>
      <c r="HP505" s="267"/>
      <c r="HQ505" s="267"/>
      <c r="HR505" s="267"/>
      <c r="HS505" s="267"/>
      <c r="HT505" s="267"/>
      <c r="HU505" s="267"/>
      <c r="IH505" s="267"/>
      <c r="IK505" s="267"/>
      <c r="IN505" s="267"/>
      <c r="IQ505" s="267"/>
      <c r="IR505" s="267"/>
      <c r="IS505" s="267"/>
      <c r="IV505" s="267"/>
      <c r="IY505" s="267"/>
    </row>
    <row r="506" spans="10:259">
      <c r="J506" s="267"/>
      <c r="K506" s="267"/>
      <c r="L506" s="267"/>
      <c r="M506" s="267"/>
      <c r="N506" s="267"/>
      <c r="O506" s="267"/>
      <c r="P506" s="267"/>
      <c r="Q506" s="267"/>
      <c r="S506" s="267"/>
      <c r="T506" s="267"/>
      <c r="U506" s="267"/>
      <c r="V506" s="267"/>
      <c r="W506" s="264"/>
      <c r="Y506" s="267"/>
      <c r="Z506" s="267"/>
      <c r="AA506" s="267"/>
      <c r="AB506" s="267"/>
      <c r="AE506" s="267"/>
      <c r="AF506" s="267"/>
      <c r="AG506" s="267"/>
      <c r="AH506" s="267"/>
      <c r="AK506" s="267"/>
      <c r="AL506" s="267"/>
      <c r="AM506" s="267"/>
      <c r="AN506" s="267"/>
      <c r="AQ506" s="267"/>
      <c r="AR506" s="267"/>
      <c r="AS506" s="267"/>
      <c r="AT506" s="267"/>
      <c r="AW506" s="267"/>
      <c r="AX506" s="267"/>
      <c r="AY506" s="267"/>
      <c r="AZ506" s="267"/>
      <c r="BG506" s="269"/>
      <c r="BM506" s="269"/>
      <c r="BS506" s="269"/>
      <c r="BU506" s="267"/>
      <c r="BY506" s="267"/>
      <c r="CC506" s="267"/>
      <c r="CG506" s="267"/>
      <c r="CS506" s="267"/>
      <c r="CW506" s="270"/>
      <c r="CX506" s="267"/>
      <c r="DC506" s="267"/>
      <c r="DH506" s="267"/>
      <c r="DM506" s="267"/>
      <c r="DR506" s="267"/>
      <c r="DW506" s="267"/>
      <c r="EB506" s="267"/>
      <c r="EG506" s="267"/>
      <c r="EL506" s="267"/>
      <c r="EQ506" s="267"/>
      <c r="EU506" s="270"/>
      <c r="EV506" s="267"/>
      <c r="FC506" s="267"/>
      <c r="FD506" s="267"/>
      <c r="FE506" s="267"/>
      <c r="FF506" s="267"/>
      <c r="FG506" s="267"/>
      <c r="FL506" s="267"/>
      <c r="FM506" s="267"/>
      <c r="FN506" s="267"/>
      <c r="FO506" s="267"/>
      <c r="FP506" s="267"/>
      <c r="FQ506" s="264"/>
      <c r="FR506" s="264"/>
      <c r="FS506" s="264"/>
      <c r="FT506" s="264"/>
      <c r="FU506" s="267"/>
      <c r="FV506" s="267"/>
      <c r="FW506" s="267"/>
      <c r="FX506" s="267"/>
      <c r="FY506" s="267"/>
      <c r="GD506" s="267"/>
      <c r="GE506" s="267"/>
      <c r="GF506" s="267"/>
      <c r="GG506" s="267"/>
      <c r="GH506" s="267"/>
      <c r="GI506" s="264"/>
      <c r="GJ506" s="264"/>
      <c r="GK506" s="264"/>
      <c r="GL506" s="264"/>
      <c r="HD506" s="267"/>
      <c r="HE506" s="267"/>
      <c r="HF506" s="267"/>
      <c r="HG506" s="267"/>
      <c r="HH506" s="267"/>
      <c r="HI506" s="267"/>
      <c r="HJ506" s="267"/>
      <c r="HK506" s="267"/>
      <c r="HL506" s="267"/>
      <c r="HM506" s="267"/>
      <c r="HN506" s="267"/>
      <c r="HO506" s="267"/>
      <c r="HP506" s="267"/>
      <c r="HQ506" s="267"/>
      <c r="HR506" s="267"/>
      <c r="HS506" s="267"/>
      <c r="HT506" s="267"/>
      <c r="HU506" s="267"/>
      <c r="IH506" s="267"/>
      <c r="IK506" s="267"/>
      <c r="IN506" s="267"/>
      <c r="IQ506" s="267"/>
      <c r="IR506" s="267"/>
      <c r="IS506" s="267"/>
      <c r="IV506" s="267"/>
      <c r="IY506" s="267"/>
    </row>
    <row r="507" spans="10:259">
      <c r="J507" s="267"/>
      <c r="K507" s="267"/>
      <c r="L507" s="267"/>
      <c r="M507" s="267"/>
      <c r="N507" s="267"/>
      <c r="O507" s="267"/>
      <c r="P507" s="267"/>
      <c r="Q507" s="267"/>
      <c r="S507" s="267"/>
      <c r="T507" s="267"/>
      <c r="U507" s="267"/>
      <c r="V507" s="267"/>
      <c r="W507" s="264"/>
      <c r="Y507" s="267"/>
      <c r="Z507" s="267"/>
      <c r="AA507" s="267"/>
      <c r="AB507" s="267"/>
      <c r="AE507" s="267"/>
      <c r="AF507" s="267"/>
      <c r="AG507" s="267"/>
      <c r="AH507" s="267"/>
      <c r="AK507" s="267"/>
      <c r="AL507" s="267"/>
      <c r="AM507" s="267"/>
      <c r="AN507" s="267"/>
      <c r="AQ507" s="267"/>
      <c r="AR507" s="267"/>
      <c r="AS507" s="267"/>
      <c r="AT507" s="267"/>
      <c r="AW507" s="267"/>
      <c r="AX507" s="267"/>
      <c r="AY507" s="267"/>
      <c r="AZ507" s="267"/>
      <c r="BG507" s="269"/>
      <c r="BM507" s="269"/>
      <c r="BS507" s="269"/>
      <c r="BU507" s="267"/>
      <c r="BY507" s="267"/>
      <c r="CC507" s="267"/>
      <c r="CG507" s="267"/>
      <c r="CS507" s="267"/>
      <c r="CW507" s="270"/>
      <c r="CX507" s="267"/>
      <c r="DC507" s="267"/>
      <c r="DH507" s="267"/>
      <c r="DM507" s="267"/>
      <c r="DR507" s="267"/>
      <c r="DW507" s="267"/>
      <c r="EB507" s="267"/>
      <c r="EG507" s="267"/>
      <c r="EL507" s="267"/>
      <c r="EQ507" s="267"/>
      <c r="EU507" s="270"/>
      <c r="EV507" s="267"/>
      <c r="FC507" s="267"/>
      <c r="FD507" s="267"/>
      <c r="FE507" s="267"/>
      <c r="FF507" s="267"/>
      <c r="FG507" s="267"/>
      <c r="FL507" s="267"/>
      <c r="FM507" s="267"/>
      <c r="FN507" s="267"/>
      <c r="FO507" s="267"/>
      <c r="FP507" s="267"/>
      <c r="FQ507" s="264"/>
      <c r="FR507" s="264"/>
      <c r="FS507" s="264"/>
      <c r="FT507" s="264"/>
      <c r="FU507" s="267"/>
      <c r="FV507" s="267"/>
      <c r="FW507" s="267"/>
      <c r="FX507" s="267"/>
      <c r="FY507" s="267"/>
      <c r="GD507" s="267"/>
      <c r="GE507" s="267"/>
      <c r="GF507" s="267"/>
      <c r="GG507" s="267"/>
      <c r="GH507" s="267"/>
      <c r="GI507" s="264"/>
      <c r="GJ507" s="264"/>
      <c r="GK507" s="264"/>
      <c r="GL507" s="264"/>
      <c r="HD507" s="267"/>
      <c r="HE507" s="267"/>
      <c r="HF507" s="267"/>
      <c r="HG507" s="267"/>
      <c r="HH507" s="267"/>
      <c r="HI507" s="267"/>
      <c r="HJ507" s="267"/>
      <c r="HK507" s="267"/>
      <c r="HL507" s="267"/>
      <c r="HM507" s="267"/>
      <c r="HN507" s="267"/>
      <c r="HO507" s="267"/>
      <c r="HP507" s="267"/>
      <c r="HQ507" s="267"/>
      <c r="HR507" s="267"/>
      <c r="HS507" s="267"/>
      <c r="HT507" s="267"/>
      <c r="HU507" s="267"/>
      <c r="IH507" s="267"/>
      <c r="IK507" s="267"/>
      <c r="IN507" s="267"/>
      <c r="IQ507" s="267"/>
      <c r="IR507" s="267"/>
      <c r="IS507" s="267"/>
      <c r="IV507" s="267"/>
      <c r="IY507" s="267"/>
    </row>
    <row r="508" spans="10:259">
      <c r="J508" s="267"/>
      <c r="K508" s="267"/>
      <c r="L508" s="267"/>
      <c r="M508" s="267"/>
      <c r="N508" s="267"/>
      <c r="O508" s="267"/>
      <c r="P508" s="267"/>
      <c r="Q508" s="267"/>
      <c r="S508" s="267"/>
      <c r="T508" s="267"/>
      <c r="U508" s="267"/>
      <c r="V508" s="267"/>
      <c r="W508" s="264"/>
      <c r="Y508" s="267"/>
      <c r="Z508" s="267"/>
      <c r="AA508" s="267"/>
      <c r="AB508" s="267"/>
      <c r="AE508" s="267"/>
      <c r="AF508" s="267"/>
      <c r="AG508" s="267"/>
      <c r="AH508" s="267"/>
      <c r="AK508" s="267"/>
      <c r="AL508" s="267"/>
      <c r="AM508" s="267"/>
      <c r="AN508" s="267"/>
      <c r="AQ508" s="267"/>
      <c r="AR508" s="267"/>
      <c r="AS508" s="267"/>
      <c r="AT508" s="267"/>
      <c r="AW508" s="267"/>
      <c r="AX508" s="267"/>
      <c r="AY508" s="267"/>
      <c r="AZ508" s="267"/>
      <c r="BG508" s="269"/>
      <c r="BM508" s="269"/>
      <c r="BS508" s="269"/>
      <c r="BU508" s="267"/>
      <c r="BY508" s="267"/>
      <c r="CC508" s="267"/>
      <c r="CG508" s="267"/>
      <c r="CS508" s="267"/>
      <c r="CW508" s="270"/>
      <c r="CX508" s="267"/>
      <c r="DC508" s="267"/>
      <c r="DH508" s="267"/>
      <c r="DM508" s="267"/>
      <c r="DR508" s="267"/>
      <c r="DW508" s="267"/>
      <c r="EB508" s="267"/>
      <c r="EG508" s="267"/>
      <c r="EL508" s="267"/>
      <c r="EQ508" s="267"/>
      <c r="EU508" s="270"/>
      <c r="EV508" s="267"/>
      <c r="FC508" s="267"/>
      <c r="FD508" s="267"/>
      <c r="FE508" s="267"/>
      <c r="FF508" s="267"/>
      <c r="FG508" s="267"/>
      <c r="FL508" s="267"/>
      <c r="FM508" s="267"/>
      <c r="FN508" s="267"/>
      <c r="FO508" s="267"/>
      <c r="FP508" s="267"/>
      <c r="FQ508" s="264"/>
      <c r="FR508" s="264"/>
      <c r="FS508" s="264"/>
      <c r="FT508" s="264"/>
      <c r="FU508" s="267"/>
      <c r="FV508" s="267"/>
      <c r="FW508" s="267"/>
      <c r="FX508" s="267"/>
      <c r="FY508" s="267"/>
      <c r="GD508" s="267"/>
      <c r="GE508" s="267"/>
      <c r="GF508" s="267"/>
      <c r="GG508" s="267"/>
      <c r="GH508" s="267"/>
      <c r="GI508" s="264"/>
      <c r="GJ508" s="264"/>
      <c r="GK508" s="264"/>
      <c r="GL508" s="264"/>
      <c r="HD508" s="267"/>
      <c r="HE508" s="267"/>
      <c r="HF508" s="267"/>
      <c r="HG508" s="267"/>
      <c r="HH508" s="267"/>
      <c r="HI508" s="267"/>
      <c r="HJ508" s="267"/>
      <c r="HK508" s="267"/>
      <c r="HL508" s="267"/>
      <c r="HM508" s="267"/>
      <c r="HN508" s="267"/>
      <c r="HO508" s="267"/>
      <c r="HP508" s="267"/>
      <c r="HQ508" s="267"/>
      <c r="HR508" s="267"/>
      <c r="HS508" s="267"/>
      <c r="HT508" s="267"/>
      <c r="HU508" s="267"/>
      <c r="IH508" s="267"/>
      <c r="IK508" s="267"/>
      <c r="IN508" s="267"/>
      <c r="IQ508" s="267"/>
      <c r="IR508" s="267"/>
      <c r="IS508" s="267"/>
      <c r="IV508" s="267"/>
      <c r="IY508" s="267"/>
    </row>
    <row r="509" spans="10:259">
      <c r="J509" s="267"/>
      <c r="K509" s="267"/>
      <c r="L509" s="267"/>
      <c r="M509" s="267"/>
      <c r="N509" s="267"/>
      <c r="O509" s="267"/>
      <c r="P509" s="267"/>
      <c r="Q509" s="267"/>
      <c r="S509" s="267"/>
      <c r="T509" s="267"/>
      <c r="U509" s="267"/>
      <c r="V509" s="267"/>
      <c r="W509" s="264"/>
      <c r="Y509" s="267"/>
      <c r="Z509" s="267"/>
      <c r="AA509" s="267"/>
      <c r="AB509" s="267"/>
      <c r="AE509" s="267"/>
      <c r="AF509" s="267"/>
      <c r="AG509" s="267"/>
      <c r="AH509" s="267"/>
      <c r="AK509" s="267"/>
      <c r="AL509" s="267"/>
      <c r="AM509" s="267"/>
      <c r="AN509" s="267"/>
      <c r="AQ509" s="267"/>
      <c r="AR509" s="267"/>
      <c r="AS509" s="267"/>
      <c r="AT509" s="267"/>
      <c r="AW509" s="267"/>
      <c r="AX509" s="267"/>
      <c r="AY509" s="267"/>
      <c r="AZ509" s="267"/>
      <c r="BG509" s="269"/>
      <c r="BM509" s="269"/>
      <c r="BS509" s="269"/>
      <c r="BU509" s="267"/>
      <c r="BY509" s="267"/>
      <c r="CC509" s="267"/>
      <c r="CG509" s="267"/>
      <c r="CS509" s="267"/>
      <c r="CW509" s="270"/>
      <c r="CX509" s="267"/>
      <c r="DC509" s="267"/>
      <c r="DH509" s="267"/>
      <c r="DM509" s="267"/>
      <c r="DR509" s="267"/>
      <c r="DW509" s="267"/>
      <c r="EB509" s="267"/>
      <c r="EG509" s="267"/>
      <c r="EL509" s="267"/>
      <c r="EQ509" s="267"/>
      <c r="EU509" s="270"/>
      <c r="EV509" s="267"/>
      <c r="FC509" s="267"/>
      <c r="FD509" s="267"/>
      <c r="FE509" s="267"/>
      <c r="FF509" s="267"/>
      <c r="FG509" s="267"/>
      <c r="FL509" s="267"/>
      <c r="FM509" s="267"/>
      <c r="FN509" s="267"/>
      <c r="FO509" s="267"/>
      <c r="FP509" s="267"/>
      <c r="FQ509" s="264"/>
      <c r="FR509" s="264"/>
      <c r="FS509" s="264"/>
      <c r="FT509" s="264"/>
      <c r="FU509" s="267"/>
      <c r="FV509" s="267"/>
      <c r="FW509" s="267"/>
      <c r="FX509" s="267"/>
      <c r="FY509" s="267"/>
      <c r="GD509" s="267"/>
      <c r="GE509" s="267"/>
      <c r="GF509" s="267"/>
      <c r="GG509" s="267"/>
      <c r="GH509" s="267"/>
      <c r="GI509" s="264"/>
      <c r="GJ509" s="264"/>
      <c r="GK509" s="264"/>
      <c r="GL509" s="264"/>
      <c r="HD509" s="267"/>
      <c r="HE509" s="267"/>
      <c r="HF509" s="267"/>
      <c r="HG509" s="267"/>
      <c r="HH509" s="267"/>
      <c r="HI509" s="267"/>
      <c r="HJ509" s="267"/>
      <c r="HK509" s="267"/>
      <c r="HL509" s="267"/>
      <c r="HM509" s="267"/>
      <c r="HN509" s="267"/>
      <c r="HO509" s="267"/>
      <c r="HP509" s="267"/>
      <c r="HQ509" s="267"/>
      <c r="HR509" s="267"/>
      <c r="HS509" s="267"/>
      <c r="HT509" s="267"/>
      <c r="HU509" s="267"/>
      <c r="IH509" s="267"/>
      <c r="IK509" s="267"/>
      <c r="IN509" s="267"/>
      <c r="IQ509" s="267"/>
      <c r="IR509" s="267"/>
      <c r="IS509" s="267"/>
      <c r="IV509" s="267"/>
      <c r="IY509" s="267"/>
    </row>
    <row r="510" spans="10:259">
      <c r="J510" s="267"/>
      <c r="K510" s="267"/>
      <c r="L510" s="267"/>
      <c r="M510" s="267"/>
      <c r="N510" s="267"/>
      <c r="O510" s="267"/>
      <c r="P510" s="267"/>
      <c r="Q510" s="267"/>
      <c r="S510" s="267"/>
      <c r="T510" s="267"/>
      <c r="U510" s="267"/>
      <c r="V510" s="267"/>
      <c r="W510" s="264"/>
      <c r="Y510" s="267"/>
      <c r="Z510" s="267"/>
      <c r="AA510" s="267"/>
      <c r="AB510" s="267"/>
      <c r="AE510" s="267"/>
      <c r="AF510" s="267"/>
      <c r="AG510" s="267"/>
      <c r="AH510" s="267"/>
      <c r="AK510" s="267"/>
      <c r="AL510" s="267"/>
      <c r="AM510" s="267"/>
      <c r="AN510" s="267"/>
      <c r="AQ510" s="267"/>
      <c r="AR510" s="267"/>
      <c r="AS510" s="267"/>
      <c r="AT510" s="267"/>
      <c r="AW510" s="267"/>
      <c r="AX510" s="267"/>
      <c r="AY510" s="267"/>
      <c r="AZ510" s="267"/>
      <c r="BG510" s="269"/>
      <c r="BM510" s="269"/>
      <c r="BS510" s="269"/>
      <c r="BU510" s="267"/>
      <c r="BY510" s="267"/>
      <c r="CC510" s="267"/>
      <c r="CG510" s="267"/>
      <c r="CS510" s="267"/>
      <c r="CW510" s="270"/>
      <c r="CX510" s="267"/>
      <c r="DC510" s="267"/>
      <c r="DH510" s="267"/>
      <c r="DM510" s="267"/>
      <c r="DR510" s="267"/>
      <c r="DW510" s="267"/>
      <c r="EB510" s="267"/>
      <c r="EG510" s="267"/>
      <c r="EL510" s="267"/>
      <c r="EQ510" s="267"/>
      <c r="EU510" s="270"/>
      <c r="EV510" s="267"/>
      <c r="FC510" s="267"/>
      <c r="FD510" s="267"/>
      <c r="FE510" s="267"/>
      <c r="FF510" s="267"/>
      <c r="FG510" s="267"/>
      <c r="FL510" s="267"/>
      <c r="FM510" s="267"/>
      <c r="FN510" s="267"/>
      <c r="FO510" s="267"/>
      <c r="FP510" s="267"/>
      <c r="FQ510" s="264"/>
      <c r="FR510" s="264"/>
      <c r="FS510" s="264"/>
      <c r="FT510" s="264"/>
      <c r="FU510" s="267"/>
      <c r="FV510" s="267"/>
      <c r="FW510" s="267"/>
      <c r="FX510" s="267"/>
      <c r="FY510" s="267"/>
      <c r="GD510" s="267"/>
      <c r="GE510" s="267"/>
      <c r="GF510" s="267"/>
      <c r="GG510" s="267"/>
      <c r="GH510" s="267"/>
      <c r="GI510" s="264"/>
      <c r="GJ510" s="264"/>
      <c r="GK510" s="264"/>
      <c r="GL510" s="264"/>
      <c r="HD510" s="267"/>
      <c r="HE510" s="267"/>
      <c r="HF510" s="267"/>
      <c r="HG510" s="267"/>
      <c r="HH510" s="267"/>
      <c r="HI510" s="267"/>
      <c r="HJ510" s="267"/>
      <c r="HK510" s="267"/>
      <c r="HL510" s="267"/>
      <c r="HM510" s="267"/>
      <c r="HN510" s="267"/>
      <c r="HO510" s="267"/>
      <c r="HP510" s="267"/>
      <c r="HQ510" s="267"/>
      <c r="HR510" s="267"/>
      <c r="HS510" s="267"/>
      <c r="HT510" s="267"/>
      <c r="HU510" s="267"/>
      <c r="IH510" s="267"/>
      <c r="IK510" s="267"/>
      <c r="IN510" s="267"/>
      <c r="IQ510" s="267"/>
      <c r="IR510" s="267"/>
      <c r="IS510" s="267"/>
      <c r="IV510" s="267"/>
      <c r="IY510" s="267"/>
    </row>
    <row r="511" spans="10:259">
      <c r="J511" s="267"/>
      <c r="K511" s="267"/>
      <c r="L511" s="267"/>
      <c r="M511" s="267"/>
      <c r="N511" s="267"/>
      <c r="O511" s="267"/>
      <c r="P511" s="267"/>
      <c r="Q511" s="267"/>
      <c r="S511" s="267"/>
      <c r="T511" s="267"/>
      <c r="U511" s="267"/>
      <c r="V511" s="267"/>
      <c r="W511" s="264"/>
      <c r="Y511" s="267"/>
      <c r="Z511" s="267"/>
      <c r="AA511" s="267"/>
      <c r="AB511" s="267"/>
      <c r="AE511" s="267"/>
      <c r="AF511" s="267"/>
      <c r="AG511" s="267"/>
      <c r="AH511" s="267"/>
      <c r="AK511" s="267"/>
      <c r="AL511" s="267"/>
      <c r="AM511" s="267"/>
      <c r="AN511" s="267"/>
      <c r="AQ511" s="267"/>
      <c r="AR511" s="267"/>
      <c r="AS511" s="267"/>
      <c r="AT511" s="267"/>
      <c r="AW511" s="267"/>
      <c r="AX511" s="267"/>
      <c r="AY511" s="267"/>
      <c r="AZ511" s="267"/>
      <c r="BG511" s="269"/>
      <c r="BM511" s="269"/>
      <c r="BS511" s="269"/>
      <c r="BU511" s="267"/>
      <c r="BY511" s="267"/>
      <c r="CC511" s="267"/>
      <c r="CG511" s="267"/>
      <c r="CS511" s="267"/>
      <c r="CW511" s="270"/>
      <c r="CX511" s="267"/>
      <c r="DC511" s="267"/>
      <c r="DH511" s="267"/>
      <c r="DM511" s="267"/>
      <c r="DR511" s="267"/>
      <c r="DW511" s="267"/>
      <c r="EB511" s="267"/>
      <c r="EG511" s="267"/>
      <c r="EL511" s="267"/>
      <c r="EQ511" s="267"/>
      <c r="EU511" s="270"/>
      <c r="EV511" s="267"/>
      <c r="FC511" s="267"/>
      <c r="FD511" s="267"/>
      <c r="FE511" s="267"/>
      <c r="FF511" s="267"/>
      <c r="FG511" s="267"/>
      <c r="FL511" s="267"/>
      <c r="FM511" s="267"/>
      <c r="FN511" s="267"/>
      <c r="FO511" s="267"/>
      <c r="FP511" s="267"/>
      <c r="FQ511" s="264"/>
      <c r="FR511" s="264"/>
      <c r="FS511" s="264"/>
      <c r="FT511" s="264"/>
      <c r="FU511" s="267"/>
      <c r="FV511" s="267"/>
      <c r="FW511" s="267"/>
      <c r="FX511" s="267"/>
      <c r="FY511" s="267"/>
      <c r="GD511" s="267"/>
      <c r="GE511" s="267"/>
      <c r="GF511" s="267"/>
      <c r="GG511" s="267"/>
      <c r="GH511" s="267"/>
      <c r="GI511" s="264"/>
      <c r="GJ511" s="264"/>
      <c r="GK511" s="264"/>
      <c r="GL511" s="264"/>
      <c r="HD511" s="267"/>
      <c r="HE511" s="267"/>
      <c r="HF511" s="267"/>
      <c r="HG511" s="267"/>
      <c r="HH511" s="267"/>
      <c r="HI511" s="267"/>
      <c r="HJ511" s="267"/>
      <c r="HK511" s="267"/>
      <c r="HL511" s="267"/>
      <c r="HM511" s="267"/>
      <c r="HN511" s="267"/>
      <c r="HO511" s="267"/>
      <c r="HP511" s="267"/>
      <c r="HQ511" s="267"/>
      <c r="HR511" s="267"/>
      <c r="HS511" s="267"/>
      <c r="HT511" s="267"/>
      <c r="HU511" s="267"/>
      <c r="IH511" s="267"/>
      <c r="IK511" s="267"/>
      <c r="IN511" s="267"/>
      <c r="IQ511" s="267"/>
      <c r="IR511" s="267"/>
      <c r="IS511" s="267"/>
      <c r="IV511" s="267"/>
      <c r="IY511" s="267"/>
    </row>
    <row r="512" spans="10:259">
      <c r="J512" s="267"/>
      <c r="K512" s="267"/>
      <c r="L512" s="267"/>
      <c r="M512" s="267"/>
      <c r="N512" s="267"/>
      <c r="O512" s="267"/>
      <c r="P512" s="267"/>
      <c r="Q512" s="267"/>
      <c r="S512" s="267"/>
      <c r="T512" s="267"/>
      <c r="U512" s="267"/>
      <c r="V512" s="267"/>
      <c r="W512" s="264"/>
      <c r="Y512" s="267"/>
      <c r="Z512" s="267"/>
      <c r="AA512" s="267"/>
      <c r="AB512" s="267"/>
      <c r="AE512" s="267"/>
      <c r="AF512" s="267"/>
      <c r="AG512" s="267"/>
      <c r="AH512" s="267"/>
      <c r="AK512" s="267"/>
      <c r="AL512" s="267"/>
      <c r="AM512" s="267"/>
      <c r="AN512" s="267"/>
      <c r="AQ512" s="267"/>
      <c r="AR512" s="267"/>
      <c r="AS512" s="267"/>
      <c r="AT512" s="267"/>
      <c r="AW512" s="267"/>
      <c r="AX512" s="267"/>
      <c r="AY512" s="267"/>
      <c r="AZ512" s="267"/>
      <c r="BG512" s="269"/>
      <c r="BM512" s="269"/>
      <c r="BS512" s="269"/>
      <c r="BU512" s="267"/>
      <c r="BY512" s="267"/>
      <c r="CC512" s="267"/>
      <c r="CG512" s="267"/>
      <c r="CS512" s="267"/>
      <c r="CW512" s="270"/>
      <c r="CX512" s="267"/>
      <c r="DC512" s="267"/>
      <c r="DH512" s="267"/>
      <c r="DM512" s="267"/>
      <c r="DR512" s="267"/>
      <c r="DW512" s="267"/>
      <c r="EB512" s="267"/>
      <c r="EG512" s="267"/>
      <c r="EL512" s="267"/>
      <c r="EQ512" s="267"/>
      <c r="EU512" s="270"/>
      <c r="EV512" s="267"/>
      <c r="FC512" s="267"/>
      <c r="FD512" s="267"/>
      <c r="FE512" s="267"/>
      <c r="FF512" s="267"/>
      <c r="FG512" s="267"/>
      <c r="FL512" s="267"/>
      <c r="FM512" s="267"/>
      <c r="FN512" s="267"/>
      <c r="FO512" s="267"/>
      <c r="FP512" s="267"/>
      <c r="FQ512" s="264"/>
      <c r="FR512" s="264"/>
      <c r="FS512" s="264"/>
      <c r="FT512" s="264"/>
      <c r="FU512" s="267"/>
      <c r="FV512" s="267"/>
      <c r="FW512" s="267"/>
      <c r="FX512" s="267"/>
      <c r="FY512" s="267"/>
      <c r="GD512" s="267"/>
      <c r="GE512" s="267"/>
      <c r="GF512" s="267"/>
      <c r="GG512" s="267"/>
      <c r="GH512" s="267"/>
      <c r="GI512" s="264"/>
      <c r="GJ512" s="264"/>
      <c r="GK512" s="264"/>
      <c r="GL512" s="264"/>
      <c r="HD512" s="267"/>
      <c r="HE512" s="267"/>
      <c r="HF512" s="267"/>
      <c r="HG512" s="267"/>
      <c r="HH512" s="267"/>
      <c r="HI512" s="267"/>
      <c r="HJ512" s="267"/>
      <c r="HK512" s="267"/>
      <c r="HL512" s="267"/>
      <c r="HM512" s="267"/>
      <c r="HN512" s="267"/>
      <c r="HO512" s="267"/>
      <c r="HP512" s="267"/>
      <c r="HQ512" s="267"/>
      <c r="HR512" s="267"/>
      <c r="HS512" s="267"/>
      <c r="HT512" s="267"/>
      <c r="HU512" s="267"/>
      <c r="IH512" s="267"/>
      <c r="IK512" s="267"/>
      <c r="IN512" s="267"/>
      <c r="IQ512" s="267"/>
      <c r="IR512" s="267"/>
      <c r="IS512" s="267"/>
      <c r="IV512" s="267"/>
      <c r="IY512" s="267"/>
    </row>
    <row r="513" spans="10:259">
      <c r="J513" s="267"/>
      <c r="K513" s="267"/>
      <c r="L513" s="267"/>
      <c r="M513" s="267"/>
      <c r="N513" s="267"/>
      <c r="O513" s="267"/>
      <c r="P513" s="267"/>
      <c r="Q513" s="267"/>
      <c r="S513" s="267"/>
      <c r="T513" s="267"/>
      <c r="U513" s="267"/>
      <c r="V513" s="267"/>
      <c r="W513" s="264"/>
      <c r="Y513" s="267"/>
      <c r="Z513" s="267"/>
      <c r="AA513" s="267"/>
      <c r="AB513" s="267"/>
      <c r="AE513" s="267"/>
      <c r="AF513" s="267"/>
      <c r="AG513" s="267"/>
      <c r="AH513" s="267"/>
      <c r="AK513" s="267"/>
      <c r="AL513" s="267"/>
      <c r="AM513" s="267"/>
      <c r="AN513" s="267"/>
      <c r="AQ513" s="267"/>
      <c r="AR513" s="267"/>
      <c r="AS513" s="267"/>
      <c r="AT513" s="267"/>
      <c r="AW513" s="267"/>
      <c r="AX513" s="267"/>
      <c r="AY513" s="267"/>
      <c r="AZ513" s="267"/>
      <c r="BG513" s="269"/>
      <c r="BM513" s="269"/>
      <c r="BS513" s="269"/>
      <c r="BU513" s="267"/>
      <c r="BY513" s="267"/>
      <c r="CC513" s="267"/>
      <c r="CG513" s="267"/>
      <c r="CS513" s="267"/>
      <c r="CW513" s="270"/>
      <c r="CX513" s="267"/>
      <c r="DC513" s="267"/>
      <c r="DH513" s="267"/>
      <c r="DM513" s="267"/>
      <c r="DR513" s="267"/>
      <c r="DW513" s="267"/>
      <c r="EB513" s="267"/>
      <c r="EG513" s="267"/>
      <c r="EL513" s="267"/>
      <c r="EQ513" s="267"/>
      <c r="EU513" s="270"/>
      <c r="EV513" s="267"/>
      <c r="FC513" s="267"/>
      <c r="FD513" s="267"/>
      <c r="FE513" s="267"/>
      <c r="FF513" s="267"/>
      <c r="FG513" s="267"/>
      <c r="FL513" s="267"/>
      <c r="FM513" s="267"/>
      <c r="FN513" s="267"/>
      <c r="FO513" s="267"/>
      <c r="FP513" s="267"/>
      <c r="FQ513" s="264"/>
      <c r="FR513" s="264"/>
      <c r="FS513" s="264"/>
      <c r="FT513" s="264"/>
      <c r="FU513" s="267"/>
      <c r="FV513" s="267"/>
      <c r="FW513" s="267"/>
      <c r="FX513" s="267"/>
      <c r="FY513" s="267"/>
      <c r="GD513" s="267"/>
      <c r="GE513" s="267"/>
      <c r="GF513" s="267"/>
      <c r="GG513" s="267"/>
      <c r="GH513" s="267"/>
      <c r="GI513" s="264"/>
      <c r="GJ513" s="264"/>
      <c r="GK513" s="264"/>
      <c r="GL513" s="264"/>
      <c r="HD513" s="267"/>
      <c r="HE513" s="267"/>
      <c r="HF513" s="267"/>
      <c r="HG513" s="267"/>
      <c r="HH513" s="267"/>
      <c r="HI513" s="267"/>
      <c r="HJ513" s="267"/>
      <c r="HK513" s="267"/>
      <c r="HL513" s="267"/>
      <c r="HM513" s="267"/>
      <c r="HN513" s="267"/>
      <c r="HO513" s="267"/>
      <c r="HP513" s="267"/>
      <c r="HQ513" s="267"/>
      <c r="HR513" s="267"/>
      <c r="HS513" s="267"/>
      <c r="HT513" s="267"/>
      <c r="HU513" s="267"/>
      <c r="IH513" s="267"/>
      <c r="IK513" s="267"/>
      <c r="IN513" s="267"/>
      <c r="IQ513" s="267"/>
      <c r="IR513" s="267"/>
      <c r="IS513" s="267"/>
      <c r="IV513" s="267"/>
      <c r="IY513" s="267"/>
    </row>
    <row r="514" spans="10:259">
      <c r="J514" s="267"/>
      <c r="K514" s="267"/>
      <c r="L514" s="267"/>
      <c r="M514" s="267"/>
      <c r="N514" s="267"/>
      <c r="O514" s="267"/>
      <c r="P514" s="267"/>
      <c r="Q514" s="267"/>
      <c r="S514" s="267"/>
      <c r="T514" s="267"/>
      <c r="U514" s="267"/>
      <c r="V514" s="267"/>
      <c r="W514" s="264"/>
      <c r="Y514" s="267"/>
      <c r="Z514" s="267"/>
      <c r="AA514" s="267"/>
      <c r="AB514" s="267"/>
      <c r="AE514" s="267"/>
      <c r="AF514" s="267"/>
      <c r="AG514" s="267"/>
      <c r="AH514" s="267"/>
      <c r="AK514" s="267"/>
      <c r="AL514" s="267"/>
      <c r="AM514" s="267"/>
      <c r="AN514" s="267"/>
      <c r="AQ514" s="267"/>
      <c r="AR514" s="267"/>
      <c r="AS514" s="267"/>
      <c r="AT514" s="267"/>
      <c r="AW514" s="267"/>
      <c r="AX514" s="267"/>
      <c r="AY514" s="267"/>
      <c r="AZ514" s="267"/>
      <c r="BG514" s="269"/>
      <c r="BM514" s="269"/>
      <c r="BS514" s="269"/>
      <c r="BU514" s="267"/>
      <c r="BY514" s="267"/>
      <c r="CC514" s="267"/>
      <c r="CG514" s="267"/>
      <c r="CS514" s="267"/>
      <c r="CW514" s="270"/>
      <c r="CX514" s="267"/>
      <c r="DC514" s="267"/>
      <c r="DH514" s="267"/>
      <c r="DM514" s="267"/>
      <c r="DR514" s="267"/>
      <c r="DW514" s="267"/>
      <c r="EB514" s="267"/>
      <c r="EG514" s="267"/>
      <c r="EL514" s="267"/>
      <c r="EQ514" s="267"/>
      <c r="EU514" s="270"/>
      <c r="EV514" s="267"/>
      <c r="FC514" s="267"/>
      <c r="FD514" s="267"/>
      <c r="FE514" s="267"/>
      <c r="FF514" s="267"/>
      <c r="FG514" s="267"/>
      <c r="FL514" s="267"/>
      <c r="FM514" s="267"/>
      <c r="FN514" s="267"/>
      <c r="FO514" s="267"/>
      <c r="FP514" s="267"/>
      <c r="FQ514" s="264"/>
      <c r="FR514" s="264"/>
      <c r="FS514" s="264"/>
      <c r="FT514" s="264"/>
      <c r="FU514" s="267"/>
      <c r="FV514" s="267"/>
      <c r="FW514" s="267"/>
      <c r="FX514" s="267"/>
      <c r="FY514" s="267"/>
      <c r="GD514" s="267"/>
      <c r="GE514" s="267"/>
      <c r="GF514" s="267"/>
      <c r="GG514" s="267"/>
      <c r="GH514" s="267"/>
      <c r="GI514" s="264"/>
      <c r="GJ514" s="264"/>
      <c r="GK514" s="264"/>
      <c r="GL514" s="264"/>
      <c r="HD514" s="267"/>
      <c r="HE514" s="267"/>
      <c r="HF514" s="267"/>
      <c r="HG514" s="267"/>
      <c r="HH514" s="267"/>
      <c r="HI514" s="267"/>
      <c r="HJ514" s="267"/>
      <c r="HK514" s="267"/>
      <c r="HL514" s="267"/>
      <c r="HM514" s="267"/>
      <c r="HN514" s="267"/>
      <c r="HO514" s="267"/>
      <c r="HP514" s="267"/>
      <c r="HQ514" s="267"/>
      <c r="HR514" s="267"/>
      <c r="HS514" s="267"/>
      <c r="HT514" s="267"/>
      <c r="HU514" s="267"/>
      <c r="IH514" s="267"/>
      <c r="IK514" s="267"/>
      <c r="IN514" s="267"/>
      <c r="IQ514" s="267"/>
      <c r="IR514" s="267"/>
      <c r="IS514" s="267"/>
      <c r="IV514" s="267"/>
      <c r="IY514" s="267"/>
    </row>
    <row r="515" spans="10:259">
      <c r="J515" s="267"/>
      <c r="K515" s="267"/>
      <c r="L515" s="267"/>
      <c r="M515" s="267"/>
      <c r="N515" s="267"/>
      <c r="O515" s="267"/>
      <c r="P515" s="267"/>
      <c r="Q515" s="267"/>
      <c r="S515" s="267"/>
      <c r="T515" s="267"/>
      <c r="U515" s="267"/>
      <c r="V515" s="267"/>
      <c r="W515" s="264"/>
      <c r="Y515" s="267"/>
      <c r="Z515" s="267"/>
      <c r="AA515" s="267"/>
      <c r="AB515" s="267"/>
      <c r="AE515" s="267"/>
      <c r="AF515" s="267"/>
      <c r="AG515" s="267"/>
      <c r="AH515" s="267"/>
      <c r="AK515" s="267"/>
      <c r="AL515" s="267"/>
      <c r="AM515" s="267"/>
      <c r="AN515" s="267"/>
      <c r="AQ515" s="267"/>
      <c r="AR515" s="267"/>
      <c r="AS515" s="267"/>
      <c r="AT515" s="267"/>
      <c r="AW515" s="267"/>
      <c r="AX515" s="267"/>
      <c r="AY515" s="267"/>
      <c r="AZ515" s="267"/>
      <c r="BG515" s="269"/>
      <c r="BM515" s="269"/>
      <c r="BS515" s="269"/>
      <c r="BU515" s="267"/>
      <c r="BY515" s="267"/>
      <c r="CC515" s="267"/>
      <c r="CG515" s="267"/>
      <c r="CS515" s="267"/>
      <c r="CW515" s="270"/>
      <c r="CX515" s="267"/>
      <c r="DC515" s="267"/>
      <c r="DH515" s="267"/>
      <c r="DM515" s="267"/>
      <c r="DR515" s="267"/>
      <c r="DW515" s="267"/>
      <c r="EB515" s="267"/>
      <c r="EG515" s="267"/>
      <c r="EL515" s="267"/>
      <c r="EQ515" s="267"/>
      <c r="EU515" s="270"/>
      <c r="EV515" s="267"/>
      <c r="FC515" s="267"/>
      <c r="FD515" s="267"/>
      <c r="FE515" s="267"/>
      <c r="FF515" s="267"/>
      <c r="FG515" s="267"/>
      <c r="FL515" s="267"/>
      <c r="FM515" s="267"/>
      <c r="FN515" s="267"/>
      <c r="FO515" s="267"/>
      <c r="FP515" s="267"/>
      <c r="FQ515" s="264"/>
      <c r="FR515" s="264"/>
      <c r="FS515" s="264"/>
      <c r="FT515" s="264"/>
      <c r="FU515" s="267"/>
      <c r="FV515" s="267"/>
      <c r="FW515" s="267"/>
      <c r="FX515" s="267"/>
      <c r="FY515" s="267"/>
      <c r="GD515" s="267"/>
      <c r="GE515" s="267"/>
      <c r="GF515" s="267"/>
      <c r="GG515" s="267"/>
      <c r="GH515" s="267"/>
      <c r="GI515" s="264"/>
      <c r="GJ515" s="264"/>
      <c r="GK515" s="264"/>
      <c r="GL515" s="264"/>
      <c r="HD515" s="267"/>
      <c r="HE515" s="267"/>
      <c r="HF515" s="267"/>
      <c r="HG515" s="267"/>
      <c r="HH515" s="267"/>
      <c r="HI515" s="267"/>
      <c r="HJ515" s="267"/>
      <c r="HK515" s="267"/>
      <c r="HL515" s="267"/>
      <c r="HM515" s="267"/>
      <c r="HN515" s="267"/>
      <c r="HO515" s="267"/>
      <c r="HP515" s="267"/>
      <c r="HQ515" s="267"/>
      <c r="HR515" s="267"/>
      <c r="HS515" s="267"/>
      <c r="HT515" s="267"/>
      <c r="HU515" s="267"/>
      <c r="IH515" s="267"/>
      <c r="IK515" s="267"/>
      <c r="IN515" s="267"/>
      <c r="IQ515" s="267"/>
      <c r="IR515" s="267"/>
      <c r="IS515" s="267"/>
      <c r="IV515" s="267"/>
      <c r="IY515" s="267"/>
    </row>
    <row r="516" spans="10:259">
      <c r="J516" s="267"/>
      <c r="K516" s="267"/>
      <c r="L516" s="267"/>
      <c r="M516" s="267"/>
      <c r="N516" s="267"/>
      <c r="O516" s="267"/>
      <c r="P516" s="267"/>
      <c r="Q516" s="267"/>
      <c r="S516" s="267"/>
      <c r="T516" s="267"/>
      <c r="U516" s="267"/>
      <c r="V516" s="267"/>
      <c r="W516" s="264"/>
      <c r="Y516" s="267"/>
      <c r="Z516" s="267"/>
      <c r="AA516" s="267"/>
      <c r="AB516" s="267"/>
      <c r="AE516" s="267"/>
      <c r="AF516" s="267"/>
      <c r="AG516" s="267"/>
      <c r="AH516" s="267"/>
      <c r="AK516" s="267"/>
      <c r="AL516" s="267"/>
      <c r="AM516" s="267"/>
      <c r="AN516" s="267"/>
      <c r="AQ516" s="267"/>
      <c r="AR516" s="267"/>
      <c r="AS516" s="267"/>
      <c r="AT516" s="267"/>
      <c r="AW516" s="267"/>
      <c r="AX516" s="267"/>
      <c r="AY516" s="267"/>
      <c r="AZ516" s="267"/>
      <c r="BG516" s="269"/>
      <c r="BM516" s="269"/>
      <c r="BS516" s="269"/>
      <c r="BU516" s="267"/>
      <c r="BY516" s="267"/>
      <c r="CC516" s="267"/>
      <c r="CG516" s="267"/>
      <c r="CS516" s="267"/>
      <c r="CW516" s="270"/>
      <c r="CX516" s="267"/>
      <c r="DC516" s="267"/>
      <c r="DH516" s="267"/>
      <c r="DM516" s="267"/>
      <c r="DR516" s="267"/>
      <c r="DW516" s="267"/>
      <c r="EB516" s="267"/>
      <c r="EG516" s="267"/>
      <c r="EL516" s="267"/>
      <c r="EQ516" s="267"/>
      <c r="EU516" s="270"/>
      <c r="EV516" s="267"/>
      <c r="FC516" s="267"/>
      <c r="FD516" s="267"/>
      <c r="FE516" s="267"/>
      <c r="FF516" s="267"/>
      <c r="FG516" s="267"/>
      <c r="FL516" s="267"/>
      <c r="FM516" s="267"/>
      <c r="FN516" s="267"/>
      <c r="FO516" s="267"/>
      <c r="FP516" s="267"/>
      <c r="FQ516" s="264"/>
      <c r="FR516" s="264"/>
      <c r="FS516" s="264"/>
      <c r="FT516" s="264"/>
      <c r="FU516" s="267"/>
      <c r="FV516" s="267"/>
      <c r="FW516" s="267"/>
      <c r="FX516" s="267"/>
      <c r="FY516" s="267"/>
      <c r="GD516" s="267"/>
      <c r="GE516" s="267"/>
      <c r="GF516" s="267"/>
      <c r="GG516" s="267"/>
      <c r="GH516" s="267"/>
      <c r="GI516" s="264"/>
      <c r="GJ516" s="264"/>
      <c r="GK516" s="264"/>
      <c r="GL516" s="264"/>
      <c r="HD516" s="267"/>
      <c r="HE516" s="267"/>
      <c r="HF516" s="267"/>
      <c r="HG516" s="267"/>
      <c r="HH516" s="267"/>
      <c r="HI516" s="267"/>
      <c r="HJ516" s="267"/>
      <c r="HK516" s="267"/>
      <c r="HL516" s="267"/>
      <c r="HM516" s="267"/>
      <c r="HN516" s="267"/>
      <c r="HO516" s="267"/>
      <c r="HP516" s="267"/>
      <c r="HQ516" s="267"/>
      <c r="HR516" s="267"/>
      <c r="HS516" s="267"/>
      <c r="HT516" s="267"/>
      <c r="HU516" s="267"/>
      <c r="IH516" s="267"/>
      <c r="IK516" s="267"/>
      <c r="IN516" s="267"/>
      <c r="IQ516" s="267"/>
      <c r="IR516" s="267"/>
      <c r="IS516" s="267"/>
      <c r="IV516" s="267"/>
      <c r="IY516" s="267"/>
    </row>
    <row r="517" spans="10:259">
      <c r="J517" s="267"/>
      <c r="K517" s="267"/>
      <c r="L517" s="267"/>
      <c r="M517" s="267"/>
      <c r="N517" s="267"/>
      <c r="O517" s="267"/>
      <c r="P517" s="267"/>
      <c r="Q517" s="267"/>
      <c r="S517" s="267"/>
      <c r="T517" s="267"/>
      <c r="U517" s="267"/>
      <c r="V517" s="267"/>
      <c r="W517" s="264"/>
      <c r="Y517" s="267"/>
      <c r="Z517" s="267"/>
      <c r="AA517" s="267"/>
      <c r="AB517" s="267"/>
      <c r="AE517" s="267"/>
      <c r="AF517" s="267"/>
      <c r="AG517" s="267"/>
      <c r="AH517" s="267"/>
      <c r="AK517" s="267"/>
      <c r="AL517" s="267"/>
      <c r="AM517" s="267"/>
      <c r="AN517" s="267"/>
      <c r="AQ517" s="267"/>
      <c r="AR517" s="267"/>
      <c r="AS517" s="267"/>
      <c r="AT517" s="267"/>
      <c r="AW517" s="267"/>
      <c r="AX517" s="267"/>
      <c r="AY517" s="267"/>
      <c r="AZ517" s="267"/>
      <c r="BG517" s="269"/>
      <c r="BM517" s="269"/>
      <c r="BS517" s="269"/>
      <c r="BU517" s="267"/>
      <c r="BY517" s="267"/>
      <c r="CC517" s="267"/>
      <c r="CG517" s="267"/>
      <c r="CS517" s="267"/>
      <c r="CW517" s="270"/>
      <c r="CX517" s="267"/>
      <c r="DC517" s="267"/>
      <c r="DH517" s="267"/>
      <c r="DM517" s="267"/>
      <c r="DR517" s="267"/>
      <c r="DW517" s="267"/>
      <c r="EB517" s="267"/>
      <c r="EG517" s="267"/>
      <c r="EL517" s="267"/>
      <c r="EQ517" s="267"/>
      <c r="EU517" s="270"/>
      <c r="EV517" s="267"/>
      <c r="FC517" s="267"/>
      <c r="FD517" s="267"/>
      <c r="FE517" s="267"/>
      <c r="FF517" s="267"/>
      <c r="FG517" s="267"/>
      <c r="FL517" s="267"/>
      <c r="FM517" s="267"/>
      <c r="FN517" s="267"/>
      <c r="FO517" s="267"/>
      <c r="FP517" s="267"/>
      <c r="FQ517" s="264"/>
      <c r="FR517" s="264"/>
      <c r="FS517" s="264"/>
      <c r="FT517" s="264"/>
      <c r="FU517" s="267"/>
      <c r="FV517" s="267"/>
      <c r="FW517" s="267"/>
      <c r="FX517" s="267"/>
      <c r="FY517" s="267"/>
      <c r="GD517" s="267"/>
      <c r="GE517" s="267"/>
      <c r="GF517" s="267"/>
      <c r="GG517" s="267"/>
      <c r="GH517" s="267"/>
      <c r="GI517" s="264"/>
      <c r="GJ517" s="264"/>
      <c r="GK517" s="264"/>
      <c r="GL517" s="264"/>
      <c r="HD517" s="267"/>
      <c r="HE517" s="267"/>
      <c r="HF517" s="267"/>
      <c r="HG517" s="267"/>
      <c r="HH517" s="267"/>
      <c r="HI517" s="267"/>
      <c r="HJ517" s="267"/>
      <c r="HK517" s="267"/>
      <c r="HL517" s="267"/>
      <c r="HM517" s="267"/>
      <c r="HN517" s="267"/>
      <c r="HO517" s="267"/>
      <c r="HP517" s="267"/>
      <c r="HQ517" s="267"/>
      <c r="HR517" s="267"/>
      <c r="HS517" s="267"/>
      <c r="HT517" s="267"/>
      <c r="HU517" s="267"/>
      <c r="IH517" s="267"/>
      <c r="IK517" s="267"/>
      <c r="IN517" s="267"/>
      <c r="IQ517" s="267"/>
      <c r="IR517" s="267"/>
      <c r="IS517" s="267"/>
      <c r="IV517" s="267"/>
      <c r="IY517" s="267"/>
    </row>
    <row r="518" spans="10:259">
      <c r="J518" s="267"/>
      <c r="K518" s="267"/>
      <c r="L518" s="267"/>
      <c r="M518" s="267"/>
      <c r="N518" s="267"/>
      <c r="O518" s="267"/>
      <c r="P518" s="267"/>
      <c r="Q518" s="267"/>
      <c r="S518" s="267"/>
      <c r="T518" s="267"/>
      <c r="U518" s="267"/>
      <c r="V518" s="267"/>
      <c r="W518" s="264"/>
      <c r="Y518" s="267"/>
      <c r="Z518" s="267"/>
      <c r="AA518" s="267"/>
      <c r="AB518" s="267"/>
      <c r="AE518" s="267"/>
      <c r="AF518" s="267"/>
      <c r="AG518" s="267"/>
      <c r="AH518" s="267"/>
      <c r="AK518" s="267"/>
      <c r="AL518" s="267"/>
      <c r="AM518" s="267"/>
      <c r="AN518" s="267"/>
      <c r="AQ518" s="267"/>
      <c r="AR518" s="267"/>
      <c r="AS518" s="267"/>
      <c r="AT518" s="267"/>
      <c r="AW518" s="267"/>
      <c r="AX518" s="267"/>
      <c r="AY518" s="267"/>
      <c r="AZ518" s="267"/>
      <c r="BG518" s="269"/>
      <c r="BM518" s="269"/>
      <c r="BS518" s="269"/>
      <c r="BU518" s="267"/>
      <c r="BY518" s="267"/>
      <c r="CC518" s="267"/>
      <c r="CG518" s="267"/>
      <c r="CS518" s="267"/>
      <c r="CW518" s="270"/>
      <c r="CX518" s="267"/>
      <c r="DC518" s="267"/>
      <c r="DH518" s="267"/>
      <c r="DM518" s="267"/>
      <c r="DR518" s="267"/>
      <c r="DW518" s="267"/>
      <c r="EB518" s="267"/>
      <c r="EG518" s="267"/>
      <c r="EL518" s="267"/>
      <c r="EQ518" s="267"/>
      <c r="EU518" s="270"/>
      <c r="EV518" s="267"/>
      <c r="FC518" s="267"/>
      <c r="FD518" s="267"/>
      <c r="FE518" s="267"/>
      <c r="FF518" s="267"/>
      <c r="FG518" s="267"/>
      <c r="FL518" s="267"/>
      <c r="FM518" s="267"/>
      <c r="FN518" s="267"/>
      <c r="FO518" s="267"/>
      <c r="FP518" s="267"/>
      <c r="FQ518" s="264"/>
      <c r="FR518" s="264"/>
      <c r="FS518" s="264"/>
      <c r="FT518" s="264"/>
      <c r="FU518" s="267"/>
      <c r="FV518" s="267"/>
      <c r="FW518" s="267"/>
      <c r="FX518" s="267"/>
      <c r="FY518" s="267"/>
      <c r="GD518" s="267"/>
      <c r="GE518" s="267"/>
      <c r="GF518" s="267"/>
      <c r="GG518" s="267"/>
      <c r="GH518" s="267"/>
      <c r="GI518" s="264"/>
      <c r="GJ518" s="264"/>
      <c r="GK518" s="264"/>
      <c r="GL518" s="264"/>
      <c r="HD518" s="267"/>
      <c r="HE518" s="267"/>
      <c r="HF518" s="267"/>
      <c r="HG518" s="267"/>
      <c r="HH518" s="267"/>
      <c r="HI518" s="267"/>
      <c r="HJ518" s="267"/>
      <c r="HK518" s="267"/>
      <c r="HL518" s="267"/>
      <c r="HM518" s="267"/>
      <c r="HN518" s="267"/>
      <c r="HO518" s="267"/>
      <c r="HP518" s="267"/>
      <c r="HQ518" s="267"/>
      <c r="HR518" s="267"/>
      <c r="HS518" s="267"/>
      <c r="HT518" s="267"/>
      <c r="HU518" s="267"/>
      <c r="IH518" s="267"/>
      <c r="IK518" s="267"/>
      <c r="IN518" s="267"/>
      <c r="IQ518" s="267"/>
      <c r="IR518" s="267"/>
      <c r="IS518" s="267"/>
      <c r="IV518" s="267"/>
      <c r="IY518" s="267"/>
    </row>
    <row r="519" spans="10:259">
      <c r="J519" s="267"/>
      <c r="K519" s="267"/>
      <c r="L519" s="267"/>
      <c r="M519" s="267"/>
      <c r="N519" s="267"/>
      <c r="O519" s="267"/>
      <c r="P519" s="267"/>
      <c r="Q519" s="267"/>
      <c r="S519" s="267"/>
      <c r="T519" s="267"/>
      <c r="U519" s="267"/>
      <c r="V519" s="267"/>
      <c r="W519" s="264"/>
      <c r="Y519" s="267"/>
      <c r="Z519" s="267"/>
      <c r="AA519" s="267"/>
      <c r="AB519" s="267"/>
      <c r="AE519" s="267"/>
      <c r="AF519" s="267"/>
      <c r="AG519" s="267"/>
      <c r="AH519" s="267"/>
      <c r="AK519" s="267"/>
      <c r="AL519" s="267"/>
      <c r="AM519" s="267"/>
      <c r="AN519" s="267"/>
      <c r="AQ519" s="267"/>
      <c r="AR519" s="267"/>
      <c r="AS519" s="267"/>
      <c r="AT519" s="267"/>
      <c r="AW519" s="267"/>
      <c r="AX519" s="267"/>
      <c r="AY519" s="267"/>
      <c r="AZ519" s="267"/>
      <c r="BG519" s="269"/>
      <c r="BM519" s="269"/>
      <c r="BS519" s="269"/>
      <c r="BU519" s="267"/>
      <c r="BY519" s="267"/>
      <c r="CC519" s="267"/>
      <c r="CG519" s="267"/>
      <c r="CS519" s="267"/>
      <c r="CW519" s="270"/>
      <c r="CX519" s="267"/>
      <c r="DC519" s="267"/>
      <c r="DH519" s="267"/>
      <c r="DM519" s="267"/>
      <c r="DR519" s="267"/>
      <c r="DW519" s="267"/>
      <c r="EB519" s="267"/>
      <c r="EG519" s="267"/>
      <c r="EL519" s="267"/>
      <c r="EQ519" s="267"/>
      <c r="EU519" s="270"/>
      <c r="EV519" s="267"/>
      <c r="FC519" s="267"/>
      <c r="FD519" s="267"/>
      <c r="FE519" s="267"/>
      <c r="FF519" s="267"/>
      <c r="FG519" s="267"/>
      <c r="FL519" s="267"/>
      <c r="FM519" s="267"/>
      <c r="FN519" s="267"/>
      <c r="FO519" s="267"/>
      <c r="FP519" s="267"/>
      <c r="FQ519" s="264"/>
      <c r="FR519" s="264"/>
      <c r="FS519" s="264"/>
      <c r="FT519" s="264"/>
      <c r="FU519" s="267"/>
      <c r="FV519" s="267"/>
      <c r="FW519" s="267"/>
      <c r="FX519" s="267"/>
      <c r="FY519" s="267"/>
      <c r="GD519" s="267"/>
      <c r="GE519" s="267"/>
      <c r="GF519" s="267"/>
      <c r="GG519" s="267"/>
      <c r="GH519" s="267"/>
      <c r="GI519" s="264"/>
      <c r="GJ519" s="264"/>
      <c r="GK519" s="264"/>
      <c r="GL519" s="264"/>
      <c r="HD519" s="267"/>
      <c r="HE519" s="267"/>
      <c r="HF519" s="267"/>
      <c r="HG519" s="267"/>
      <c r="HH519" s="267"/>
      <c r="HI519" s="267"/>
      <c r="HJ519" s="267"/>
      <c r="HK519" s="267"/>
      <c r="HL519" s="267"/>
      <c r="HM519" s="267"/>
      <c r="HN519" s="267"/>
      <c r="HO519" s="267"/>
      <c r="HP519" s="267"/>
      <c r="HQ519" s="267"/>
      <c r="HR519" s="267"/>
      <c r="HS519" s="267"/>
      <c r="HT519" s="267"/>
      <c r="HU519" s="267"/>
      <c r="IH519" s="267"/>
      <c r="IK519" s="267"/>
      <c r="IN519" s="267"/>
      <c r="IQ519" s="267"/>
      <c r="IR519" s="267"/>
      <c r="IS519" s="267"/>
      <c r="IV519" s="267"/>
      <c r="IY519" s="267"/>
    </row>
    <row r="520" spans="10:259">
      <c r="J520" s="267"/>
      <c r="K520" s="267"/>
      <c r="L520" s="267"/>
      <c r="M520" s="267"/>
      <c r="N520" s="267"/>
      <c r="O520" s="267"/>
      <c r="P520" s="267"/>
      <c r="Q520" s="267"/>
      <c r="S520" s="267"/>
      <c r="T520" s="267"/>
      <c r="U520" s="267"/>
      <c r="V520" s="267"/>
      <c r="W520" s="264"/>
      <c r="Y520" s="267"/>
      <c r="Z520" s="267"/>
      <c r="AA520" s="267"/>
      <c r="AB520" s="267"/>
      <c r="AE520" s="267"/>
      <c r="AF520" s="267"/>
      <c r="AG520" s="267"/>
      <c r="AH520" s="267"/>
      <c r="AK520" s="267"/>
      <c r="AL520" s="267"/>
      <c r="AM520" s="267"/>
      <c r="AN520" s="267"/>
      <c r="AQ520" s="267"/>
      <c r="AR520" s="267"/>
      <c r="AS520" s="267"/>
      <c r="AT520" s="267"/>
      <c r="AW520" s="267"/>
      <c r="AX520" s="267"/>
      <c r="AY520" s="267"/>
      <c r="AZ520" s="267"/>
      <c r="BG520" s="269"/>
      <c r="BM520" s="269"/>
      <c r="BS520" s="269"/>
      <c r="BU520" s="267"/>
      <c r="BY520" s="267"/>
      <c r="CC520" s="267"/>
      <c r="CG520" s="267"/>
      <c r="CS520" s="267"/>
      <c r="CW520" s="270"/>
      <c r="CX520" s="267"/>
      <c r="DC520" s="267"/>
      <c r="DH520" s="267"/>
      <c r="DM520" s="267"/>
      <c r="DR520" s="267"/>
      <c r="DW520" s="267"/>
      <c r="EB520" s="267"/>
      <c r="EG520" s="267"/>
      <c r="EL520" s="267"/>
      <c r="EQ520" s="267"/>
      <c r="EU520" s="270"/>
      <c r="EV520" s="267"/>
      <c r="FC520" s="267"/>
      <c r="FD520" s="267"/>
      <c r="FE520" s="267"/>
      <c r="FF520" s="267"/>
      <c r="FG520" s="267"/>
      <c r="FL520" s="267"/>
      <c r="FM520" s="267"/>
      <c r="FN520" s="267"/>
      <c r="FO520" s="267"/>
      <c r="FP520" s="267"/>
      <c r="FQ520" s="264"/>
      <c r="FR520" s="264"/>
      <c r="FS520" s="264"/>
      <c r="FT520" s="264"/>
      <c r="FU520" s="267"/>
      <c r="FV520" s="267"/>
      <c r="FW520" s="267"/>
      <c r="FX520" s="267"/>
      <c r="FY520" s="267"/>
      <c r="GD520" s="267"/>
      <c r="GE520" s="267"/>
      <c r="GF520" s="267"/>
      <c r="GG520" s="267"/>
      <c r="GH520" s="267"/>
      <c r="GI520" s="264"/>
      <c r="GJ520" s="264"/>
      <c r="GK520" s="264"/>
      <c r="GL520" s="264"/>
      <c r="HD520" s="267"/>
      <c r="HE520" s="267"/>
      <c r="HF520" s="267"/>
      <c r="HG520" s="267"/>
      <c r="HH520" s="267"/>
      <c r="HI520" s="267"/>
      <c r="HJ520" s="267"/>
      <c r="HK520" s="267"/>
      <c r="HL520" s="267"/>
      <c r="HM520" s="267"/>
      <c r="HN520" s="267"/>
      <c r="HO520" s="267"/>
      <c r="HP520" s="267"/>
      <c r="HQ520" s="267"/>
      <c r="HR520" s="267"/>
      <c r="HS520" s="267"/>
      <c r="HT520" s="267"/>
      <c r="HU520" s="267"/>
      <c r="IH520" s="267"/>
      <c r="IK520" s="267"/>
      <c r="IN520" s="267"/>
      <c r="IQ520" s="267"/>
      <c r="IR520" s="267"/>
      <c r="IS520" s="267"/>
      <c r="IV520" s="267"/>
      <c r="IY520" s="267"/>
    </row>
    <row r="521" spans="10:259">
      <c r="J521" s="267"/>
      <c r="K521" s="267"/>
      <c r="L521" s="267"/>
      <c r="M521" s="267"/>
      <c r="N521" s="267"/>
      <c r="O521" s="267"/>
      <c r="P521" s="267"/>
      <c r="Q521" s="267"/>
      <c r="S521" s="267"/>
      <c r="T521" s="267"/>
      <c r="U521" s="267"/>
      <c r="V521" s="267"/>
      <c r="W521" s="264"/>
      <c r="Y521" s="267"/>
      <c r="Z521" s="267"/>
      <c r="AA521" s="267"/>
      <c r="AB521" s="267"/>
      <c r="AE521" s="267"/>
      <c r="AF521" s="267"/>
      <c r="AG521" s="267"/>
      <c r="AH521" s="267"/>
      <c r="AK521" s="267"/>
      <c r="AL521" s="267"/>
      <c r="AM521" s="267"/>
      <c r="AN521" s="267"/>
      <c r="AQ521" s="267"/>
      <c r="AR521" s="267"/>
      <c r="AS521" s="267"/>
      <c r="AT521" s="267"/>
      <c r="AW521" s="267"/>
      <c r="AX521" s="267"/>
      <c r="AY521" s="267"/>
      <c r="AZ521" s="267"/>
      <c r="BG521" s="269"/>
      <c r="BM521" s="269"/>
      <c r="BS521" s="269"/>
      <c r="BU521" s="267"/>
      <c r="BY521" s="267"/>
      <c r="CC521" s="267"/>
      <c r="CG521" s="267"/>
      <c r="CS521" s="267"/>
      <c r="CW521" s="270"/>
      <c r="CX521" s="267"/>
      <c r="DC521" s="267"/>
      <c r="DH521" s="267"/>
      <c r="DM521" s="267"/>
      <c r="DR521" s="267"/>
      <c r="DW521" s="267"/>
      <c r="EB521" s="267"/>
      <c r="EG521" s="267"/>
      <c r="EL521" s="267"/>
      <c r="EQ521" s="267"/>
      <c r="EU521" s="270"/>
      <c r="EV521" s="267"/>
      <c r="FC521" s="267"/>
      <c r="FD521" s="267"/>
      <c r="FE521" s="267"/>
      <c r="FF521" s="267"/>
      <c r="FG521" s="267"/>
      <c r="FL521" s="267"/>
      <c r="FM521" s="267"/>
      <c r="FN521" s="267"/>
      <c r="FO521" s="267"/>
      <c r="FP521" s="267"/>
      <c r="FQ521" s="264"/>
      <c r="FR521" s="264"/>
      <c r="FS521" s="264"/>
      <c r="FT521" s="264"/>
      <c r="FU521" s="267"/>
      <c r="FV521" s="267"/>
      <c r="FW521" s="267"/>
      <c r="FX521" s="267"/>
      <c r="FY521" s="267"/>
      <c r="GD521" s="267"/>
      <c r="GE521" s="267"/>
      <c r="GF521" s="267"/>
      <c r="GG521" s="267"/>
      <c r="GH521" s="267"/>
      <c r="GI521" s="264"/>
      <c r="GJ521" s="264"/>
      <c r="GK521" s="264"/>
      <c r="GL521" s="264"/>
      <c r="HD521" s="267"/>
      <c r="HE521" s="267"/>
      <c r="HF521" s="267"/>
      <c r="HG521" s="267"/>
      <c r="HH521" s="267"/>
      <c r="HI521" s="267"/>
      <c r="HJ521" s="267"/>
      <c r="HK521" s="267"/>
      <c r="HL521" s="267"/>
      <c r="HM521" s="267"/>
      <c r="HN521" s="267"/>
      <c r="HO521" s="267"/>
      <c r="HP521" s="267"/>
      <c r="HQ521" s="267"/>
      <c r="HR521" s="267"/>
      <c r="HS521" s="267"/>
      <c r="HT521" s="267"/>
      <c r="HU521" s="267"/>
      <c r="IH521" s="267"/>
      <c r="IK521" s="267"/>
      <c r="IN521" s="267"/>
      <c r="IQ521" s="267"/>
      <c r="IR521" s="267"/>
      <c r="IS521" s="267"/>
      <c r="IV521" s="267"/>
      <c r="IY521" s="267"/>
    </row>
    <row r="522" spans="10:259">
      <c r="J522" s="267"/>
      <c r="K522" s="267"/>
      <c r="L522" s="267"/>
      <c r="M522" s="267"/>
      <c r="N522" s="267"/>
      <c r="O522" s="267"/>
      <c r="P522" s="267"/>
      <c r="Q522" s="267"/>
      <c r="S522" s="267"/>
      <c r="T522" s="267"/>
      <c r="U522" s="267"/>
      <c r="V522" s="267"/>
      <c r="W522" s="264"/>
      <c r="Y522" s="267"/>
      <c r="Z522" s="267"/>
      <c r="AA522" s="267"/>
      <c r="AB522" s="267"/>
      <c r="AE522" s="267"/>
      <c r="AF522" s="267"/>
      <c r="AG522" s="267"/>
      <c r="AH522" s="267"/>
      <c r="AK522" s="267"/>
      <c r="AL522" s="267"/>
      <c r="AM522" s="267"/>
      <c r="AN522" s="267"/>
      <c r="AQ522" s="267"/>
      <c r="AR522" s="267"/>
      <c r="AS522" s="267"/>
      <c r="AT522" s="267"/>
      <c r="AW522" s="267"/>
      <c r="AX522" s="267"/>
      <c r="AY522" s="267"/>
      <c r="AZ522" s="267"/>
      <c r="BG522" s="269"/>
      <c r="BM522" s="269"/>
      <c r="BS522" s="269"/>
      <c r="BU522" s="267"/>
      <c r="BY522" s="267"/>
      <c r="CC522" s="267"/>
      <c r="CG522" s="267"/>
      <c r="CS522" s="267"/>
      <c r="CW522" s="270"/>
      <c r="CX522" s="267"/>
      <c r="DC522" s="267"/>
      <c r="DH522" s="267"/>
      <c r="DM522" s="267"/>
      <c r="DR522" s="267"/>
      <c r="DW522" s="267"/>
      <c r="EB522" s="267"/>
      <c r="EG522" s="267"/>
      <c r="EL522" s="267"/>
      <c r="EQ522" s="267"/>
      <c r="EU522" s="270"/>
      <c r="EV522" s="267"/>
      <c r="FC522" s="267"/>
      <c r="FD522" s="267"/>
      <c r="FE522" s="267"/>
      <c r="FF522" s="267"/>
      <c r="FG522" s="267"/>
      <c r="FL522" s="267"/>
      <c r="FM522" s="267"/>
      <c r="FN522" s="267"/>
      <c r="FO522" s="267"/>
      <c r="FP522" s="267"/>
      <c r="FQ522" s="264"/>
      <c r="FR522" s="264"/>
      <c r="FS522" s="264"/>
      <c r="FT522" s="264"/>
      <c r="FU522" s="267"/>
      <c r="FV522" s="267"/>
      <c r="FW522" s="267"/>
      <c r="FX522" s="267"/>
      <c r="FY522" s="267"/>
      <c r="GD522" s="267"/>
      <c r="GE522" s="267"/>
      <c r="GF522" s="267"/>
      <c r="GG522" s="267"/>
      <c r="GH522" s="267"/>
      <c r="GI522" s="264"/>
      <c r="GJ522" s="264"/>
      <c r="GK522" s="264"/>
      <c r="GL522" s="264"/>
      <c r="HD522" s="267"/>
      <c r="HE522" s="267"/>
      <c r="HF522" s="267"/>
      <c r="HG522" s="267"/>
      <c r="HH522" s="267"/>
      <c r="HI522" s="267"/>
      <c r="HJ522" s="267"/>
      <c r="HK522" s="267"/>
      <c r="HL522" s="267"/>
      <c r="HM522" s="267"/>
      <c r="HN522" s="267"/>
      <c r="HO522" s="267"/>
      <c r="HP522" s="267"/>
      <c r="HQ522" s="267"/>
      <c r="HR522" s="267"/>
      <c r="HS522" s="267"/>
      <c r="HT522" s="267"/>
      <c r="HU522" s="267"/>
      <c r="IH522" s="267"/>
      <c r="IK522" s="267"/>
      <c r="IN522" s="267"/>
      <c r="IQ522" s="267"/>
      <c r="IR522" s="267"/>
      <c r="IS522" s="267"/>
      <c r="IV522" s="267"/>
      <c r="IY522" s="267"/>
    </row>
    <row r="523" spans="10:259">
      <c r="J523" s="267"/>
      <c r="K523" s="267"/>
      <c r="L523" s="267"/>
      <c r="M523" s="267"/>
      <c r="N523" s="267"/>
      <c r="O523" s="267"/>
      <c r="P523" s="267"/>
      <c r="Q523" s="267"/>
      <c r="S523" s="267"/>
      <c r="T523" s="267"/>
      <c r="U523" s="267"/>
      <c r="V523" s="267"/>
      <c r="W523" s="264"/>
      <c r="Y523" s="267"/>
      <c r="Z523" s="267"/>
      <c r="AA523" s="267"/>
      <c r="AB523" s="267"/>
      <c r="AE523" s="267"/>
      <c r="AF523" s="267"/>
      <c r="AG523" s="267"/>
      <c r="AH523" s="267"/>
      <c r="AK523" s="267"/>
      <c r="AL523" s="267"/>
      <c r="AM523" s="267"/>
      <c r="AN523" s="267"/>
      <c r="AQ523" s="267"/>
      <c r="AR523" s="267"/>
      <c r="AS523" s="267"/>
      <c r="AT523" s="267"/>
      <c r="AW523" s="267"/>
      <c r="AX523" s="267"/>
      <c r="AY523" s="267"/>
      <c r="AZ523" s="267"/>
      <c r="BG523" s="269"/>
      <c r="BM523" s="269"/>
      <c r="BS523" s="269"/>
      <c r="BU523" s="267"/>
      <c r="BY523" s="267"/>
      <c r="CC523" s="267"/>
      <c r="CG523" s="267"/>
      <c r="CS523" s="267"/>
      <c r="CW523" s="270"/>
      <c r="CX523" s="267"/>
      <c r="DC523" s="267"/>
      <c r="DH523" s="267"/>
      <c r="DM523" s="267"/>
      <c r="DR523" s="267"/>
      <c r="DW523" s="267"/>
      <c r="EB523" s="267"/>
      <c r="EG523" s="267"/>
      <c r="EL523" s="267"/>
      <c r="EQ523" s="267"/>
      <c r="EU523" s="270"/>
      <c r="EV523" s="267"/>
      <c r="FC523" s="267"/>
      <c r="FD523" s="267"/>
      <c r="FE523" s="267"/>
      <c r="FF523" s="267"/>
      <c r="FG523" s="267"/>
      <c r="FL523" s="267"/>
      <c r="FM523" s="267"/>
      <c r="FN523" s="267"/>
      <c r="FO523" s="267"/>
      <c r="FP523" s="267"/>
      <c r="FQ523" s="264"/>
      <c r="FR523" s="264"/>
      <c r="FS523" s="264"/>
      <c r="FT523" s="264"/>
      <c r="FU523" s="267"/>
      <c r="FV523" s="267"/>
      <c r="FW523" s="267"/>
      <c r="FX523" s="267"/>
      <c r="FY523" s="267"/>
      <c r="GD523" s="267"/>
      <c r="GE523" s="267"/>
      <c r="GF523" s="267"/>
      <c r="GG523" s="267"/>
      <c r="GH523" s="267"/>
      <c r="GI523" s="264"/>
      <c r="GJ523" s="264"/>
      <c r="GK523" s="264"/>
      <c r="GL523" s="264"/>
      <c r="HD523" s="267"/>
      <c r="HE523" s="267"/>
      <c r="HF523" s="267"/>
      <c r="HG523" s="267"/>
      <c r="HH523" s="267"/>
      <c r="HI523" s="267"/>
      <c r="HJ523" s="267"/>
      <c r="HK523" s="267"/>
      <c r="HL523" s="267"/>
      <c r="HM523" s="267"/>
      <c r="HN523" s="267"/>
      <c r="HO523" s="267"/>
      <c r="HP523" s="267"/>
      <c r="HQ523" s="267"/>
      <c r="HR523" s="267"/>
      <c r="HS523" s="267"/>
      <c r="HT523" s="267"/>
      <c r="HU523" s="267"/>
      <c r="IH523" s="267"/>
      <c r="IK523" s="267"/>
      <c r="IN523" s="267"/>
      <c r="IQ523" s="267"/>
      <c r="IR523" s="267"/>
      <c r="IS523" s="267"/>
      <c r="IV523" s="267"/>
      <c r="IY523" s="267"/>
    </row>
    <row r="524" spans="10:259">
      <c r="J524" s="267"/>
      <c r="K524" s="267"/>
      <c r="L524" s="267"/>
      <c r="M524" s="267"/>
      <c r="N524" s="267"/>
      <c r="O524" s="267"/>
      <c r="P524" s="267"/>
      <c r="Q524" s="267"/>
      <c r="S524" s="267"/>
      <c r="T524" s="267"/>
      <c r="U524" s="267"/>
      <c r="V524" s="267"/>
      <c r="W524" s="264"/>
      <c r="Y524" s="267"/>
      <c r="Z524" s="267"/>
      <c r="AA524" s="267"/>
      <c r="AB524" s="267"/>
      <c r="AE524" s="267"/>
      <c r="AF524" s="267"/>
      <c r="AG524" s="267"/>
      <c r="AH524" s="267"/>
      <c r="AK524" s="267"/>
      <c r="AL524" s="267"/>
      <c r="AM524" s="267"/>
      <c r="AN524" s="267"/>
      <c r="AQ524" s="267"/>
      <c r="AR524" s="267"/>
      <c r="AS524" s="267"/>
      <c r="AT524" s="267"/>
      <c r="AW524" s="267"/>
      <c r="AX524" s="267"/>
      <c r="AY524" s="267"/>
      <c r="AZ524" s="267"/>
      <c r="BG524" s="269"/>
      <c r="BM524" s="269"/>
      <c r="BS524" s="269"/>
      <c r="BU524" s="267"/>
      <c r="BY524" s="267"/>
      <c r="CC524" s="267"/>
      <c r="CG524" s="267"/>
      <c r="CS524" s="267"/>
      <c r="CW524" s="270"/>
      <c r="CX524" s="267"/>
      <c r="DC524" s="267"/>
      <c r="DH524" s="267"/>
      <c r="DM524" s="267"/>
      <c r="DR524" s="267"/>
      <c r="DW524" s="267"/>
      <c r="EB524" s="267"/>
      <c r="EG524" s="267"/>
      <c r="EL524" s="267"/>
      <c r="EQ524" s="267"/>
      <c r="EU524" s="270"/>
      <c r="EV524" s="267"/>
      <c r="FC524" s="267"/>
      <c r="FD524" s="267"/>
      <c r="FE524" s="267"/>
      <c r="FF524" s="267"/>
      <c r="FG524" s="267"/>
      <c r="FL524" s="267"/>
      <c r="FM524" s="267"/>
      <c r="FN524" s="267"/>
      <c r="FO524" s="267"/>
      <c r="FP524" s="267"/>
      <c r="FQ524" s="264"/>
      <c r="FR524" s="264"/>
      <c r="FS524" s="264"/>
      <c r="FT524" s="264"/>
      <c r="FU524" s="267"/>
      <c r="FV524" s="267"/>
      <c r="FW524" s="267"/>
      <c r="FX524" s="267"/>
      <c r="FY524" s="267"/>
      <c r="GD524" s="267"/>
      <c r="GE524" s="267"/>
      <c r="GF524" s="267"/>
      <c r="GG524" s="267"/>
      <c r="GH524" s="267"/>
      <c r="GI524" s="264"/>
      <c r="GJ524" s="264"/>
      <c r="GK524" s="264"/>
      <c r="GL524" s="264"/>
      <c r="HD524" s="267"/>
      <c r="HE524" s="267"/>
      <c r="HF524" s="267"/>
      <c r="HG524" s="267"/>
      <c r="HH524" s="267"/>
      <c r="HI524" s="267"/>
      <c r="HJ524" s="267"/>
      <c r="HK524" s="267"/>
      <c r="HL524" s="267"/>
      <c r="HM524" s="267"/>
      <c r="HN524" s="267"/>
      <c r="HO524" s="267"/>
      <c r="HP524" s="267"/>
      <c r="HQ524" s="267"/>
      <c r="HR524" s="267"/>
      <c r="HS524" s="267"/>
      <c r="HT524" s="267"/>
      <c r="HU524" s="267"/>
      <c r="IH524" s="267"/>
      <c r="IK524" s="267"/>
      <c r="IN524" s="267"/>
      <c r="IQ524" s="267"/>
      <c r="IR524" s="267"/>
      <c r="IS524" s="267"/>
      <c r="IV524" s="267"/>
      <c r="IY524" s="267"/>
    </row>
    <row r="525" spans="10:259">
      <c r="J525" s="267"/>
      <c r="K525" s="267"/>
      <c r="L525" s="267"/>
      <c r="M525" s="267"/>
      <c r="N525" s="267"/>
      <c r="O525" s="267"/>
      <c r="P525" s="267"/>
      <c r="Q525" s="267"/>
      <c r="S525" s="267"/>
      <c r="T525" s="267"/>
      <c r="U525" s="267"/>
      <c r="V525" s="267"/>
      <c r="W525" s="264"/>
      <c r="Y525" s="267"/>
      <c r="Z525" s="267"/>
      <c r="AA525" s="267"/>
      <c r="AB525" s="267"/>
      <c r="AE525" s="267"/>
      <c r="AF525" s="267"/>
      <c r="AG525" s="267"/>
      <c r="AH525" s="267"/>
      <c r="AK525" s="267"/>
      <c r="AL525" s="267"/>
      <c r="AM525" s="267"/>
      <c r="AN525" s="267"/>
      <c r="AQ525" s="267"/>
      <c r="AR525" s="267"/>
      <c r="AS525" s="267"/>
      <c r="AT525" s="267"/>
      <c r="AW525" s="267"/>
      <c r="AX525" s="267"/>
      <c r="AY525" s="267"/>
      <c r="AZ525" s="267"/>
      <c r="BG525" s="269"/>
      <c r="BM525" s="269"/>
      <c r="BS525" s="269"/>
      <c r="BU525" s="267"/>
      <c r="BY525" s="267"/>
      <c r="CC525" s="267"/>
      <c r="CG525" s="267"/>
      <c r="CS525" s="267"/>
      <c r="CW525" s="270"/>
      <c r="CX525" s="267"/>
      <c r="DC525" s="267"/>
      <c r="DH525" s="267"/>
      <c r="DM525" s="267"/>
      <c r="DR525" s="267"/>
      <c r="DW525" s="267"/>
      <c r="EB525" s="267"/>
      <c r="EG525" s="267"/>
      <c r="EL525" s="267"/>
      <c r="EQ525" s="267"/>
      <c r="EU525" s="270"/>
      <c r="EV525" s="267"/>
      <c r="FC525" s="267"/>
      <c r="FD525" s="267"/>
      <c r="FE525" s="267"/>
      <c r="FF525" s="267"/>
      <c r="FG525" s="267"/>
      <c r="FL525" s="267"/>
      <c r="FM525" s="267"/>
      <c r="FN525" s="267"/>
      <c r="FO525" s="267"/>
      <c r="FP525" s="267"/>
      <c r="FQ525" s="264"/>
      <c r="FR525" s="264"/>
      <c r="FS525" s="264"/>
      <c r="FT525" s="264"/>
      <c r="FU525" s="267"/>
      <c r="FV525" s="267"/>
      <c r="FW525" s="267"/>
      <c r="FX525" s="267"/>
      <c r="FY525" s="267"/>
      <c r="GD525" s="267"/>
      <c r="GE525" s="267"/>
      <c r="GF525" s="267"/>
      <c r="GG525" s="267"/>
      <c r="GH525" s="267"/>
      <c r="GI525" s="264"/>
      <c r="GJ525" s="264"/>
      <c r="GK525" s="264"/>
      <c r="GL525" s="264"/>
      <c r="HD525" s="267"/>
      <c r="HE525" s="267"/>
      <c r="HF525" s="267"/>
      <c r="HG525" s="267"/>
      <c r="HH525" s="267"/>
      <c r="HI525" s="267"/>
      <c r="HJ525" s="267"/>
      <c r="HK525" s="267"/>
      <c r="HL525" s="267"/>
      <c r="HM525" s="267"/>
      <c r="HN525" s="267"/>
      <c r="HO525" s="267"/>
      <c r="HP525" s="267"/>
      <c r="HQ525" s="267"/>
      <c r="HR525" s="267"/>
      <c r="HS525" s="267"/>
      <c r="HT525" s="267"/>
      <c r="HU525" s="267"/>
      <c r="IH525" s="267"/>
      <c r="IK525" s="267"/>
      <c r="IN525" s="267"/>
      <c r="IQ525" s="267"/>
      <c r="IR525" s="267"/>
      <c r="IS525" s="267"/>
      <c r="IV525" s="267"/>
      <c r="IY525" s="267"/>
    </row>
    <row r="526" spans="10:259">
      <c r="J526" s="267"/>
      <c r="K526" s="267"/>
      <c r="L526" s="267"/>
      <c r="M526" s="267"/>
      <c r="N526" s="267"/>
      <c r="O526" s="267"/>
      <c r="P526" s="267"/>
      <c r="Q526" s="267"/>
      <c r="S526" s="267"/>
      <c r="T526" s="267"/>
      <c r="U526" s="267"/>
      <c r="V526" s="267"/>
      <c r="W526" s="264"/>
      <c r="Y526" s="267"/>
      <c r="Z526" s="267"/>
      <c r="AA526" s="267"/>
      <c r="AB526" s="267"/>
      <c r="AE526" s="267"/>
      <c r="AF526" s="267"/>
      <c r="AG526" s="267"/>
      <c r="AH526" s="267"/>
      <c r="AK526" s="267"/>
      <c r="AL526" s="267"/>
      <c r="AM526" s="267"/>
      <c r="AN526" s="267"/>
      <c r="AQ526" s="267"/>
      <c r="AR526" s="267"/>
      <c r="AS526" s="267"/>
      <c r="AT526" s="267"/>
      <c r="AW526" s="267"/>
      <c r="AX526" s="267"/>
      <c r="AY526" s="267"/>
      <c r="AZ526" s="267"/>
      <c r="BG526" s="269"/>
      <c r="BM526" s="269"/>
      <c r="BS526" s="269"/>
      <c r="BU526" s="267"/>
      <c r="BY526" s="267"/>
      <c r="CC526" s="267"/>
      <c r="CG526" s="267"/>
      <c r="CS526" s="267"/>
      <c r="CW526" s="270"/>
      <c r="CX526" s="267"/>
      <c r="DC526" s="267"/>
      <c r="DH526" s="267"/>
      <c r="DM526" s="267"/>
      <c r="DR526" s="267"/>
      <c r="DW526" s="267"/>
      <c r="EB526" s="267"/>
      <c r="EG526" s="267"/>
      <c r="EL526" s="267"/>
      <c r="EQ526" s="267"/>
      <c r="EU526" s="270"/>
      <c r="EV526" s="267"/>
      <c r="FC526" s="267"/>
      <c r="FD526" s="267"/>
      <c r="FE526" s="267"/>
      <c r="FF526" s="267"/>
      <c r="FG526" s="267"/>
      <c r="FL526" s="267"/>
      <c r="FM526" s="267"/>
      <c r="FN526" s="267"/>
      <c r="FO526" s="267"/>
      <c r="FP526" s="267"/>
      <c r="FQ526" s="264"/>
      <c r="FR526" s="264"/>
      <c r="FS526" s="264"/>
      <c r="FT526" s="264"/>
      <c r="FU526" s="267"/>
      <c r="FV526" s="267"/>
      <c r="FW526" s="267"/>
      <c r="FX526" s="267"/>
      <c r="FY526" s="267"/>
      <c r="GD526" s="267"/>
      <c r="GE526" s="267"/>
      <c r="GF526" s="267"/>
      <c r="GG526" s="267"/>
      <c r="GH526" s="267"/>
      <c r="GI526" s="264"/>
      <c r="GJ526" s="264"/>
      <c r="GK526" s="264"/>
      <c r="GL526" s="264"/>
      <c r="HD526" s="267"/>
      <c r="HE526" s="267"/>
      <c r="HF526" s="267"/>
      <c r="HG526" s="267"/>
      <c r="HH526" s="267"/>
      <c r="HI526" s="267"/>
      <c r="HJ526" s="267"/>
      <c r="HK526" s="267"/>
      <c r="HL526" s="267"/>
      <c r="HM526" s="267"/>
      <c r="HN526" s="267"/>
      <c r="HO526" s="267"/>
      <c r="HP526" s="267"/>
      <c r="HQ526" s="267"/>
      <c r="HR526" s="267"/>
      <c r="HS526" s="267"/>
      <c r="HT526" s="267"/>
      <c r="HU526" s="267"/>
      <c r="IH526" s="267"/>
      <c r="IK526" s="267"/>
      <c r="IN526" s="267"/>
      <c r="IQ526" s="267"/>
      <c r="IR526" s="267"/>
      <c r="IS526" s="267"/>
      <c r="IV526" s="267"/>
      <c r="IY526" s="267"/>
    </row>
    <row r="527" spans="10:259">
      <c r="J527" s="267"/>
      <c r="K527" s="267"/>
      <c r="L527" s="267"/>
      <c r="M527" s="267"/>
      <c r="N527" s="267"/>
      <c r="O527" s="267"/>
      <c r="P527" s="267"/>
      <c r="Q527" s="267"/>
      <c r="S527" s="267"/>
      <c r="T527" s="267"/>
      <c r="U527" s="267"/>
      <c r="V527" s="267"/>
      <c r="W527" s="264"/>
      <c r="Y527" s="267"/>
      <c r="Z527" s="267"/>
      <c r="AA527" s="267"/>
      <c r="AB527" s="267"/>
      <c r="AE527" s="267"/>
      <c r="AF527" s="267"/>
      <c r="AG527" s="267"/>
      <c r="AH527" s="267"/>
      <c r="AK527" s="267"/>
      <c r="AL527" s="267"/>
      <c r="AM527" s="267"/>
      <c r="AN527" s="267"/>
      <c r="AQ527" s="267"/>
      <c r="AR527" s="267"/>
      <c r="AS527" s="267"/>
      <c r="AT527" s="267"/>
      <c r="AW527" s="267"/>
      <c r="AX527" s="267"/>
      <c r="AY527" s="267"/>
      <c r="AZ527" s="267"/>
      <c r="BG527" s="269"/>
      <c r="BM527" s="269"/>
      <c r="BS527" s="269"/>
      <c r="BU527" s="267"/>
      <c r="BY527" s="267"/>
      <c r="CC527" s="267"/>
      <c r="CG527" s="267"/>
      <c r="CS527" s="267"/>
      <c r="CW527" s="270"/>
      <c r="CX527" s="267"/>
      <c r="DC527" s="267"/>
      <c r="DH527" s="267"/>
      <c r="DM527" s="267"/>
      <c r="DR527" s="267"/>
      <c r="DW527" s="267"/>
      <c r="EB527" s="267"/>
      <c r="EG527" s="267"/>
      <c r="EL527" s="267"/>
      <c r="EQ527" s="267"/>
      <c r="EU527" s="270"/>
      <c r="EV527" s="267"/>
      <c r="FC527" s="267"/>
      <c r="FD527" s="267"/>
      <c r="FE527" s="267"/>
      <c r="FF527" s="267"/>
      <c r="FG527" s="267"/>
      <c r="FL527" s="267"/>
      <c r="FM527" s="267"/>
      <c r="FN527" s="267"/>
      <c r="FO527" s="267"/>
      <c r="FP527" s="267"/>
      <c r="FQ527" s="264"/>
      <c r="FR527" s="264"/>
      <c r="FS527" s="264"/>
      <c r="FT527" s="264"/>
      <c r="FU527" s="267"/>
      <c r="FV527" s="267"/>
      <c r="FW527" s="267"/>
      <c r="FX527" s="267"/>
      <c r="FY527" s="267"/>
      <c r="GD527" s="267"/>
      <c r="GE527" s="267"/>
      <c r="GF527" s="267"/>
      <c r="GG527" s="267"/>
      <c r="GH527" s="267"/>
      <c r="GI527" s="264"/>
      <c r="GJ527" s="264"/>
      <c r="GK527" s="264"/>
      <c r="GL527" s="264"/>
      <c r="HD527" s="267"/>
      <c r="HE527" s="267"/>
      <c r="HF527" s="267"/>
      <c r="HG527" s="267"/>
      <c r="HH527" s="267"/>
      <c r="HI527" s="267"/>
      <c r="HJ527" s="267"/>
      <c r="HK527" s="267"/>
      <c r="HL527" s="267"/>
      <c r="HM527" s="267"/>
      <c r="HN527" s="267"/>
      <c r="HO527" s="267"/>
      <c r="HP527" s="267"/>
      <c r="HQ527" s="267"/>
      <c r="HR527" s="267"/>
      <c r="HS527" s="267"/>
      <c r="HT527" s="267"/>
      <c r="HU527" s="267"/>
      <c r="IH527" s="267"/>
      <c r="IK527" s="267"/>
      <c r="IN527" s="267"/>
      <c r="IQ527" s="267"/>
      <c r="IR527" s="267"/>
      <c r="IS527" s="267"/>
      <c r="IV527" s="267"/>
      <c r="IY527" s="267"/>
    </row>
    <row r="528" spans="10:259">
      <c r="J528" s="267"/>
      <c r="K528" s="267"/>
      <c r="L528" s="267"/>
      <c r="M528" s="267"/>
      <c r="N528" s="267"/>
      <c r="O528" s="267"/>
      <c r="P528" s="267"/>
      <c r="Q528" s="267"/>
      <c r="S528" s="267"/>
      <c r="T528" s="267"/>
      <c r="U528" s="267"/>
      <c r="V528" s="267"/>
      <c r="W528" s="264"/>
      <c r="Y528" s="267"/>
      <c r="Z528" s="267"/>
      <c r="AA528" s="267"/>
      <c r="AB528" s="267"/>
      <c r="AE528" s="267"/>
      <c r="AF528" s="267"/>
      <c r="AG528" s="267"/>
      <c r="AH528" s="267"/>
      <c r="AK528" s="267"/>
      <c r="AL528" s="267"/>
      <c r="AM528" s="267"/>
      <c r="AN528" s="267"/>
      <c r="AQ528" s="267"/>
      <c r="AR528" s="267"/>
      <c r="AS528" s="267"/>
      <c r="AT528" s="267"/>
      <c r="AW528" s="267"/>
      <c r="AX528" s="267"/>
      <c r="AY528" s="267"/>
      <c r="AZ528" s="267"/>
      <c r="BG528" s="269"/>
      <c r="BM528" s="269"/>
      <c r="BS528" s="269"/>
      <c r="BU528" s="267"/>
      <c r="BY528" s="267"/>
      <c r="CC528" s="267"/>
      <c r="CG528" s="267"/>
      <c r="CS528" s="267"/>
      <c r="CW528" s="270"/>
      <c r="CX528" s="267"/>
      <c r="DC528" s="267"/>
      <c r="DH528" s="267"/>
      <c r="DM528" s="267"/>
      <c r="DR528" s="267"/>
      <c r="DW528" s="267"/>
      <c r="EB528" s="267"/>
      <c r="EG528" s="267"/>
      <c r="EL528" s="267"/>
      <c r="EQ528" s="267"/>
      <c r="EU528" s="270"/>
      <c r="EV528" s="267"/>
      <c r="FC528" s="267"/>
      <c r="FD528" s="267"/>
      <c r="FE528" s="267"/>
      <c r="FF528" s="267"/>
      <c r="FG528" s="267"/>
      <c r="FL528" s="267"/>
      <c r="FM528" s="267"/>
      <c r="FN528" s="267"/>
      <c r="FO528" s="267"/>
      <c r="FP528" s="267"/>
      <c r="FQ528" s="264"/>
      <c r="FR528" s="264"/>
      <c r="FS528" s="264"/>
      <c r="FT528" s="264"/>
      <c r="FU528" s="267"/>
      <c r="FV528" s="267"/>
      <c r="FW528" s="267"/>
      <c r="FX528" s="267"/>
      <c r="FY528" s="267"/>
      <c r="GD528" s="267"/>
      <c r="GE528" s="267"/>
      <c r="GF528" s="267"/>
      <c r="GG528" s="267"/>
      <c r="GH528" s="267"/>
      <c r="GI528" s="264"/>
      <c r="GJ528" s="264"/>
      <c r="GK528" s="264"/>
      <c r="GL528" s="264"/>
      <c r="HD528" s="267"/>
      <c r="HE528" s="267"/>
      <c r="HF528" s="267"/>
      <c r="HG528" s="267"/>
      <c r="HH528" s="267"/>
      <c r="HI528" s="267"/>
      <c r="HJ528" s="267"/>
      <c r="HK528" s="267"/>
      <c r="HL528" s="267"/>
      <c r="HM528" s="267"/>
      <c r="HN528" s="267"/>
      <c r="HO528" s="267"/>
      <c r="HP528" s="267"/>
      <c r="HQ528" s="267"/>
      <c r="HR528" s="267"/>
      <c r="HS528" s="267"/>
      <c r="HT528" s="267"/>
      <c r="HU528" s="267"/>
      <c r="IH528" s="267"/>
      <c r="IK528" s="267"/>
      <c r="IN528" s="267"/>
      <c r="IQ528" s="267"/>
      <c r="IR528" s="267"/>
      <c r="IS528" s="267"/>
      <c r="IV528" s="267"/>
      <c r="IY528" s="267"/>
    </row>
    <row r="529" spans="10:259">
      <c r="J529" s="267"/>
      <c r="K529" s="267"/>
      <c r="L529" s="267"/>
      <c r="M529" s="267"/>
      <c r="N529" s="267"/>
      <c r="O529" s="267"/>
      <c r="P529" s="267"/>
      <c r="Q529" s="267"/>
      <c r="S529" s="267"/>
      <c r="T529" s="267"/>
      <c r="U529" s="267"/>
      <c r="V529" s="267"/>
      <c r="W529" s="264"/>
      <c r="Y529" s="267"/>
      <c r="Z529" s="267"/>
      <c r="AA529" s="267"/>
      <c r="AB529" s="267"/>
      <c r="AE529" s="267"/>
      <c r="AF529" s="267"/>
      <c r="AG529" s="267"/>
      <c r="AH529" s="267"/>
      <c r="AK529" s="267"/>
      <c r="AL529" s="267"/>
      <c r="AM529" s="267"/>
      <c r="AN529" s="267"/>
      <c r="AQ529" s="267"/>
      <c r="AR529" s="267"/>
      <c r="AS529" s="267"/>
      <c r="AT529" s="267"/>
      <c r="AW529" s="267"/>
      <c r="AX529" s="267"/>
      <c r="AY529" s="267"/>
      <c r="AZ529" s="267"/>
      <c r="BG529" s="269"/>
      <c r="BM529" s="269"/>
      <c r="BS529" s="269"/>
      <c r="BU529" s="267"/>
      <c r="BY529" s="267"/>
      <c r="CC529" s="267"/>
      <c r="CG529" s="267"/>
      <c r="CS529" s="267"/>
      <c r="CW529" s="270"/>
      <c r="CX529" s="267"/>
      <c r="DC529" s="267"/>
      <c r="DH529" s="267"/>
      <c r="DM529" s="267"/>
      <c r="DR529" s="267"/>
      <c r="DW529" s="267"/>
      <c r="EB529" s="267"/>
      <c r="EG529" s="267"/>
      <c r="EL529" s="267"/>
      <c r="EQ529" s="267"/>
      <c r="EU529" s="270"/>
      <c r="EV529" s="267"/>
      <c r="FC529" s="267"/>
      <c r="FD529" s="267"/>
      <c r="FE529" s="267"/>
      <c r="FF529" s="267"/>
      <c r="FG529" s="267"/>
      <c r="FL529" s="267"/>
      <c r="FM529" s="267"/>
      <c r="FN529" s="267"/>
      <c r="FO529" s="267"/>
      <c r="FP529" s="267"/>
      <c r="FQ529" s="264"/>
      <c r="FR529" s="264"/>
      <c r="FS529" s="264"/>
      <c r="FT529" s="264"/>
      <c r="FU529" s="267"/>
      <c r="FV529" s="267"/>
      <c r="FW529" s="267"/>
      <c r="FX529" s="267"/>
      <c r="FY529" s="267"/>
      <c r="GD529" s="267"/>
      <c r="GE529" s="267"/>
      <c r="GF529" s="267"/>
      <c r="GG529" s="267"/>
      <c r="GH529" s="267"/>
      <c r="GI529" s="264"/>
      <c r="GJ529" s="264"/>
      <c r="GK529" s="264"/>
      <c r="GL529" s="264"/>
      <c r="HD529" s="267"/>
      <c r="HE529" s="267"/>
      <c r="HF529" s="267"/>
      <c r="HG529" s="267"/>
      <c r="HH529" s="267"/>
      <c r="HI529" s="267"/>
      <c r="HJ529" s="267"/>
      <c r="HK529" s="267"/>
      <c r="HL529" s="267"/>
      <c r="HM529" s="267"/>
      <c r="HN529" s="267"/>
      <c r="HO529" s="267"/>
      <c r="HP529" s="267"/>
      <c r="HQ529" s="267"/>
      <c r="HR529" s="267"/>
      <c r="HS529" s="267"/>
      <c r="HT529" s="267"/>
      <c r="HU529" s="267"/>
      <c r="IH529" s="267"/>
      <c r="IK529" s="267"/>
      <c r="IN529" s="267"/>
      <c r="IQ529" s="267"/>
      <c r="IR529" s="267"/>
      <c r="IS529" s="267"/>
      <c r="IV529" s="267"/>
      <c r="IY529" s="267"/>
    </row>
    <row r="530" spans="10:259">
      <c r="J530" s="267"/>
      <c r="K530" s="267"/>
      <c r="L530" s="267"/>
      <c r="M530" s="267"/>
      <c r="N530" s="267"/>
      <c r="O530" s="267"/>
      <c r="P530" s="267"/>
      <c r="Q530" s="267"/>
      <c r="S530" s="267"/>
      <c r="T530" s="267"/>
      <c r="U530" s="267"/>
      <c r="V530" s="267"/>
      <c r="W530" s="264"/>
      <c r="Y530" s="267"/>
      <c r="Z530" s="267"/>
      <c r="AA530" s="267"/>
      <c r="AB530" s="267"/>
      <c r="AE530" s="267"/>
      <c r="AF530" s="267"/>
      <c r="AG530" s="267"/>
      <c r="AH530" s="267"/>
      <c r="AK530" s="267"/>
      <c r="AL530" s="267"/>
      <c r="AM530" s="267"/>
      <c r="AN530" s="267"/>
      <c r="AQ530" s="267"/>
      <c r="AR530" s="267"/>
      <c r="AS530" s="267"/>
      <c r="AT530" s="267"/>
      <c r="AW530" s="267"/>
      <c r="AX530" s="267"/>
      <c r="AY530" s="267"/>
      <c r="AZ530" s="267"/>
      <c r="BG530" s="269"/>
      <c r="BM530" s="269"/>
      <c r="BS530" s="269"/>
      <c r="BU530" s="267"/>
      <c r="BY530" s="267"/>
      <c r="CC530" s="267"/>
      <c r="CG530" s="267"/>
      <c r="CS530" s="267"/>
      <c r="CW530" s="270"/>
      <c r="CX530" s="267"/>
      <c r="DC530" s="267"/>
      <c r="DH530" s="267"/>
      <c r="DM530" s="267"/>
      <c r="DR530" s="267"/>
      <c r="DW530" s="267"/>
      <c r="EB530" s="267"/>
      <c r="EG530" s="267"/>
      <c r="EL530" s="267"/>
      <c r="EQ530" s="267"/>
      <c r="EU530" s="270"/>
      <c r="EV530" s="267"/>
      <c r="FC530" s="267"/>
      <c r="FD530" s="267"/>
      <c r="FE530" s="267"/>
      <c r="FF530" s="267"/>
      <c r="FG530" s="267"/>
      <c r="FL530" s="267"/>
      <c r="FM530" s="267"/>
      <c r="FN530" s="267"/>
      <c r="FO530" s="267"/>
      <c r="FP530" s="267"/>
      <c r="FQ530" s="264"/>
      <c r="FR530" s="264"/>
      <c r="FS530" s="264"/>
      <c r="FT530" s="264"/>
      <c r="FU530" s="267"/>
      <c r="FV530" s="267"/>
      <c r="FW530" s="267"/>
      <c r="FX530" s="267"/>
      <c r="FY530" s="267"/>
      <c r="GD530" s="267"/>
      <c r="GE530" s="267"/>
      <c r="GF530" s="267"/>
      <c r="GG530" s="267"/>
      <c r="GH530" s="267"/>
      <c r="GI530" s="264"/>
      <c r="GJ530" s="264"/>
      <c r="GK530" s="264"/>
      <c r="GL530" s="264"/>
      <c r="HD530" s="267"/>
      <c r="HE530" s="267"/>
      <c r="HF530" s="267"/>
      <c r="HG530" s="267"/>
      <c r="HH530" s="267"/>
      <c r="HI530" s="267"/>
      <c r="HJ530" s="267"/>
      <c r="HK530" s="267"/>
      <c r="HL530" s="267"/>
      <c r="HM530" s="267"/>
      <c r="HN530" s="267"/>
      <c r="HO530" s="267"/>
      <c r="HP530" s="267"/>
      <c r="HQ530" s="267"/>
      <c r="HR530" s="267"/>
      <c r="HS530" s="267"/>
      <c r="HT530" s="267"/>
      <c r="HU530" s="267"/>
      <c r="IH530" s="267"/>
      <c r="IK530" s="267"/>
      <c r="IN530" s="267"/>
      <c r="IQ530" s="267"/>
      <c r="IR530" s="267"/>
      <c r="IS530" s="267"/>
      <c r="IV530" s="267"/>
      <c r="IY530" s="267"/>
    </row>
    <row r="531" spans="10:259">
      <c r="J531" s="267"/>
      <c r="K531" s="267"/>
      <c r="L531" s="267"/>
      <c r="M531" s="267"/>
      <c r="N531" s="267"/>
      <c r="O531" s="267"/>
      <c r="P531" s="267"/>
      <c r="Q531" s="267"/>
      <c r="S531" s="267"/>
      <c r="T531" s="267"/>
      <c r="U531" s="267"/>
      <c r="V531" s="267"/>
      <c r="W531" s="264"/>
      <c r="Y531" s="267"/>
      <c r="Z531" s="267"/>
      <c r="AA531" s="267"/>
      <c r="AB531" s="267"/>
      <c r="AE531" s="267"/>
      <c r="AF531" s="267"/>
      <c r="AG531" s="267"/>
      <c r="AH531" s="267"/>
      <c r="AK531" s="267"/>
      <c r="AL531" s="267"/>
      <c r="AM531" s="267"/>
      <c r="AN531" s="267"/>
      <c r="AQ531" s="267"/>
      <c r="AR531" s="267"/>
      <c r="AS531" s="267"/>
      <c r="AT531" s="267"/>
      <c r="AW531" s="267"/>
      <c r="AX531" s="267"/>
      <c r="AY531" s="267"/>
      <c r="AZ531" s="267"/>
      <c r="BG531" s="269"/>
      <c r="BM531" s="269"/>
      <c r="BS531" s="269"/>
      <c r="BU531" s="267"/>
      <c r="BY531" s="267"/>
      <c r="CC531" s="267"/>
      <c r="CG531" s="267"/>
      <c r="CS531" s="267"/>
      <c r="CW531" s="270"/>
      <c r="CX531" s="267"/>
      <c r="DC531" s="267"/>
      <c r="DH531" s="267"/>
      <c r="DM531" s="267"/>
      <c r="DR531" s="267"/>
      <c r="DW531" s="267"/>
      <c r="EB531" s="267"/>
      <c r="EG531" s="267"/>
      <c r="EL531" s="267"/>
      <c r="EQ531" s="267"/>
      <c r="EU531" s="270"/>
      <c r="EV531" s="267"/>
      <c r="FC531" s="267"/>
      <c r="FD531" s="267"/>
      <c r="FE531" s="267"/>
      <c r="FF531" s="267"/>
      <c r="FG531" s="267"/>
      <c r="FL531" s="267"/>
      <c r="FM531" s="267"/>
      <c r="FN531" s="267"/>
      <c r="FO531" s="267"/>
      <c r="FP531" s="267"/>
      <c r="FQ531" s="264"/>
      <c r="FR531" s="264"/>
      <c r="FS531" s="264"/>
      <c r="FT531" s="264"/>
      <c r="FU531" s="267"/>
      <c r="FV531" s="267"/>
      <c r="FW531" s="267"/>
      <c r="FX531" s="267"/>
      <c r="FY531" s="267"/>
      <c r="GD531" s="267"/>
      <c r="GE531" s="267"/>
      <c r="GF531" s="267"/>
      <c r="GG531" s="267"/>
      <c r="GH531" s="267"/>
      <c r="GI531" s="264"/>
      <c r="GJ531" s="264"/>
      <c r="GK531" s="264"/>
      <c r="GL531" s="264"/>
      <c r="HD531" s="267"/>
      <c r="HE531" s="267"/>
      <c r="HF531" s="267"/>
      <c r="HG531" s="267"/>
      <c r="HH531" s="267"/>
      <c r="HI531" s="267"/>
      <c r="HJ531" s="267"/>
      <c r="HK531" s="267"/>
      <c r="HL531" s="267"/>
      <c r="HM531" s="267"/>
      <c r="HN531" s="267"/>
      <c r="HO531" s="267"/>
      <c r="HP531" s="267"/>
      <c r="HQ531" s="267"/>
      <c r="HR531" s="267"/>
      <c r="HS531" s="267"/>
      <c r="HT531" s="267"/>
      <c r="HU531" s="267"/>
      <c r="IH531" s="267"/>
      <c r="IK531" s="267"/>
      <c r="IN531" s="267"/>
      <c r="IQ531" s="267"/>
      <c r="IR531" s="267"/>
      <c r="IS531" s="267"/>
      <c r="IV531" s="267"/>
      <c r="IY531" s="267"/>
    </row>
    <row r="532" spans="10:259">
      <c r="J532" s="267"/>
      <c r="K532" s="267"/>
      <c r="L532" s="267"/>
      <c r="M532" s="267"/>
      <c r="N532" s="267"/>
      <c r="O532" s="267"/>
      <c r="P532" s="267"/>
      <c r="Q532" s="267"/>
      <c r="S532" s="267"/>
      <c r="T532" s="267"/>
      <c r="U532" s="267"/>
      <c r="V532" s="267"/>
      <c r="W532" s="264"/>
      <c r="Y532" s="267"/>
      <c r="Z532" s="267"/>
      <c r="AA532" s="267"/>
      <c r="AB532" s="267"/>
      <c r="AE532" s="267"/>
      <c r="AF532" s="267"/>
      <c r="AG532" s="267"/>
      <c r="AH532" s="267"/>
      <c r="AK532" s="267"/>
      <c r="AL532" s="267"/>
      <c r="AM532" s="267"/>
      <c r="AN532" s="267"/>
      <c r="AQ532" s="267"/>
      <c r="AR532" s="267"/>
      <c r="AS532" s="267"/>
      <c r="AT532" s="267"/>
      <c r="AW532" s="267"/>
      <c r="AX532" s="267"/>
      <c r="AY532" s="267"/>
      <c r="AZ532" s="267"/>
      <c r="BG532" s="269"/>
      <c r="BM532" s="269"/>
      <c r="BS532" s="269"/>
      <c r="BU532" s="267"/>
      <c r="BY532" s="267"/>
      <c r="CC532" s="267"/>
      <c r="CG532" s="267"/>
      <c r="CS532" s="267"/>
      <c r="CW532" s="270"/>
      <c r="CX532" s="267"/>
      <c r="DC532" s="267"/>
      <c r="DH532" s="267"/>
      <c r="DM532" s="267"/>
      <c r="DR532" s="267"/>
      <c r="DW532" s="267"/>
      <c r="EB532" s="267"/>
      <c r="EG532" s="267"/>
      <c r="EL532" s="267"/>
      <c r="EQ532" s="267"/>
      <c r="EU532" s="270"/>
      <c r="EV532" s="267"/>
      <c r="FC532" s="267"/>
      <c r="FD532" s="267"/>
      <c r="FE532" s="267"/>
      <c r="FF532" s="267"/>
      <c r="FG532" s="267"/>
      <c r="FL532" s="267"/>
      <c r="FM532" s="267"/>
      <c r="FN532" s="267"/>
      <c r="FO532" s="267"/>
      <c r="FP532" s="267"/>
      <c r="FQ532" s="264"/>
      <c r="FR532" s="264"/>
      <c r="FS532" s="264"/>
      <c r="FT532" s="264"/>
      <c r="FU532" s="267"/>
      <c r="FV532" s="267"/>
      <c r="FW532" s="267"/>
      <c r="FX532" s="267"/>
      <c r="FY532" s="267"/>
      <c r="GD532" s="267"/>
      <c r="GE532" s="267"/>
      <c r="GF532" s="267"/>
      <c r="GG532" s="267"/>
      <c r="GH532" s="267"/>
      <c r="GI532" s="264"/>
      <c r="GJ532" s="264"/>
      <c r="GK532" s="264"/>
      <c r="GL532" s="264"/>
      <c r="HD532" s="267"/>
      <c r="HE532" s="267"/>
      <c r="HF532" s="267"/>
      <c r="HG532" s="267"/>
      <c r="HH532" s="267"/>
      <c r="HI532" s="267"/>
      <c r="HJ532" s="267"/>
      <c r="HK532" s="267"/>
      <c r="HL532" s="267"/>
      <c r="HM532" s="267"/>
      <c r="HN532" s="267"/>
      <c r="HO532" s="267"/>
      <c r="HP532" s="267"/>
      <c r="HQ532" s="267"/>
      <c r="HR532" s="267"/>
      <c r="HS532" s="267"/>
      <c r="HT532" s="267"/>
      <c r="HU532" s="267"/>
      <c r="IH532" s="267"/>
      <c r="IK532" s="267"/>
      <c r="IN532" s="267"/>
      <c r="IQ532" s="267"/>
      <c r="IR532" s="267"/>
      <c r="IS532" s="267"/>
      <c r="IV532" s="267"/>
      <c r="IY532" s="267"/>
    </row>
    <row r="533" spans="10:259">
      <c r="J533" s="267"/>
      <c r="K533" s="267"/>
      <c r="L533" s="267"/>
      <c r="M533" s="267"/>
      <c r="N533" s="267"/>
      <c r="O533" s="267"/>
      <c r="P533" s="267"/>
      <c r="Q533" s="267"/>
      <c r="S533" s="267"/>
      <c r="T533" s="267"/>
      <c r="U533" s="267"/>
      <c r="V533" s="267"/>
      <c r="W533" s="264"/>
      <c r="Y533" s="267"/>
      <c r="Z533" s="267"/>
      <c r="AA533" s="267"/>
      <c r="AB533" s="267"/>
      <c r="AE533" s="267"/>
      <c r="AF533" s="267"/>
      <c r="AG533" s="267"/>
      <c r="AH533" s="267"/>
      <c r="AK533" s="267"/>
      <c r="AL533" s="267"/>
      <c r="AM533" s="267"/>
      <c r="AN533" s="267"/>
      <c r="AQ533" s="267"/>
      <c r="AR533" s="267"/>
      <c r="AS533" s="267"/>
      <c r="AT533" s="267"/>
      <c r="AW533" s="267"/>
      <c r="AX533" s="267"/>
      <c r="AY533" s="267"/>
      <c r="AZ533" s="267"/>
      <c r="BG533" s="269"/>
      <c r="BM533" s="269"/>
      <c r="BS533" s="269"/>
      <c r="BU533" s="267"/>
      <c r="BY533" s="267"/>
      <c r="CC533" s="267"/>
      <c r="CG533" s="267"/>
      <c r="CS533" s="267"/>
      <c r="CW533" s="270"/>
      <c r="CX533" s="267"/>
      <c r="DC533" s="267"/>
      <c r="DH533" s="267"/>
      <c r="DM533" s="267"/>
      <c r="DR533" s="267"/>
      <c r="DW533" s="267"/>
      <c r="EB533" s="267"/>
      <c r="EG533" s="267"/>
      <c r="EL533" s="267"/>
      <c r="EQ533" s="267"/>
      <c r="EU533" s="270"/>
      <c r="EV533" s="267"/>
      <c r="FC533" s="267"/>
      <c r="FD533" s="267"/>
      <c r="FE533" s="267"/>
      <c r="FF533" s="267"/>
      <c r="FG533" s="267"/>
      <c r="FL533" s="267"/>
      <c r="FM533" s="267"/>
      <c r="FN533" s="267"/>
      <c r="FO533" s="267"/>
      <c r="FP533" s="267"/>
      <c r="FQ533" s="264"/>
      <c r="FR533" s="264"/>
      <c r="FS533" s="264"/>
      <c r="FT533" s="264"/>
      <c r="FU533" s="267"/>
      <c r="FV533" s="267"/>
      <c r="FW533" s="267"/>
      <c r="FX533" s="267"/>
      <c r="FY533" s="267"/>
      <c r="GD533" s="267"/>
      <c r="GE533" s="267"/>
      <c r="GF533" s="267"/>
      <c r="GG533" s="267"/>
      <c r="GH533" s="267"/>
      <c r="GI533" s="264"/>
      <c r="GJ533" s="264"/>
      <c r="GK533" s="264"/>
      <c r="GL533" s="264"/>
      <c r="HD533" s="267"/>
      <c r="HE533" s="267"/>
      <c r="HF533" s="267"/>
      <c r="HG533" s="267"/>
      <c r="HH533" s="267"/>
      <c r="HI533" s="267"/>
      <c r="HJ533" s="267"/>
      <c r="HK533" s="267"/>
      <c r="HL533" s="267"/>
      <c r="HM533" s="267"/>
      <c r="HN533" s="267"/>
      <c r="HO533" s="267"/>
      <c r="HP533" s="267"/>
      <c r="HQ533" s="267"/>
      <c r="HR533" s="267"/>
      <c r="HS533" s="267"/>
      <c r="HT533" s="267"/>
      <c r="HU533" s="267"/>
      <c r="IH533" s="267"/>
      <c r="IK533" s="267"/>
      <c r="IN533" s="267"/>
      <c r="IQ533" s="267"/>
      <c r="IR533" s="267"/>
      <c r="IS533" s="267"/>
      <c r="IV533" s="267"/>
      <c r="IY533" s="267"/>
    </row>
    <row r="534" spans="10:259">
      <c r="J534" s="267"/>
      <c r="K534" s="267"/>
      <c r="L534" s="267"/>
      <c r="M534" s="267"/>
      <c r="N534" s="267"/>
      <c r="O534" s="267"/>
      <c r="P534" s="267"/>
      <c r="Q534" s="267"/>
      <c r="S534" s="267"/>
      <c r="T534" s="267"/>
      <c r="U534" s="267"/>
      <c r="V534" s="267"/>
      <c r="W534" s="264"/>
      <c r="Y534" s="267"/>
      <c r="Z534" s="267"/>
      <c r="AA534" s="267"/>
      <c r="AB534" s="267"/>
      <c r="AE534" s="267"/>
      <c r="AF534" s="267"/>
      <c r="AG534" s="267"/>
      <c r="AH534" s="267"/>
      <c r="AK534" s="267"/>
      <c r="AL534" s="267"/>
      <c r="AM534" s="267"/>
      <c r="AN534" s="267"/>
      <c r="AQ534" s="267"/>
      <c r="AR534" s="267"/>
      <c r="AS534" s="267"/>
      <c r="AT534" s="267"/>
      <c r="AW534" s="267"/>
      <c r="AX534" s="267"/>
      <c r="AY534" s="267"/>
      <c r="AZ534" s="267"/>
      <c r="BG534" s="269"/>
      <c r="BM534" s="269"/>
      <c r="BS534" s="269"/>
      <c r="BU534" s="267"/>
      <c r="BY534" s="267"/>
      <c r="CC534" s="267"/>
      <c r="CG534" s="267"/>
      <c r="CS534" s="267"/>
      <c r="CW534" s="270"/>
      <c r="CX534" s="267"/>
      <c r="DC534" s="267"/>
      <c r="DH534" s="267"/>
      <c r="DM534" s="267"/>
      <c r="DR534" s="267"/>
      <c r="DW534" s="267"/>
      <c r="EB534" s="267"/>
      <c r="EG534" s="267"/>
      <c r="EL534" s="267"/>
      <c r="EQ534" s="267"/>
      <c r="EU534" s="270"/>
      <c r="EV534" s="267"/>
      <c r="FC534" s="267"/>
      <c r="FD534" s="267"/>
      <c r="FE534" s="267"/>
      <c r="FF534" s="267"/>
      <c r="FG534" s="267"/>
      <c r="FL534" s="267"/>
      <c r="FM534" s="267"/>
      <c r="FN534" s="267"/>
      <c r="FO534" s="267"/>
      <c r="FP534" s="267"/>
      <c r="FQ534" s="264"/>
      <c r="FR534" s="264"/>
      <c r="FS534" s="264"/>
      <c r="FT534" s="264"/>
      <c r="FU534" s="267"/>
      <c r="FV534" s="267"/>
      <c r="FW534" s="267"/>
      <c r="FX534" s="267"/>
      <c r="FY534" s="267"/>
      <c r="GD534" s="267"/>
      <c r="GE534" s="267"/>
      <c r="GF534" s="267"/>
      <c r="GG534" s="267"/>
      <c r="GH534" s="267"/>
      <c r="GI534" s="264"/>
      <c r="GJ534" s="264"/>
      <c r="GK534" s="264"/>
      <c r="GL534" s="264"/>
      <c r="HD534" s="267"/>
      <c r="HE534" s="267"/>
      <c r="HF534" s="267"/>
      <c r="HG534" s="267"/>
      <c r="HH534" s="267"/>
      <c r="HI534" s="267"/>
      <c r="HJ534" s="267"/>
      <c r="HK534" s="267"/>
      <c r="HL534" s="267"/>
      <c r="HM534" s="267"/>
      <c r="HN534" s="267"/>
      <c r="HO534" s="267"/>
      <c r="HP534" s="267"/>
      <c r="HQ534" s="267"/>
      <c r="HR534" s="267"/>
      <c r="HS534" s="267"/>
      <c r="HT534" s="267"/>
      <c r="HU534" s="267"/>
      <c r="IH534" s="267"/>
      <c r="IK534" s="267"/>
      <c r="IN534" s="267"/>
      <c r="IQ534" s="267"/>
      <c r="IR534" s="267"/>
      <c r="IS534" s="267"/>
      <c r="IV534" s="267"/>
      <c r="IY534" s="267"/>
    </row>
    <row r="535" spans="10:259">
      <c r="J535" s="267"/>
      <c r="K535" s="267"/>
      <c r="L535" s="267"/>
      <c r="M535" s="267"/>
      <c r="N535" s="267"/>
      <c r="O535" s="267"/>
      <c r="P535" s="267"/>
      <c r="Q535" s="267"/>
      <c r="S535" s="267"/>
      <c r="T535" s="267"/>
      <c r="U535" s="267"/>
      <c r="V535" s="267"/>
      <c r="W535" s="264"/>
      <c r="Y535" s="267"/>
      <c r="Z535" s="267"/>
      <c r="AA535" s="267"/>
      <c r="AB535" s="267"/>
      <c r="AE535" s="267"/>
      <c r="AF535" s="267"/>
      <c r="AG535" s="267"/>
      <c r="AH535" s="267"/>
      <c r="AK535" s="267"/>
      <c r="AL535" s="267"/>
      <c r="AM535" s="267"/>
      <c r="AN535" s="267"/>
      <c r="AQ535" s="267"/>
      <c r="AR535" s="267"/>
      <c r="AS535" s="267"/>
      <c r="AT535" s="267"/>
      <c r="AW535" s="267"/>
      <c r="AX535" s="267"/>
      <c r="AY535" s="267"/>
      <c r="AZ535" s="267"/>
      <c r="BG535" s="269"/>
      <c r="BM535" s="269"/>
      <c r="BS535" s="269"/>
      <c r="BU535" s="267"/>
      <c r="BY535" s="267"/>
      <c r="CC535" s="267"/>
      <c r="CG535" s="267"/>
      <c r="CS535" s="267"/>
      <c r="CW535" s="270"/>
      <c r="CX535" s="267"/>
      <c r="DC535" s="267"/>
      <c r="DH535" s="267"/>
      <c r="DM535" s="267"/>
      <c r="DR535" s="267"/>
      <c r="DW535" s="267"/>
      <c r="EB535" s="267"/>
      <c r="EG535" s="267"/>
      <c r="EL535" s="267"/>
      <c r="EQ535" s="267"/>
      <c r="EU535" s="270"/>
      <c r="EV535" s="267"/>
      <c r="FC535" s="267"/>
      <c r="FD535" s="267"/>
      <c r="FE535" s="267"/>
      <c r="FF535" s="267"/>
      <c r="FG535" s="267"/>
      <c r="FL535" s="267"/>
      <c r="FM535" s="267"/>
      <c r="FN535" s="267"/>
      <c r="FO535" s="267"/>
      <c r="FP535" s="267"/>
      <c r="FQ535" s="264"/>
      <c r="FR535" s="264"/>
      <c r="FS535" s="264"/>
      <c r="FT535" s="264"/>
      <c r="FU535" s="267"/>
      <c r="FV535" s="267"/>
      <c r="FW535" s="267"/>
      <c r="FX535" s="267"/>
      <c r="FY535" s="267"/>
      <c r="GD535" s="267"/>
      <c r="GE535" s="267"/>
      <c r="GF535" s="267"/>
      <c r="GG535" s="267"/>
      <c r="GH535" s="267"/>
      <c r="GI535" s="264"/>
      <c r="GJ535" s="264"/>
      <c r="GK535" s="264"/>
      <c r="GL535" s="264"/>
      <c r="HD535" s="267"/>
      <c r="HE535" s="267"/>
      <c r="HF535" s="267"/>
      <c r="HG535" s="267"/>
      <c r="HH535" s="267"/>
      <c r="HI535" s="267"/>
      <c r="HJ535" s="267"/>
      <c r="HK535" s="267"/>
      <c r="HL535" s="267"/>
      <c r="HM535" s="267"/>
      <c r="HN535" s="267"/>
      <c r="HO535" s="267"/>
      <c r="HP535" s="267"/>
      <c r="HQ535" s="267"/>
      <c r="HR535" s="267"/>
      <c r="HS535" s="267"/>
      <c r="HT535" s="267"/>
      <c r="HU535" s="267"/>
      <c r="IH535" s="267"/>
      <c r="IK535" s="267"/>
      <c r="IN535" s="267"/>
      <c r="IQ535" s="267"/>
      <c r="IR535" s="267"/>
      <c r="IS535" s="267"/>
      <c r="IV535" s="267"/>
      <c r="IY535" s="267"/>
    </row>
    <row r="536" spans="10:259">
      <c r="J536" s="267"/>
      <c r="K536" s="267"/>
      <c r="L536" s="267"/>
      <c r="M536" s="267"/>
      <c r="N536" s="267"/>
      <c r="O536" s="267"/>
      <c r="P536" s="267"/>
      <c r="Q536" s="267"/>
      <c r="S536" s="267"/>
      <c r="T536" s="267"/>
      <c r="U536" s="267"/>
      <c r="V536" s="267"/>
      <c r="W536" s="264"/>
      <c r="Y536" s="267"/>
      <c r="Z536" s="267"/>
      <c r="AA536" s="267"/>
      <c r="AB536" s="267"/>
      <c r="AE536" s="267"/>
      <c r="AF536" s="267"/>
      <c r="AG536" s="267"/>
      <c r="AH536" s="267"/>
      <c r="AK536" s="267"/>
      <c r="AL536" s="267"/>
      <c r="AM536" s="267"/>
      <c r="AN536" s="267"/>
      <c r="AQ536" s="267"/>
      <c r="AR536" s="267"/>
      <c r="AS536" s="267"/>
      <c r="AT536" s="267"/>
      <c r="AW536" s="267"/>
      <c r="AX536" s="267"/>
      <c r="AY536" s="267"/>
      <c r="AZ536" s="267"/>
      <c r="BG536" s="269"/>
      <c r="BM536" s="269"/>
      <c r="BS536" s="269"/>
      <c r="BU536" s="267"/>
      <c r="BY536" s="267"/>
      <c r="CC536" s="267"/>
      <c r="CG536" s="267"/>
      <c r="CS536" s="267"/>
      <c r="CW536" s="270"/>
      <c r="CX536" s="267"/>
      <c r="DC536" s="267"/>
      <c r="DH536" s="267"/>
      <c r="DM536" s="267"/>
      <c r="DR536" s="267"/>
      <c r="DW536" s="267"/>
      <c r="EB536" s="267"/>
      <c r="EG536" s="267"/>
      <c r="EL536" s="267"/>
      <c r="EQ536" s="267"/>
      <c r="EU536" s="270"/>
      <c r="EV536" s="267"/>
      <c r="FC536" s="267"/>
      <c r="FD536" s="267"/>
      <c r="FE536" s="267"/>
      <c r="FF536" s="267"/>
      <c r="FG536" s="267"/>
      <c r="FL536" s="267"/>
      <c r="FM536" s="267"/>
      <c r="FN536" s="267"/>
      <c r="FO536" s="267"/>
      <c r="FP536" s="267"/>
      <c r="FQ536" s="264"/>
      <c r="FR536" s="264"/>
      <c r="FS536" s="264"/>
      <c r="FT536" s="264"/>
      <c r="FU536" s="267"/>
      <c r="FV536" s="267"/>
      <c r="FW536" s="267"/>
      <c r="FX536" s="267"/>
      <c r="FY536" s="267"/>
      <c r="GD536" s="267"/>
      <c r="GE536" s="267"/>
      <c r="GF536" s="267"/>
      <c r="GG536" s="267"/>
      <c r="GH536" s="267"/>
      <c r="GI536" s="264"/>
      <c r="GJ536" s="264"/>
      <c r="GK536" s="264"/>
      <c r="GL536" s="264"/>
      <c r="HD536" s="267"/>
      <c r="HE536" s="267"/>
      <c r="HF536" s="267"/>
      <c r="HG536" s="267"/>
      <c r="HH536" s="267"/>
      <c r="HI536" s="267"/>
      <c r="HJ536" s="267"/>
      <c r="HK536" s="267"/>
      <c r="HL536" s="267"/>
      <c r="HM536" s="267"/>
      <c r="HN536" s="267"/>
      <c r="HO536" s="267"/>
      <c r="HP536" s="267"/>
      <c r="HQ536" s="267"/>
      <c r="HR536" s="267"/>
      <c r="HS536" s="267"/>
      <c r="HT536" s="267"/>
      <c r="HU536" s="267"/>
      <c r="IH536" s="267"/>
      <c r="IK536" s="267"/>
      <c r="IN536" s="267"/>
      <c r="IQ536" s="267"/>
      <c r="IR536" s="267"/>
      <c r="IS536" s="267"/>
      <c r="IV536" s="267"/>
      <c r="IY536" s="267"/>
    </row>
    <row r="537" spans="10:259">
      <c r="J537" s="267"/>
      <c r="K537" s="267"/>
      <c r="L537" s="267"/>
      <c r="M537" s="267"/>
      <c r="N537" s="267"/>
      <c r="O537" s="267"/>
      <c r="P537" s="267"/>
      <c r="Q537" s="267"/>
      <c r="S537" s="267"/>
      <c r="T537" s="267"/>
      <c r="U537" s="267"/>
      <c r="V537" s="267"/>
      <c r="W537" s="264"/>
      <c r="Y537" s="267"/>
      <c r="Z537" s="267"/>
      <c r="AA537" s="267"/>
      <c r="AB537" s="267"/>
      <c r="AE537" s="267"/>
      <c r="AF537" s="267"/>
      <c r="AG537" s="267"/>
      <c r="AH537" s="267"/>
      <c r="AK537" s="267"/>
      <c r="AL537" s="267"/>
      <c r="AM537" s="267"/>
      <c r="AN537" s="267"/>
      <c r="AQ537" s="267"/>
      <c r="AR537" s="267"/>
      <c r="AS537" s="267"/>
      <c r="AT537" s="267"/>
      <c r="AW537" s="267"/>
      <c r="AX537" s="267"/>
      <c r="AY537" s="267"/>
      <c r="AZ537" s="267"/>
      <c r="BG537" s="269"/>
      <c r="BM537" s="269"/>
      <c r="BS537" s="269"/>
      <c r="BU537" s="267"/>
      <c r="BY537" s="267"/>
      <c r="CC537" s="267"/>
      <c r="CG537" s="267"/>
      <c r="CS537" s="267"/>
      <c r="CW537" s="270"/>
      <c r="CX537" s="267"/>
      <c r="DC537" s="267"/>
      <c r="DH537" s="267"/>
      <c r="DM537" s="267"/>
      <c r="DR537" s="267"/>
      <c r="DW537" s="267"/>
      <c r="EB537" s="267"/>
      <c r="EG537" s="267"/>
      <c r="EL537" s="267"/>
      <c r="EQ537" s="267"/>
      <c r="EU537" s="270"/>
      <c r="EV537" s="267"/>
      <c r="FC537" s="267"/>
      <c r="FD537" s="267"/>
      <c r="FE537" s="267"/>
      <c r="FF537" s="267"/>
      <c r="FG537" s="267"/>
      <c r="FL537" s="267"/>
      <c r="FM537" s="267"/>
      <c r="FN537" s="267"/>
      <c r="FO537" s="267"/>
      <c r="FP537" s="267"/>
      <c r="FQ537" s="264"/>
      <c r="FR537" s="264"/>
      <c r="FS537" s="264"/>
      <c r="FT537" s="264"/>
      <c r="FU537" s="267"/>
      <c r="FV537" s="267"/>
      <c r="FW537" s="267"/>
      <c r="FX537" s="267"/>
      <c r="FY537" s="267"/>
      <c r="GD537" s="267"/>
      <c r="GE537" s="267"/>
      <c r="GF537" s="267"/>
      <c r="GG537" s="267"/>
      <c r="GH537" s="267"/>
      <c r="GI537" s="264"/>
      <c r="GJ537" s="264"/>
      <c r="GK537" s="264"/>
      <c r="GL537" s="264"/>
      <c r="HD537" s="267"/>
      <c r="HE537" s="267"/>
      <c r="HF537" s="267"/>
      <c r="HG537" s="267"/>
      <c r="HH537" s="267"/>
      <c r="HI537" s="267"/>
      <c r="HJ537" s="267"/>
      <c r="HK537" s="267"/>
      <c r="HL537" s="267"/>
      <c r="HM537" s="267"/>
      <c r="HN537" s="267"/>
      <c r="HO537" s="267"/>
      <c r="HP537" s="267"/>
      <c r="HQ537" s="267"/>
      <c r="HR537" s="267"/>
      <c r="HS537" s="267"/>
      <c r="HT537" s="267"/>
      <c r="HU537" s="267"/>
      <c r="IH537" s="267"/>
      <c r="IK537" s="267"/>
      <c r="IN537" s="267"/>
      <c r="IQ537" s="267"/>
      <c r="IR537" s="267"/>
      <c r="IS537" s="267"/>
      <c r="IV537" s="267"/>
      <c r="IY537" s="267"/>
    </row>
    <row r="538" spans="10:259">
      <c r="J538" s="267"/>
      <c r="K538" s="267"/>
      <c r="L538" s="267"/>
      <c r="M538" s="267"/>
      <c r="N538" s="267"/>
      <c r="O538" s="267"/>
      <c r="P538" s="267"/>
      <c r="Q538" s="267"/>
      <c r="S538" s="267"/>
      <c r="T538" s="267"/>
      <c r="U538" s="267"/>
      <c r="V538" s="267"/>
      <c r="W538" s="264"/>
      <c r="Y538" s="267"/>
      <c r="Z538" s="267"/>
      <c r="AA538" s="267"/>
      <c r="AB538" s="267"/>
      <c r="AE538" s="267"/>
      <c r="AF538" s="267"/>
      <c r="AG538" s="267"/>
      <c r="AH538" s="267"/>
      <c r="AK538" s="267"/>
      <c r="AL538" s="267"/>
      <c r="AM538" s="267"/>
      <c r="AN538" s="267"/>
      <c r="AQ538" s="267"/>
      <c r="AR538" s="267"/>
      <c r="AS538" s="267"/>
      <c r="AT538" s="267"/>
      <c r="AW538" s="267"/>
      <c r="AX538" s="267"/>
      <c r="AY538" s="267"/>
      <c r="AZ538" s="267"/>
      <c r="BG538" s="269"/>
      <c r="BM538" s="269"/>
      <c r="BS538" s="269"/>
      <c r="BU538" s="267"/>
      <c r="BY538" s="267"/>
      <c r="CC538" s="267"/>
      <c r="CG538" s="267"/>
      <c r="CS538" s="267"/>
      <c r="CW538" s="270"/>
      <c r="CX538" s="267"/>
      <c r="DC538" s="267"/>
      <c r="DH538" s="267"/>
      <c r="DM538" s="267"/>
      <c r="DR538" s="267"/>
      <c r="DW538" s="267"/>
      <c r="EB538" s="267"/>
      <c r="EG538" s="267"/>
      <c r="EL538" s="267"/>
      <c r="EQ538" s="267"/>
      <c r="EU538" s="270"/>
      <c r="EV538" s="267"/>
      <c r="FC538" s="267"/>
      <c r="FD538" s="267"/>
      <c r="FE538" s="267"/>
      <c r="FF538" s="267"/>
      <c r="FG538" s="267"/>
      <c r="FL538" s="267"/>
      <c r="FM538" s="267"/>
      <c r="FN538" s="267"/>
      <c r="FO538" s="267"/>
      <c r="FP538" s="267"/>
      <c r="FQ538" s="264"/>
      <c r="FR538" s="264"/>
      <c r="FS538" s="264"/>
      <c r="FT538" s="264"/>
      <c r="FU538" s="267"/>
      <c r="FV538" s="267"/>
      <c r="FW538" s="267"/>
      <c r="FX538" s="267"/>
      <c r="FY538" s="267"/>
      <c r="GD538" s="267"/>
      <c r="GE538" s="267"/>
      <c r="GF538" s="267"/>
      <c r="GG538" s="267"/>
      <c r="GH538" s="267"/>
      <c r="GI538" s="264"/>
      <c r="GJ538" s="264"/>
      <c r="GK538" s="264"/>
      <c r="GL538" s="264"/>
      <c r="HD538" s="267"/>
      <c r="HE538" s="267"/>
      <c r="HF538" s="267"/>
      <c r="HG538" s="267"/>
      <c r="HH538" s="267"/>
      <c r="HI538" s="267"/>
      <c r="HJ538" s="267"/>
      <c r="HK538" s="267"/>
      <c r="HL538" s="267"/>
      <c r="HM538" s="267"/>
      <c r="HN538" s="267"/>
      <c r="HO538" s="267"/>
      <c r="HP538" s="267"/>
      <c r="HQ538" s="267"/>
      <c r="HR538" s="267"/>
      <c r="HS538" s="267"/>
      <c r="HT538" s="267"/>
      <c r="HU538" s="267"/>
      <c r="IH538" s="267"/>
      <c r="IK538" s="267"/>
      <c r="IN538" s="267"/>
      <c r="IQ538" s="267"/>
      <c r="IR538" s="267"/>
      <c r="IS538" s="267"/>
      <c r="IV538" s="267"/>
      <c r="IY538" s="267"/>
    </row>
    <row r="539" spans="10:259">
      <c r="J539" s="267"/>
      <c r="K539" s="267"/>
      <c r="L539" s="267"/>
      <c r="M539" s="267"/>
      <c r="N539" s="267"/>
      <c r="O539" s="267"/>
      <c r="P539" s="267"/>
      <c r="Q539" s="267"/>
      <c r="S539" s="267"/>
      <c r="T539" s="267"/>
      <c r="U539" s="267"/>
      <c r="V539" s="267"/>
      <c r="W539" s="264"/>
      <c r="Y539" s="267"/>
      <c r="Z539" s="267"/>
      <c r="AA539" s="267"/>
      <c r="AB539" s="267"/>
      <c r="AE539" s="267"/>
      <c r="AF539" s="267"/>
      <c r="AG539" s="267"/>
      <c r="AH539" s="267"/>
      <c r="AK539" s="267"/>
      <c r="AL539" s="267"/>
      <c r="AM539" s="267"/>
      <c r="AN539" s="267"/>
      <c r="AQ539" s="267"/>
      <c r="AR539" s="267"/>
      <c r="AS539" s="267"/>
      <c r="AT539" s="267"/>
      <c r="AW539" s="267"/>
      <c r="AX539" s="267"/>
      <c r="AY539" s="267"/>
      <c r="AZ539" s="267"/>
      <c r="BG539" s="269"/>
      <c r="BM539" s="269"/>
      <c r="BS539" s="269"/>
      <c r="BU539" s="267"/>
      <c r="BY539" s="267"/>
      <c r="CC539" s="267"/>
      <c r="CG539" s="267"/>
      <c r="CS539" s="267"/>
      <c r="CW539" s="270"/>
      <c r="CX539" s="267"/>
      <c r="DC539" s="267"/>
      <c r="DH539" s="267"/>
      <c r="DM539" s="267"/>
      <c r="DR539" s="267"/>
      <c r="DW539" s="267"/>
      <c r="EB539" s="267"/>
      <c r="EG539" s="267"/>
      <c r="EL539" s="267"/>
      <c r="EQ539" s="267"/>
      <c r="EU539" s="270"/>
      <c r="EV539" s="267"/>
      <c r="FC539" s="267"/>
      <c r="FD539" s="267"/>
      <c r="FE539" s="267"/>
      <c r="FF539" s="267"/>
      <c r="FG539" s="267"/>
      <c r="FL539" s="267"/>
      <c r="FM539" s="267"/>
      <c r="FN539" s="267"/>
      <c r="FO539" s="267"/>
      <c r="FP539" s="267"/>
      <c r="FQ539" s="264"/>
      <c r="FR539" s="264"/>
      <c r="FS539" s="264"/>
      <c r="FT539" s="264"/>
      <c r="FU539" s="267"/>
      <c r="FV539" s="267"/>
      <c r="FW539" s="267"/>
      <c r="FX539" s="267"/>
      <c r="FY539" s="267"/>
      <c r="GD539" s="267"/>
      <c r="GE539" s="267"/>
      <c r="GF539" s="267"/>
      <c r="GG539" s="267"/>
      <c r="GH539" s="267"/>
      <c r="GI539" s="264"/>
      <c r="GJ539" s="264"/>
      <c r="GK539" s="264"/>
      <c r="GL539" s="264"/>
      <c r="HD539" s="267"/>
      <c r="HE539" s="267"/>
      <c r="HF539" s="267"/>
      <c r="HG539" s="267"/>
      <c r="HH539" s="267"/>
      <c r="HI539" s="267"/>
      <c r="HJ539" s="267"/>
      <c r="HK539" s="267"/>
      <c r="HL539" s="267"/>
      <c r="HM539" s="267"/>
      <c r="HN539" s="267"/>
      <c r="HO539" s="267"/>
      <c r="HP539" s="267"/>
      <c r="HQ539" s="267"/>
      <c r="HR539" s="267"/>
      <c r="HS539" s="267"/>
      <c r="HT539" s="267"/>
      <c r="HU539" s="267"/>
      <c r="IH539" s="267"/>
      <c r="IK539" s="267"/>
      <c r="IN539" s="267"/>
      <c r="IQ539" s="267"/>
      <c r="IR539" s="267"/>
      <c r="IS539" s="267"/>
      <c r="IV539" s="267"/>
      <c r="IY539" s="267"/>
    </row>
    <row r="540" spans="10:259">
      <c r="J540" s="267"/>
      <c r="K540" s="267"/>
      <c r="L540" s="267"/>
      <c r="M540" s="267"/>
      <c r="N540" s="267"/>
      <c r="O540" s="267"/>
      <c r="P540" s="267"/>
      <c r="Q540" s="267"/>
      <c r="S540" s="267"/>
      <c r="T540" s="267"/>
      <c r="U540" s="267"/>
      <c r="V540" s="267"/>
      <c r="W540" s="264"/>
      <c r="Y540" s="267"/>
      <c r="Z540" s="267"/>
      <c r="AA540" s="267"/>
      <c r="AB540" s="267"/>
      <c r="AE540" s="267"/>
      <c r="AF540" s="267"/>
      <c r="AG540" s="267"/>
      <c r="AH540" s="267"/>
      <c r="AK540" s="267"/>
      <c r="AL540" s="267"/>
      <c r="AM540" s="267"/>
      <c r="AN540" s="267"/>
      <c r="AQ540" s="267"/>
      <c r="AR540" s="267"/>
      <c r="AS540" s="267"/>
      <c r="AT540" s="267"/>
      <c r="AW540" s="267"/>
      <c r="AX540" s="267"/>
      <c r="AY540" s="267"/>
      <c r="AZ540" s="267"/>
      <c r="BG540" s="269"/>
      <c r="BM540" s="269"/>
      <c r="BS540" s="269"/>
      <c r="BU540" s="267"/>
      <c r="BY540" s="267"/>
      <c r="CC540" s="267"/>
      <c r="CG540" s="267"/>
      <c r="CS540" s="267"/>
      <c r="CW540" s="270"/>
      <c r="CX540" s="267"/>
      <c r="DC540" s="267"/>
      <c r="DH540" s="267"/>
      <c r="DM540" s="267"/>
      <c r="DR540" s="267"/>
      <c r="DW540" s="267"/>
      <c r="EB540" s="267"/>
      <c r="EG540" s="267"/>
      <c r="EL540" s="267"/>
      <c r="EQ540" s="267"/>
      <c r="EU540" s="270"/>
      <c r="EV540" s="267"/>
      <c r="FC540" s="267"/>
      <c r="FD540" s="267"/>
      <c r="FE540" s="267"/>
      <c r="FF540" s="267"/>
      <c r="FG540" s="267"/>
      <c r="FL540" s="267"/>
      <c r="FM540" s="267"/>
      <c r="FN540" s="267"/>
      <c r="FO540" s="267"/>
      <c r="FP540" s="267"/>
      <c r="FQ540" s="264"/>
      <c r="FR540" s="264"/>
      <c r="FS540" s="264"/>
      <c r="FT540" s="264"/>
      <c r="FU540" s="267"/>
      <c r="FV540" s="267"/>
      <c r="FW540" s="267"/>
      <c r="FX540" s="267"/>
      <c r="FY540" s="267"/>
      <c r="GD540" s="267"/>
      <c r="GE540" s="267"/>
      <c r="GF540" s="267"/>
      <c r="GG540" s="267"/>
      <c r="GH540" s="267"/>
      <c r="GI540" s="264"/>
      <c r="GJ540" s="264"/>
      <c r="GK540" s="264"/>
      <c r="GL540" s="264"/>
      <c r="HD540" s="267"/>
      <c r="HE540" s="267"/>
      <c r="HF540" s="267"/>
      <c r="HG540" s="267"/>
      <c r="HH540" s="267"/>
      <c r="HI540" s="267"/>
      <c r="HJ540" s="267"/>
      <c r="HK540" s="267"/>
      <c r="HL540" s="267"/>
      <c r="HM540" s="267"/>
      <c r="HN540" s="267"/>
      <c r="HO540" s="267"/>
      <c r="HP540" s="267"/>
      <c r="HQ540" s="267"/>
      <c r="HR540" s="267"/>
      <c r="HS540" s="267"/>
      <c r="HT540" s="267"/>
      <c r="HU540" s="267"/>
      <c r="IH540" s="267"/>
      <c r="IK540" s="267"/>
      <c r="IN540" s="267"/>
      <c r="IQ540" s="267"/>
      <c r="IR540" s="267"/>
      <c r="IS540" s="267"/>
      <c r="IV540" s="267"/>
      <c r="IY540" s="267"/>
    </row>
    <row r="541" spans="10:259">
      <c r="J541" s="267"/>
      <c r="K541" s="267"/>
      <c r="L541" s="267"/>
      <c r="M541" s="267"/>
      <c r="N541" s="267"/>
      <c r="O541" s="267"/>
      <c r="P541" s="267"/>
      <c r="Q541" s="267"/>
      <c r="S541" s="267"/>
      <c r="T541" s="267"/>
      <c r="U541" s="267"/>
      <c r="V541" s="267"/>
      <c r="W541" s="264"/>
      <c r="Y541" s="267"/>
      <c r="Z541" s="267"/>
      <c r="AA541" s="267"/>
      <c r="AB541" s="267"/>
      <c r="AE541" s="267"/>
      <c r="AF541" s="267"/>
      <c r="AG541" s="267"/>
      <c r="AH541" s="267"/>
      <c r="AK541" s="267"/>
      <c r="AL541" s="267"/>
      <c r="AM541" s="267"/>
      <c r="AN541" s="267"/>
      <c r="AQ541" s="267"/>
      <c r="AR541" s="267"/>
      <c r="AS541" s="267"/>
      <c r="AT541" s="267"/>
      <c r="AW541" s="267"/>
      <c r="AX541" s="267"/>
      <c r="AY541" s="267"/>
      <c r="AZ541" s="267"/>
      <c r="BG541" s="269"/>
      <c r="BM541" s="269"/>
      <c r="BS541" s="269"/>
      <c r="BU541" s="267"/>
      <c r="BY541" s="267"/>
      <c r="CC541" s="267"/>
      <c r="CG541" s="267"/>
      <c r="CS541" s="267"/>
      <c r="CW541" s="270"/>
      <c r="CX541" s="267"/>
      <c r="DC541" s="267"/>
      <c r="DH541" s="267"/>
      <c r="DM541" s="267"/>
      <c r="DR541" s="267"/>
      <c r="DW541" s="267"/>
      <c r="EB541" s="267"/>
      <c r="EG541" s="267"/>
      <c r="EL541" s="267"/>
      <c r="EQ541" s="267"/>
      <c r="EU541" s="270"/>
      <c r="EV541" s="267"/>
      <c r="FC541" s="267"/>
      <c r="FD541" s="267"/>
      <c r="FE541" s="267"/>
      <c r="FF541" s="267"/>
      <c r="FG541" s="267"/>
      <c r="FL541" s="267"/>
      <c r="FM541" s="267"/>
      <c r="FN541" s="267"/>
      <c r="FO541" s="267"/>
      <c r="FP541" s="267"/>
      <c r="FQ541" s="264"/>
      <c r="FR541" s="264"/>
      <c r="FS541" s="264"/>
      <c r="FT541" s="264"/>
      <c r="FU541" s="267"/>
      <c r="FV541" s="267"/>
      <c r="FW541" s="267"/>
      <c r="FX541" s="267"/>
      <c r="FY541" s="267"/>
      <c r="GD541" s="267"/>
      <c r="GE541" s="267"/>
      <c r="GF541" s="267"/>
      <c r="GG541" s="267"/>
      <c r="GH541" s="267"/>
      <c r="GI541" s="264"/>
      <c r="GJ541" s="264"/>
      <c r="GK541" s="264"/>
      <c r="GL541" s="264"/>
      <c r="HD541" s="267"/>
      <c r="HE541" s="267"/>
      <c r="HF541" s="267"/>
      <c r="HG541" s="267"/>
      <c r="HH541" s="267"/>
      <c r="HI541" s="267"/>
      <c r="HJ541" s="267"/>
      <c r="HK541" s="267"/>
      <c r="HL541" s="267"/>
      <c r="HM541" s="267"/>
      <c r="HN541" s="267"/>
      <c r="HO541" s="267"/>
      <c r="HP541" s="267"/>
      <c r="HQ541" s="267"/>
      <c r="HR541" s="267"/>
      <c r="HS541" s="267"/>
      <c r="HT541" s="267"/>
      <c r="HU541" s="267"/>
      <c r="IH541" s="267"/>
      <c r="IK541" s="267"/>
      <c r="IN541" s="267"/>
      <c r="IQ541" s="267"/>
      <c r="IR541" s="267"/>
      <c r="IS541" s="267"/>
      <c r="IV541" s="267"/>
      <c r="IY541" s="267"/>
    </row>
    <row r="542" spans="10:259">
      <c r="J542" s="267"/>
      <c r="K542" s="267"/>
      <c r="L542" s="267"/>
      <c r="M542" s="267"/>
      <c r="N542" s="267"/>
      <c r="O542" s="267"/>
      <c r="P542" s="267"/>
      <c r="Q542" s="267"/>
      <c r="S542" s="267"/>
      <c r="T542" s="267"/>
      <c r="U542" s="267"/>
      <c r="V542" s="267"/>
      <c r="W542" s="264"/>
      <c r="Y542" s="267"/>
      <c r="Z542" s="267"/>
      <c r="AA542" s="267"/>
      <c r="AB542" s="267"/>
      <c r="AE542" s="267"/>
      <c r="AF542" s="267"/>
      <c r="AG542" s="267"/>
      <c r="AH542" s="267"/>
      <c r="AK542" s="267"/>
      <c r="AL542" s="267"/>
      <c r="AM542" s="267"/>
      <c r="AN542" s="267"/>
      <c r="AQ542" s="267"/>
      <c r="AR542" s="267"/>
      <c r="AS542" s="267"/>
      <c r="AT542" s="267"/>
      <c r="AW542" s="267"/>
      <c r="AX542" s="267"/>
      <c r="AY542" s="267"/>
      <c r="AZ542" s="267"/>
      <c r="BG542" s="269"/>
      <c r="BM542" s="269"/>
      <c r="BS542" s="269"/>
      <c r="BU542" s="267"/>
      <c r="BY542" s="267"/>
      <c r="CC542" s="267"/>
      <c r="CG542" s="267"/>
      <c r="CS542" s="267"/>
      <c r="CW542" s="270"/>
      <c r="CX542" s="267"/>
      <c r="DC542" s="267"/>
      <c r="DH542" s="267"/>
      <c r="DM542" s="267"/>
      <c r="DR542" s="267"/>
      <c r="DW542" s="267"/>
      <c r="EB542" s="267"/>
      <c r="EG542" s="267"/>
      <c r="EL542" s="267"/>
      <c r="EQ542" s="267"/>
      <c r="EU542" s="270"/>
      <c r="EV542" s="267"/>
      <c r="FC542" s="267"/>
      <c r="FD542" s="267"/>
      <c r="FE542" s="267"/>
      <c r="FF542" s="267"/>
      <c r="FG542" s="267"/>
      <c r="FL542" s="267"/>
      <c r="FM542" s="267"/>
      <c r="FN542" s="267"/>
      <c r="FO542" s="267"/>
      <c r="FP542" s="267"/>
      <c r="FQ542" s="264"/>
      <c r="FR542" s="264"/>
      <c r="FS542" s="264"/>
      <c r="FT542" s="264"/>
      <c r="FU542" s="267"/>
      <c r="FV542" s="267"/>
      <c r="FW542" s="267"/>
      <c r="FX542" s="267"/>
      <c r="FY542" s="267"/>
      <c r="GD542" s="267"/>
      <c r="GE542" s="267"/>
      <c r="GF542" s="267"/>
      <c r="GG542" s="267"/>
      <c r="GH542" s="267"/>
      <c r="GI542" s="264"/>
      <c r="GJ542" s="264"/>
      <c r="GK542" s="264"/>
      <c r="GL542" s="264"/>
      <c r="HD542" s="267"/>
      <c r="HE542" s="267"/>
      <c r="HF542" s="267"/>
      <c r="HG542" s="267"/>
      <c r="HH542" s="267"/>
      <c r="HI542" s="267"/>
      <c r="HJ542" s="267"/>
      <c r="HK542" s="267"/>
      <c r="HL542" s="267"/>
      <c r="HM542" s="267"/>
      <c r="HN542" s="267"/>
      <c r="HO542" s="267"/>
      <c r="HP542" s="267"/>
      <c r="HQ542" s="267"/>
      <c r="HR542" s="267"/>
      <c r="HS542" s="267"/>
      <c r="HT542" s="267"/>
      <c r="HU542" s="267"/>
      <c r="IH542" s="267"/>
      <c r="IK542" s="267"/>
      <c r="IN542" s="267"/>
      <c r="IQ542" s="267"/>
      <c r="IR542" s="267"/>
      <c r="IS542" s="267"/>
      <c r="IV542" s="267"/>
      <c r="IY542" s="267"/>
    </row>
    <row r="543" spans="10:259">
      <c r="J543" s="267"/>
      <c r="K543" s="267"/>
      <c r="L543" s="267"/>
      <c r="M543" s="267"/>
      <c r="N543" s="267"/>
      <c r="O543" s="267"/>
      <c r="P543" s="267"/>
      <c r="Q543" s="267"/>
      <c r="S543" s="267"/>
      <c r="T543" s="267"/>
      <c r="U543" s="267"/>
      <c r="V543" s="267"/>
      <c r="W543" s="264"/>
      <c r="Y543" s="267"/>
      <c r="Z543" s="267"/>
      <c r="AA543" s="267"/>
      <c r="AB543" s="267"/>
      <c r="AE543" s="267"/>
      <c r="AF543" s="267"/>
      <c r="AG543" s="267"/>
      <c r="AH543" s="267"/>
      <c r="AK543" s="267"/>
      <c r="AL543" s="267"/>
      <c r="AM543" s="267"/>
      <c r="AN543" s="267"/>
      <c r="AQ543" s="267"/>
      <c r="AR543" s="267"/>
      <c r="AS543" s="267"/>
      <c r="AT543" s="267"/>
      <c r="AW543" s="267"/>
      <c r="AX543" s="267"/>
      <c r="AY543" s="267"/>
      <c r="AZ543" s="267"/>
      <c r="BG543" s="269"/>
      <c r="BM543" s="269"/>
      <c r="BS543" s="269"/>
      <c r="BU543" s="267"/>
      <c r="BY543" s="267"/>
      <c r="CC543" s="267"/>
      <c r="CG543" s="267"/>
      <c r="CS543" s="267"/>
      <c r="CW543" s="270"/>
      <c r="CX543" s="267"/>
      <c r="DC543" s="267"/>
      <c r="DH543" s="267"/>
      <c r="DM543" s="267"/>
      <c r="DR543" s="267"/>
      <c r="DW543" s="267"/>
      <c r="EB543" s="267"/>
      <c r="EG543" s="267"/>
      <c r="EL543" s="267"/>
      <c r="EQ543" s="267"/>
      <c r="EU543" s="270"/>
      <c r="EV543" s="267"/>
      <c r="FC543" s="267"/>
      <c r="FD543" s="267"/>
      <c r="FE543" s="267"/>
      <c r="FF543" s="267"/>
      <c r="FG543" s="267"/>
      <c r="FL543" s="267"/>
      <c r="FM543" s="267"/>
      <c r="FN543" s="267"/>
      <c r="FO543" s="267"/>
      <c r="FP543" s="267"/>
      <c r="FQ543" s="264"/>
      <c r="FR543" s="264"/>
      <c r="FS543" s="264"/>
      <c r="FT543" s="264"/>
      <c r="FU543" s="267"/>
      <c r="FV543" s="267"/>
      <c r="FW543" s="267"/>
      <c r="FX543" s="267"/>
      <c r="FY543" s="267"/>
      <c r="GD543" s="267"/>
      <c r="GE543" s="267"/>
      <c r="GF543" s="267"/>
      <c r="GG543" s="267"/>
      <c r="GH543" s="267"/>
      <c r="GI543" s="264"/>
      <c r="GJ543" s="264"/>
      <c r="GK543" s="264"/>
      <c r="GL543" s="264"/>
      <c r="HD543" s="267"/>
      <c r="HE543" s="267"/>
      <c r="HF543" s="267"/>
      <c r="HG543" s="267"/>
      <c r="HH543" s="267"/>
      <c r="HI543" s="267"/>
      <c r="HJ543" s="267"/>
      <c r="HK543" s="267"/>
      <c r="HL543" s="267"/>
      <c r="HM543" s="267"/>
      <c r="HN543" s="267"/>
      <c r="HO543" s="267"/>
      <c r="HP543" s="267"/>
      <c r="HQ543" s="267"/>
      <c r="HR543" s="267"/>
      <c r="HS543" s="267"/>
      <c r="HT543" s="267"/>
      <c r="HU543" s="267"/>
      <c r="IH543" s="267"/>
      <c r="IK543" s="267"/>
      <c r="IN543" s="267"/>
      <c r="IQ543" s="267"/>
      <c r="IR543" s="267"/>
      <c r="IS543" s="267"/>
      <c r="IV543" s="267"/>
      <c r="IY543" s="267"/>
    </row>
    <row r="544" spans="10:259">
      <c r="J544" s="267"/>
      <c r="K544" s="267"/>
      <c r="L544" s="267"/>
      <c r="M544" s="267"/>
      <c r="N544" s="267"/>
      <c r="O544" s="267"/>
      <c r="P544" s="267"/>
      <c r="Q544" s="267"/>
      <c r="S544" s="267"/>
      <c r="T544" s="267"/>
      <c r="U544" s="267"/>
      <c r="V544" s="267"/>
      <c r="W544" s="264"/>
      <c r="Y544" s="267"/>
      <c r="Z544" s="267"/>
      <c r="AA544" s="267"/>
      <c r="AB544" s="267"/>
      <c r="AE544" s="267"/>
      <c r="AF544" s="267"/>
      <c r="AG544" s="267"/>
      <c r="AH544" s="267"/>
      <c r="AK544" s="267"/>
      <c r="AL544" s="267"/>
      <c r="AM544" s="267"/>
      <c r="AN544" s="267"/>
      <c r="AQ544" s="267"/>
      <c r="AR544" s="267"/>
      <c r="AS544" s="267"/>
      <c r="AT544" s="267"/>
      <c r="AW544" s="267"/>
      <c r="AX544" s="267"/>
      <c r="AY544" s="267"/>
      <c r="AZ544" s="267"/>
      <c r="BG544" s="269"/>
      <c r="BM544" s="269"/>
      <c r="BS544" s="269"/>
      <c r="BU544" s="267"/>
      <c r="BY544" s="267"/>
      <c r="CC544" s="267"/>
      <c r="CG544" s="267"/>
      <c r="CS544" s="267"/>
      <c r="CW544" s="270"/>
      <c r="CX544" s="267"/>
      <c r="DC544" s="267"/>
      <c r="DH544" s="267"/>
      <c r="DM544" s="267"/>
      <c r="DR544" s="267"/>
      <c r="DW544" s="267"/>
      <c r="EB544" s="267"/>
      <c r="EG544" s="267"/>
      <c r="EL544" s="267"/>
      <c r="EQ544" s="267"/>
      <c r="EU544" s="270"/>
      <c r="EV544" s="267"/>
      <c r="FC544" s="267"/>
      <c r="FD544" s="267"/>
      <c r="FE544" s="267"/>
      <c r="FF544" s="267"/>
      <c r="FG544" s="267"/>
      <c r="FL544" s="267"/>
      <c r="FM544" s="267"/>
      <c r="FN544" s="267"/>
      <c r="FO544" s="267"/>
      <c r="FP544" s="267"/>
      <c r="FQ544" s="264"/>
      <c r="FR544" s="264"/>
      <c r="FS544" s="264"/>
      <c r="FT544" s="264"/>
      <c r="FU544" s="267"/>
      <c r="FV544" s="267"/>
      <c r="FW544" s="267"/>
      <c r="FX544" s="267"/>
      <c r="FY544" s="267"/>
      <c r="GD544" s="267"/>
      <c r="GE544" s="267"/>
      <c r="GF544" s="267"/>
      <c r="GG544" s="267"/>
      <c r="GH544" s="267"/>
      <c r="GI544" s="264"/>
      <c r="GJ544" s="264"/>
      <c r="GK544" s="264"/>
      <c r="GL544" s="264"/>
      <c r="HD544" s="267"/>
      <c r="HE544" s="267"/>
      <c r="HF544" s="267"/>
      <c r="HG544" s="267"/>
      <c r="HH544" s="267"/>
      <c r="HI544" s="267"/>
      <c r="HJ544" s="267"/>
      <c r="HK544" s="267"/>
      <c r="HL544" s="267"/>
      <c r="HM544" s="267"/>
      <c r="HN544" s="267"/>
      <c r="HO544" s="267"/>
      <c r="HP544" s="267"/>
      <c r="HQ544" s="267"/>
      <c r="HR544" s="267"/>
      <c r="HS544" s="267"/>
      <c r="HT544" s="267"/>
      <c r="HU544" s="267"/>
      <c r="IH544" s="267"/>
      <c r="IK544" s="267"/>
      <c r="IN544" s="267"/>
      <c r="IQ544" s="267"/>
      <c r="IR544" s="267"/>
      <c r="IS544" s="267"/>
      <c r="IV544" s="267"/>
      <c r="IY544" s="267"/>
    </row>
    <row r="545" spans="10:259">
      <c r="J545" s="267"/>
      <c r="K545" s="267"/>
      <c r="L545" s="267"/>
      <c r="M545" s="267"/>
      <c r="N545" s="267"/>
      <c r="O545" s="267"/>
      <c r="P545" s="267"/>
      <c r="Q545" s="267"/>
      <c r="S545" s="267"/>
      <c r="T545" s="267"/>
      <c r="U545" s="267"/>
      <c r="V545" s="267"/>
      <c r="W545" s="264"/>
      <c r="Y545" s="267"/>
      <c r="Z545" s="267"/>
      <c r="AA545" s="267"/>
      <c r="AB545" s="267"/>
      <c r="AE545" s="267"/>
      <c r="AF545" s="267"/>
      <c r="AG545" s="267"/>
      <c r="AH545" s="267"/>
      <c r="AK545" s="267"/>
      <c r="AL545" s="267"/>
      <c r="AM545" s="267"/>
      <c r="AN545" s="267"/>
      <c r="AQ545" s="267"/>
      <c r="AR545" s="267"/>
      <c r="AS545" s="267"/>
      <c r="AT545" s="267"/>
      <c r="AW545" s="267"/>
      <c r="AX545" s="267"/>
      <c r="AY545" s="267"/>
      <c r="AZ545" s="267"/>
      <c r="BG545" s="269"/>
      <c r="BM545" s="269"/>
      <c r="BS545" s="269"/>
      <c r="BU545" s="267"/>
      <c r="BY545" s="267"/>
      <c r="CC545" s="267"/>
      <c r="CG545" s="267"/>
      <c r="CS545" s="267"/>
      <c r="CW545" s="270"/>
      <c r="CX545" s="267"/>
      <c r="DC545" s="267"/>
      <c r="DH545" s="267"/>
      <c r="DM545" s="267"/>
      <c r="DR545" s="267"/>
      <c r="DW545" s="267"/>
      <c r="EB545" s="267"/>
      <c r="EG545" s="267"/>
      <c r="EL545" s="267"/>
      <c r="EQ545" s="267"/>
      <c r="EU545" s="270"/>
      <c r="EV545" s="267"/>
      <c r="FC545" s="267"/>
      <c r="FD545" s="267"/>
      <c r="FE545" s="267"/>
      <c r="FF545" s="267"/>
      <c r="FG545" s="267"/>
      <c r="FL545" s="267"/>
      <c r="FM545" s="267"/>
      <c r="FN545" s="267"/>
      <c r="FO545" s="267"/>
      <c r="FP545" s="267"/>
      <c r="FQ545" s="264"/>
      <c r="FR545" s="264"/>
      <c r="FS545" s="264"/>
      <c r="FT545" s="264"/>
      <c r="FU545" s="267"/>
      <c r="FV545" s="267"/>
      <c r="FW545" s="267"/>
      <c r="FX545" s="267"/>
      <c r="FY545" s="267"/>
      <c r="GD545" s="267"/>
      <c r="GE545" s="267"/>
      <c r="GF545" s="267"/>
      <c r="GG545" s="267"/>
      <c r="GH545" s="267"/>
      <c r="GI545" s="264"/>
      <c r="GJ545" s="264"/>
      <c r="GK545" s="264"/>
      <c r="GL545" s="264"/>
      <c r="HD545" s="267"/>
      <c r="HE545" s="267"/>
      <c r="HF545" s="267"/>
      <c r="HG545" s="267"/>
      <c r="HH545" s="267"/>
      <c r="HI545" s="267"/>
      <c r="HJ545" s="267"/>
      <c r="HK545" s="267"/>
      <c r="HL545" s="267"/>
      <c r="HM545" s="267"/>
      <c r="HN545" s="267"/>
      <c r="HO545" s="267"/>
      <c r="HP545" s="267"/>
      <c r="HQ545" s="267"/>
      <c r="HR545" s="267"/>
      <c r="HS545" s="267"/>
      <c r="HT545" s="267"/>
      <c r="HU545" s="267"/>
      <c r="IH545" s="267"/>
      <c r="IK545" s="267"/>
      <c r="IN545" s="267"/>
      <c r="IQ545" s="267"/>
      <c r="IR545" s="267"/>
      <c r="IS545" s="267"/>
      <c r="IV545" s="267"/>
      <c r="IY545" s="267"/>
    </row>
    <row r="546" spans="10:259">
      <c r="J546" s="267"/>
      <c r="K546" s="267"/>
      <c r="L546" s="267"/>
      <c r="M546" s="267"/>
      <c r="N546" s="267"/>
      <c r="O546" s="267"/>
      <c r="P546" s="267"/>
      <c r="Q546" s="267"/>
      <c r="S546" s="267"/>
      <c r="T546" s="267"/>
      <c r="U546" s="267"/>
      <c r="V546" s="267"/>
      <c r="W546" s="264"/>
      <c r="Y546" s="267"/>
      <c r="Z546" s="267"/>
      <c r="AA546" s="267"/>
      <c r="AB546" s="267"/>
      <c r="AE546" s="267"/>
      <c r="AF546" s="267"/>
      <c r="AG546" s="267"/>
      <c r="AH546" s="267"/>
      <c r="AK546" s="267"/>
      <c r="AL546" s="267"/>
      <c r="AM546" s="267"/>
      <c r="AN546" s="267"/>
      <c r="AQ546" s="267"/>
      <c r="AR546" s="267"/>
      <c r="AS546" s="267"/>
      <c r="AT546" s="267"/>
      <c r="AW546" s="267"/>
      <c r="AX546" s="267"/>
      <c r="AY546" s="267"/>
      <c r="AZ546" s="267"/>
      <c r="BG546" s="269"/>
      <c r="BM546" s="269"/>
      <c r="BS546" s="269"/>
      <c r="BU546" s="267"/>
      <c r="BY546" s="267"/>
      <c r="CC546" s="267"/>
      <c r="CG546" s="267"/>
      <c r="CS546" s="267"/>
      <c r="CW546" s="270"/>
      <c r="CX546" s="267"/>
      <c r="DC546" s="267"/>
      <c r="DH546" s="267"/>
      <c r="DM546" s="267"/>
      <c r="DR546" s="267"/>
      <c r="DW546" s="267"/>
      <c r="EB546" s="267"/>
      <c r="EG546" s="267"/>
      <c r="EL546" s="267"/>
      <c r="EQ546" s="267"/>
      <c r="EU546" s="270"/>
      <c r="EV546" s="267"/>
      <c r="FC546" s="267"/>
      <c r="FD546" s="267"/>
      <c r="FE546" s="267"/>
      <c r="FF546" s="267"/>
      <c r="FG546" s="267"/>
      <c r="FL546" s="267"/>
      <c r="FM546" s="267"/>
      <c r="FN546" s="267"/>
      <c r="FO546" s="267"/>
      <c r="FP546" s="267"/>
      <c r="FQ546" s="264"/>
      <c r="FR546" s="264"/>
      <c r="FS546" s="264"/>
      <c r="FT546" s="264"/>
      <c r="FU546" s="267"/>
      <c r="FV546" s="267"/>
      <c r="FW546" s="267"/>
      <c r="FX546" s="267"/>
      <c r="FY546" s="267"/>
      <c r="GD546" s="267"/>
      <c r="GE546" s="267"/>
      <c r="GF546" s="267"/>
      <c r="GG546" s="267"/>
      <c r="GH546" s="267"/>
      <c r="GI546" s="264"/>
      <c r="GJ546" s="264"/>
      <c r="GK546" s="264"/>
      <c r="GL546" s="264"/>
      <c r="HD546" s="267"/>
      <c r="HE546" s="267"/>
      <c r="HF546" s="267"/>
      <c r="HG546" s="267"/>
      <c r="HH546" s="267"/>
      <c r="HI546" s="267"/>
      <c r="HJ546" s="267"/>
      <c r="HK546" s="267"/>
      <c r="HL546" s="267"/>
      <c r="HM546" s="267"/>
      <c r="HN546" s="267"/>
      <c r="HO546" s="267"/>
      <c r="HP546" s="267"/>
      <c r="HQ546" s="267"/>
      <c r="HR546" s="267"/>
      <c r="HS546" s="267"/>
      <c r="HT546" s="267"/>
      <c r="HU546" s="267"/>
      <c r="IH546" s="267"/>
      <c r="IK546" s="267"/>
      <c r="IN546" s="267"/>
      <c r="IQ546" s="267"/>
      <c r="IR546" s="267"/>
      <c r="IS546" s="267"/>
      <c r="IV546" s="267"/>
      <c r="IY546" s="267"/>
    </row>
    <row r="547" spans="10:259">
      <c r="J547" s="267"/>
      <c r="K547" s="267"/>
      <c r="L547" s="267"/>
      <c r="M547" s="267"/>
      <c r="N547" s="267"/>
      <c r="O547" s="267"/>
      <c r="P547" s="267"/>
      <c r="Q547" s="267"/>
      <c r="S547" s="267"/>
      <c r="T547" s="267"/>
      <c r="U547" s="267"/>
      <c r="V547" s="267"/>
      <c r="W547" s="264"/>
      <c r="Y547" s="267"/>
      <c r="Z547" s="267"/>
      <c r="AA547" s="267"/>
      <c r="AB547" s="267"/>
      <c r="AE547" s="267"/>
      <c r="AF547" s="267"/>
      <c r="AG547" s="267"/>
      <c r="AH547" s="267"/>
      <c r="AK547" s="267"/>
      <c r="AL547" s="267"/>
      <c r="AM547" s="267"/>
      <c r="AN547" s="267"/>
      <c r="AQ547" s="267"/>
      <c r="AR547" s="267"/>
      <c r="AS547" s="267"/>
      <c r="AT547" s="267"/>
      <c r="AW547" s="267"/>
      <c r="AX547" s="267"/>
      <c r="AY547" s="267"/>
      <c r="AZ547" s="267"/>
      <c r="BG547" s="269"/>
      <c r="BM547" s="269"/>
      <c r="BS547" s="269"/>
      <c r="BU547" s="267"/>
      <c r="BY547" s="267"/>
      <c r="CC547" s="267"/>
      <c r="CG547" s="267"/>
      <c r="CS547" s="267"/>
      <c r="CW547" s="270"/>
      <c r="CX547" s="267"/>
      <c r="DC547" s="267"/>
      <c r="DH547" s="267"/>
      <c r="DM547" s="267"/>
      <c r="DR547" s="267"/>
      <c r="DW547" s="267"/>
      <c r="EB547" s="267"/>
      <c r="EG547" s="267"/>
      <c r="EL547" s="267"/>
      <c r="EQ547" s="267"/>
      <c r="EU547" s="270"/>
      <c r="EV547" s="267"/>
      <c r="FC547" s="267"/>
      <c r="FD547" s="267"/>
      <c r="FE547" s="267"/>
      <c r="FF547" s="267"/>
      <c r="FG547" s="267"/>
      <c r="FL547" s="267"/>
      <c r="FM547" s="267"/>
      <c r="FN547" s="267"/>
      <c r="FO547" s="267"/>
      <c r="FP547" s="267"/>
      <c r="FQ547" s="264"/>
      <c r="FR547" s="264"/>
      <c r="FS547" s="264"/>
      <c r="FT547" s="264"/>
      <c r="FU547" s="267"/>
      <c r="FV547" s="267"/>
      <c r="FW547" s="267"/>
      <c r="FX547" s="267"/>
      <c r="FY547" s="267"/>
      <c r="GD547" s="267"/>
      <c r="GE547" s="267"/>
      <c r="GF547" s="267"/>
      <c r="GG547" s="267"/>
      <c r="GH547" s="267"/>
      <c r="GI547" s="264"/>
      <c r="GJ547" s="264"/>
      <c r="GK547" s="264"/>
      <c r="GL547" s="264"/>
      <c r="HD547" s="267"/>
      <c r="HE547" s="267"/>
      <c r="HF547" s="267"/>
      <c r="HG547" s="267"/>
      <c r="HH547" s="267"/>
      <c r="HI547" s="267"/>
      <c r="HJ547" s="267"/>
      <c r="HK547" s="267"/>
      <c r="HL547" s="267"/>
      <c r="HM547" s="267"/>
      <c r="HN547" s="267"/>
      <c r="HO547" s="267"/>
      <c r="HP547" s="267"/>
      <c r="HQ547" s="267"/>
      <c r="HR547" s="267"/>
      <c r="HS547" s="267"/>
      <c r="HT547" s="267"/>
      <c r="HU547" s="267"/>
      <c r="IH547" s="267"/>
      <c r="IK547" s="267"/>
      <c r="IN547" s="267"/>
      <c r="IQ547" s="267"/>
      <c r="IR547" s="267"/>
      <c r="IS547" s="267"/>
      <c r="IV547" s="267"/>
      <c r="IY547" s="267"/>
    </row>
    <row r="548" spans="10:259">
      <c r="J548" s="267"/>
      <c r="K548" s="267"/>
      <c r="L548" s="267"/>
      <c r="M548" s="267"/>
      <c r="N548" s="267"/>
      <c r="O548" s="267"/>
      <c r="P548" s="267"/>
      <c r="Q548" s="267"/>
      <c r="S548" s="267"/>
      <c r="T548" s="267"/>
      <c r="U548" s="267"/>
      <c r="V548" s="267"/>
      <c r="W548" s="264"/>
      <c r="Y548" s="267"/>
      <c r="Z548" s="267"/>
      <c r="AA548" s="267"/>
      <c r="AB548" s="267"/>
      <c r="AE548" s="267"/>
      <c r="AF548" s="267"/>
      <c r="AG548" s="267"/>
      <c r="AH548" s="267"/>
      <c r="AK548" s="267"/>
      <c r="AL548" s="267"/>
      <c r="AM548" s="267"/>
      <c r="AN548" s="267"/>
      <c r="AQ548" s="267"/>
      <c r="AR548" s="267"/>
      <c r="AS548" s="267"/>
      <c r="AT548" s="267"/>
      <c r="AW548" s="267"/>
      <c r="AX548" s="267"/>
      <c r="AY548" s="267"/>
      <c r="AZ548" s="267"/>
      <c r="BG548" s="269"/>
      <c r="BM548" s="269"/>
      <c r="BS548" s="269"/>
      <c r="BU548" s="267"/>
      <c r="BY548" s="267"/>
      <c r="CC548" s="267"/>
      <c r="CG548" s="267"/>
      <c r="CS548" s="267"/>
      <c r="CW548" s="270"/>
      <c r="CX548" s="267"/>
      <c r="DC548" s="267"/>
      <c r="DH548" s="267"/>
      <c r="DM548" s="267"/>
      <c r="DR548" s="267"/>
      <c r="DW548" s="267"/>
      <c r="EB548" s="267"/>
      <c r="EG548" s="267"/>
      <c r="EL548" s="267"/>
      <c r="EQ548" s="267"/>
      <c r="EU548" s="270"/>
      <c r="EV548" s="267"/>
      <c r="FC548" s="267"/>
      <c r="FD548" s="267"/>
      <c r="FE548" s="267"/>
      <c r="FF548" s="267"/>
      <c r="FG548" s="267"/>
      <c r="FL548" s="267"/>
      <c r="FM548" s="267"/>
      <c r="FN548" s="267"/>
      <c r="FO548" s="267"/>
      <c r="FP548" s="267"/>
      <c r="FQ548" s="264"/>
      <c r="FR548" s="264"/>
      <c r="FS548" s="264"/>
      <c r="FT548" s="264"/>
      <c r="FU548" s="267"/>
      <c r="FV548" s="267"/>
      <c r="FW548" s="267"/>
      <c r="FX548" s="267"/>
      <c r="FY548" s="267"/>
      <c r="GD548" s="267"/>
      <c r="GE548" s="267"/>
      <c r="GF548" s="267"/>
      <c r="GG548" s="267"/>
      <c r="GH548" s="267"/>
      <c r="GI548" s="264"/>
      <c r="GJ548" s="264"/>
      <c r="GK548" s="264"/>
      <c r="GL548" s="264"/>
      <c r="HD548" s="267"/>
      <c r="HE548" s="267"/>
      <c r="HF548" s="267"/>
      <c r="HG548" s="267"/>
      <c r="HH548" s="267"/>
      <c r="HI548" s="267"/>
      <c r="HJ548" s="267"/>
      <c r="HK548" s="267"/>
      <c r="HL548" s="267"/>
      <c r="HM548" s="267"/>
      <c r="HN548" s="267"/>
      <c r="HO548" s="267"/>
      <c r="HP548" s="267"/>
      <c r="HQ548" s="267"/>
      <c r="HR548" s="267"/>
      <c r="HS548" s="267"/>
      <c r="HT548" s="267"/>
      <c r="HU548" s="267"/>
      <c r="IH548" s="267"/>
      <c r="IK548" s="267"/>
      <c r="IN548" s="267"/>
      <c r="IQ548" s="267"/>
      <c r="IR548" s="267"/>
      <c r="IS548" s="267"/>
      <c r="IV548" s="267"/>
      <c r="IY548" s="267"/>
    </row>
    <row r="549" spans="10:259">
      <c r="J549" s="267"/>
      <c r="K549" s="267"/>
      <c r="L549" s="267"/>
      <c r="M549" s="267"/>
      <c r="N549" s="267"/>
      <c r="O549" s="267"/>
      <c r="P549" s="267"/>
      <c r="Q549" s="267"/>
      <c r="S549" s="267"/>
      <c r="T549" s="267"/>
      <c r="U549" s="267"/>
      <c r="V549" s="267"/>
      <c r="W549" s="264"/>
      <c r="Y549" s="267"/>
      <c r="Z549" s="267"/>
      <c r="AA549" s="267"/>
      <c r="AB549" s="267"/>
      <c r="AE549" s="267"/>
      <c r="AF549" s="267"/>
      <c r="AG549" s="267"/>
      <c r="AH549" s="267"/>
      <c r="AK549" s="267"/>
      <c r="AL549" s="267"/>
      <c r="AM549" s="267"/>
      <c r="AN549" s="267"/>
      <c r="AQ549" s="267"/>
      <c r="AR549" s="267"/>
      <c r="AS549" s="267"/>
      <c r="AT549" s="267"/>
      <c r="AW549" s="267"/>
      <c r="AX549" s="267"/>
      <c r="AY549" s="267"/>
      <c r="AZ549" s="267"/>
      <c r="BG549" s="269"/>
      <c r="BM549" s="269"/>
      <c r="BS549" s="269"/>
      <c r="BU549" s="267"/>
      <c r="BY549" s="267"/>
      <c r="CC549" s="267"/>
      <c r="CG549" s="267"/>
      <c r="CS549" s="267"/>
      <c r="CW549" s="270"/>
      <c r="CX549" s="267"/>
      <c r="DC549" s="267"/>
      <c r="DH549" s="267"/>
      <c r="DM549" s="267"/>
      <c r="DR549" s="267"/>
      <c r="DW549" s="267"/>
      <c r="EB549" s="267"/>
      <c r="EG549" s="267"/>
      <c r="EL549" s="267"/>
      <c r="EQ549" s="267"/>
      <c r="EU549" s="270"/>
      <c r="EV549" s="267"/>
      <c r="FC549" s="267"/>
      <c r="FD549" s="267"/>
      <c r="FE549" s="267"/>
      <c r="FF549" s="267"/>
      <c r="FG549" s="267"/>
      <c r="FL549" s="267"/>
      <c r="FM549" s="267"/>
      <c r="FN549" s="267"/>
      <c r="FO549" s="267"/>
      <c r="FP549" s="267"/>
      <c r="FQ549" s="264"/>
      <c r="FR549" s="264"/>
      <c r="FS549" s="264"/>
      <c r="FT549" s="264"/>
      <c r="FU549" s="267"/>
      <c r="FV549" s="267"/>
      <c r="FW549" s="267"/>
      <c r="FX549" s="267"/>
      <c r="FY549" s="267"/>
      <c r="GD549" s="267"/>
      <c r="GE549" s="267"/>
      <c r="GF549" s="267"/>
      <c r="GG549" s="267"/>
      <c r="GH549" s="267"/>
      <c r="GI549" s="264"/>
      <c r="GJ549" s="264"/>
      <c r="GK549" s="264"/>
      <c r="GL549" s="264"/>
      <c r="HD549" s="267"/>
      <c r="HE549" s="267"/>
      <c r="HF549" s="267"/>
      <c r="HG549" s="267"/>
      <c r="HH549" s="267"/>
      <c r="HI549" s="267"/>
      <c r="HJ549" s="267"/>
      <c r="HK549" s="267"/>
      <c r="HL549" s="267"/>
      <c r="HM549" s="267"/>
      <c r="HN549" s="267"/>
      <c r="HO549" s="267"/>
      <c r="HP549" s="267"/>
      <c r="HQ549" s="267"/>
      <c r="HR549" s="267"/>
      <c r="HS549" s="267"/>
      <c r="HT549" s="267"/>
      <c r="HU549" s="267"/>
      <c r="IH549" s="267"/>
      <c r="IK549" s="267"/>
      <c r="IN549" s="267"/>
      <c r="IQ549" s="267"/>
      <c r="IR549" s="267"/>
      <c r="IS549" s="267"/>
      <c r="IV549" s="267"/>
      <c r="IY549" s="267"/>
    </row>
    <row r="550" spans="10:259">
      <c r="J550" s="267"/>
      <c r="K550" s="267"/>
      <c r="L550" s="267"/>
      <c r="M550" s="267"/>
      <c r="N550" s="267"/>
      <c r="O550" s="267"/>
      <c r="P550" s="267"/>
      <c r="Q550" s="267"/>
      <c r="S550" s="267"/>
      <c r="T550" s="267"/>
      <c r="U550" s="267"/>
      <c r="V550" s="267"/>
      <c r="W550" s="264"/>
      <c r="Y550" s="267"/>
      <c r="Z550" s="267"/>
      <c r="AA550" s="267"/>
      <c r="AB550" s="267"/>
      <c r="AE550" s="267"/>
      <c r="AF550" s="267"/>
      <c r="AG550" s="267"/>
      <c r="AH550" s="267"/>
      <c r="AK550" s="267"/>
      <c r="AL550" s="267"/>
      <c r="AM550" s="267"/>
      <c r="AN550" s="267"/>
      <c r="AQ550" s="267"/>
      <c r="AR550" s="267"/>
      <c r="AS550" s="267"/>
      <c r="AT550" s="267"/>
      <c r="AW550" s="267"/>
      <c r="AX550" s="267"/>
      <c r="AY550" s="267"/>
      <c r="AZ550" s="267"/>
      <c r="BG550" s="269"/>
      <c r="BM550" s="269"/>
      <c r="BS550" s="269"/>
      <c r="BU550" s="267"/>
      <c r="BY550" s="267"/>
      <c r="CC550" s="267"/>
      <c r="CG550" s="267"/>
      <c r="CS550" s="267"/>
      <c r="CW550" s="270"/>
      <c r="CX550" s="267"/>
      <c r="DC550" s="267"/>
      <c r="DH550" s="267"/>
      <c r="DM550" s="267"/>
      <c r="DR550" s="267"/>
      <c r="DW550" s="267"/>
      <c r="EB550" s="267"/>
      <c r="EG550" s="267"/>
      <c r="EL550" s="267"/>
      <c r="EQ550" s="267"/>
      <c r="EU550" s="270"/>
      <c r="EV550" s="267"/>
      <c r="FC550" s="267"/>
      <c r="FD550" s="267"/>
      <c r="FE550" s="267"/>
      <c r="FF550" s="267"/>
      <c r="FG550" s="267"/>
      <c r="FL550" s="267"/>
      <c r="FM550" s="267"/>
      <c r="FN550" s="267"/>
      <c r="FO550" s="267"/>
      <c r="FP550" s="267"/>
      <c r="FQ550" s="264"/>
      <c r="FR550" s="264"/>
      <c r="FS550" s="264"/>
      <c r="FT550" s="264"/>
      <c r="FU550" s="267"/>
      <c r="FV550" s="267"/>
      <c r="FW550" s="267"/>
      <c r="FX550" s="267"/>
      <c r="FY550" s="267"/>
      <c r="GD550" s="267"/>
      <c r="GE550" s="267"/>
      <c r="GF550" s="267"/>
      <c r="GG550" s="267"/>
      <c r="GH550" s="267"/>
      <c r="GI550" s="264"/>
      <c r="GJ550" s="264"/>
      <c r="GK550" s="264"/>
      <c r="GL550" s="264"/>
      <c r="HD550" s="267"/>
      <c r="HE550" s="267"/>
      <c r="HF550" s="267"/>
      <c r="HG550" s="267"/>
      <c r="HH550" s="267"/>
      <c r="HI550" s="267"/>
      <c r="HJ550" s="267"/>
      <c r="HK550" s="267"/>
      <c r="HL550" s="267"/>
      <c r="HM550" s="267"/>
      <c r="HN550" s="267"/>
      <c r="HO550" s="267"/>
      <c r="HP550" s="267"/>
      <c r="HQ550" s="267"/>
      <c r="HR550" s="267"/>
      <c r="HS550" s="267"/>
      <c r="HT550" s="267"/>
      <c r="HU550" s="267"/>
      <c r="IH550" s="267"/>
      <c r="IK550" s="267"/>
      <c r="IN550" s="267"/>
      <c r="IQ550" s="267"/>
      <c r="IR550" s="267"/>
      <c r="IS550" s="267"/>
      <c r="IV550" s="267"/>
      <c r="IY550" s="267"/>
    </row>
    <row r="551" spans="10:259">
      <c r="J551" s="267"/>
      <c r="K551" s="267"/>
      <c r="L551" s="267"/>
      <c r="M551" s="267"/>
      <c r="N551" s="267"/>
      <c r="O551" s="267"/>
      <c r="P551" s="267"/>
      <c r="Q551" s="267"/>
      <c r="S551" s="267"/>
      <c r="T551" s="267"/>
      <c r="U551" s="267"/>
      <c r="V551" s="267"/>
      <c r="W551" s="264"/>
      <c r="Y551" s="267"/>
      <c r="Z551" s="267"/>
      <c r="AA551" s="267"/>
      <c r="AB551" s="267"/>
      <c r="AE551" s="267"/>
      <c r="AF551" s="267"/>
      <c r="AG551" s="267"/>
      <c r="AH551" s="267"/>
      <c r="AK551" s="267"/>
      <c r="AL551" s="267"/>
      <c r="AM551" s="267"/>
      <c r="AN551" s="267"/>
      <c r="AQ551" s="267"/>
      <c r="AR551" s="267"/>
      <c r="AS551" s="267"/>
      <c r="AT551" s="267"/>
      <c r="AW551" s="267"/>
      <c r="AX551" s="267"/>
      <c r="AY551" s="267"/>
      <c r="AZ551" s="267"/>
      <c r="BG551" s="269"/>
      <c r="BM551" s="269"/>
      <c r="BS551" s="269"/>
      <c r="BU551" s="267"/>
      <c r="BY551" s="267"/>
      <c r="CC551" s="267"/>
      <c r="CG551" s="267"/>
      <c r="CS551" s="267"/>
      <c r="CW551" s="270"/>
      <c r="CX551" s="267"/>
      <c r="DC551" s="267"/>
      <c r="DH551" s="267"/>
      <c r="DM551" s="267"/>
      <c r="DR551" s="267"/>
      <c r="DW551" s="267"/>
      <c r="EB551" s="267"/>
      <c r="EG551" s="267"/>
      <c r="EL551" s="267"/>
      <c r="EQ551" s="267"/>
      <c r="EU551" s="270"/>
      <c r="EV551" s="267"/>
      <c r="FC551" s="267"/>
      <c r="FD551" s="267"/>
      <c r="FE551" s="267"/>
      <c r="FF551" s="267"/>
      <c r="FG551" s="267"/>
      <c r="FL551" s="267"/>
      <c r="FM551" s="267"/>
      <c r="FN551" s="267"/>
      <c r="FO551" s="267"/>
      <c r="FP551" s="267"/>
      <c r="FQ551" s="264"/>
      <c r="FR551" s="264"/>
      <c r="FS551" s="264"/>
      <c r="FT551" s="264"/>
      <c r="FU551" s="267"/>
      <c r="FV551" s="267"/>
      <c r="FW551" s="267"/>
      <c r="FX551" s="267"/>
      <c r="FY551" s="267"/>
      <c r="GD551" s="267"/>
      <c r="GE551" s="267"/>
      <c r="GF551" s="267"/>
      <c r="GG551" s="267"/>
      <c r="GH551" s="267"/>
      <c r="GI551" s="264"/>
      <c r="GJ551" s="264"/>
      <c r="GK551" s="264"/>
      <c r="GL551" s="264"/>
      <c r="HD551" s="267"/>
      <c r="HE551" s="267"/>
      <c r="HF551" s="267"/>
      <c r="HG551" s="267"/>
      <c r="HH551" s="267"/>
      <c r="HI551" s="267"/>
      <c r="HJ551" s="267"/>
      <c r="HK551" s="267"/>
      <c r="HL551" s="267"/>
      <c r="HM551" s="267"/>
      <c r="HN551" s="267"/>
      <c r="HO551" s="267"/>
      <c r="HP551" s="267"/>
      <c r="HQ551" s="267"/>
      <c r="HR551" s="267"/>
      <c r="HS551" s="267"/>
      <c r="HT551" s="267"/>
      <c r="HU551" s="267"/>
      <c r="IH551" s="267"/>
      <c r="IK551" s="267"/>
      <c r="IN551" s="267"/>
      <c r="IQ551" s="267"/>
      <c r="IR551" s="267"/>
      <c r="IS551" s="267"/>
      <c r="IV551" s="267"/>
      <c r="IY551" s="267"/>
    </row>
    <row r="552" spans="10:259">
      <c r="J552" s="267"/>
      <c r="K552" s="267"/>
      <c r="L552" s="267"/>
      <c r="M552" s="267"/>
      <c r="N552" s="267"/>
      <c r="O552" s="267"/>
      <c r="P552" s="267"/>
      <c r="Q552" s="267"/>
      <c r="S552" s="267"/>
      <c r="T552" s="267"/>
      <c r="U552" s="267"/>
      <c r="V552" s="267"/>
      <c r="W552" s="264"/>
      <c r="Y552" s="267"/>
      <c r="Z552" s="267"/>
      <c r="AA552" s="267"/>
      <c r="AB552" s="267"/>
      <c r="AE552" s="267"/>
      <c r="AF552" s="267"/>
      <c r="AG552" s="267"/>
      <c r="AH552" s="267"/>
      <c r="AK552" s="267"/>
      <c r="AL552" s="267"/>
      <c r="AM552" s="267"/>
      <c r="AN552" s="267"/>
      <c r="AQ552" s="267"/>
      <c r="AR552" s="267"/>
      <c r="AS552" s="267"/>
      <c r="AT552" s="267"/>
      <c r="AW552" s="267"/>
      <c r="AX552" s="267"/>
      <c r="AY552" s="267"/>
      <c r="AZ552" s="267"/>
      <c r="BG552" s="269"/>
      <c r="BM552" s="269"/>
      <c r="BS552" s="269"/>
      <c r="BU552" s="267"/>
      <c r="BY552" s="267"/>
      <c r="CC552" s="267"/>
      <c r="CG552" s="267"/>
      <c r="CS552" s="267"/>
      <c r="CW552" s="270"/>
      <c r="CX552" s="267"/>
      <c r="DC552" s="267"/>
      <c r="DH552" s="267"/>
      <c r="DM552" s="267"/>
      <c r="DR552" s="267"/>
      <c r="DW552" s="267"/>
      <c r="EB552" s="267"/>
      <c r="EG552" s="267"/>
      <c r="EL552" s="267"/>
      <c r="EQ552" s="267"/>
      <c r="EU552" s="270"/>
      <c r="EV552" s="267"/>
      <c r="FC552" s="267"/>
      <c r="FD552" s="267"/>
      <c r="FE552" s="267"/>
      <c r="FF552" s="267"/>
      <c r="FG552" s="267"/>
      <c r="FL552" s="267"/>
      <c r="FM552" s="267"/>
      <c r="FN552" s="267"/>
      <c r="FO552" s="267"/>
      <c r="FP552" s="267"/>
      <c r="FQ552" s="264"/>
      <c r="FR552" s="264"/>
      <c r="FS552" s="264"/>
      <c r="FT552" s="264"/>
      <c r="FU552" s="267"/>
      <c r="FV552" s="267"/>
      <c r="FW552" s="267"/>
      <c r="FX552" s="267"/>
      <c r="FY552" s="267"/>
      <c r="GD552" s="267"/>
      <c r="GE552" s="267"/>
      <c r="GF552" s="267"/>
      <c r="GG552" s="267"/>
      <c r="GH552" s="267"/>
      <c r="GI552" s="264"/>
      <c r="GJ552" s="264"/>
      <c r="GK552" s="264"/>
      <c r="GL552" s="264"/>
      <c r="HD552" s="267"/>
      <c r="HE552" s="267"/>
      <c r="HF552" s="267"/>
      <c r="HG552" s="267"/>
      <c r="HH552" s="267"/>
      <c r="HI552" s="267"/>
      <c r="HJ552" s="267"/>
      <c r="HK552" s="267"/>
      <c r="HL552" s="267"/>
      <c r="HM552" s="267"/>
      <c r="HN552" s="267"/>
      <c r="HO552" s="267"/>
      <c r="HP552" s="267"/>
      <c r="HQ552" s="267"/>
      <c r="HR552" s="267"/>
      <c r="HS552" s="267"/>
      <c r="HT552" s="267"/>
      <c r="HU552" s="267"/>
      <c r="IH552" s="267"/>
      <c r="IK552" s="267"/>
      <c r="IN552" s="267"/>
      <c r="IQ552" s="267"/>
      <c r="IR552" s="267"/>
      <c r="IS552" s="267"/>
      <c r="IV552" s="267"/>
      <c r="IY552" s="267"/>
    </row>
    <row r="553" spans="10:259">
      <c r="J553" s="267"/>
      <c r="K553" s="267"/>
      <c r="L553" s="267"/>
      <c r="M553" s="267"/>
      <c r="N553" s="267"/>
      <c r="O553" s="267"/>
      <c r="P553" s="267"/>
      <c r="Q553" s="267"/>
      <c r="S553" s="267"/>
      <c r="T553" s="267"/>
      <c r="U553" s="267"/>
      <c r="V553" s="267"/>
      <c r="W553" s="264"/>
      <c r="Y553" s="267"/>
      <c r="Z553" s="267"/>
      <c r="AA553" s="267"/>
      <c r="AB553" s="267"/>
      <c r="AE553" s="267"/>
      <c r="AF553" s="267"/>
      <c r="AG553" s="267"/>
      <c r="AH553" s="267"/>
      <c r="AK553" s="267"/>
      <c r="AL553" s="267"/>
      <c r="AM553" s="267"/>
      <c r="AN553" s="267"/>
      <c r="AQ553" s="267"/>
      <c r="AR553" s="267"/>
      <c r="AS553" s="267"/>
      <c r="AT553" s="267"/>
      <c r="AW553" s="267"/>
      <c r="AX553" s="267"/>
      <c r="AY553" s="267"/>
      <c r="AZ553" s="267"/>
      <c r="BG553" s="269"/>
      <c r="BM553" s="269"/>
      <c r="BS553" s="269"/>
      <c r="BU553" s="267"/>
      <c r="BY553" s="267"/>
      <c r="CC553" s="267"/>
      <c r="CG553" s="267"/>
      <c r="CS553" s="267"/>
      <c r="CW553" s="270"/>
      <c r="CX553" s="267"/>
      <c r="DC553" s="267"/>
      <c r="DH553" s="267"/>
      <c r="DM553" s="267"/>
      <c r="DR553" s="267"/>
      <c r="DW553" s="267"/>
      <c r="EB553" s="267"/>
      <c r="EG553" s="267"/>
      <c r="EL553" s="267"/>
      <c r="EQ553" s="267"/>
      <c r="EU553" s="270"/>
      <c r="EV553" s="267"/>
      <c r="FC553" s="267"/>
      <c r="FD553" s="267"/>
      <c r="FE553" s="267"/>
      <c r="FF553" s="267"/>
      <c r="FG553" s="267"/>
      <c r="FL553" s="267"/>
      <c r="FM553" s="267"/>
      <c r="FN553" s="267"/>
      <c r="FO553" s="267"/>
      <c r="FP553" s="267"/>
      <c r="FQ553" s="264"/>
      <c r="FR553" s="264"/>
      <c r="FS553" s="264"/>
      <c r="FT553" s="264"/>
      <c r="FU553" s="267"/>
      <c r="FV553" s="267"/>
      <c r="FW553" s="267"/>
      <c r="FX553" s="267"/>
      <c r="FY553" s="267"/>
      <c r="GD553" s="267"/>
      <c r="GE553" s="267"/>
      <c r="GF553" s="267"/>
      <c r="GG553" s="267"/>
      <c r="GH553" s="267"/>
      <c r="GI553" s="264"/>
      <c r="GJ553" s="264"/>
      <c r="GK553" s="264"/>
      <c r="GL553" s="264"/>
      <c r="HD553" s="267"/>
      <c r="HE553" s="267"/>
      <c r="HF553" s="267"/>
      <c r="HG553" s="267"/>
      <c r="HH553" s="267"/>
      <c r="HI553" s="267"/>
      <c r="HJ553" s="267"/>
      <c r="HK553" s="267"/>
      <c r="HL553" s="267"/>
      <c r="HM553" s="267"/>
      <c r="HN553" s="267"/>
      <c r="HO553" s="267"/>
      <c r="HP553" s="267"/>
      <c r="HQ553" s="267"/>
      <c r="HR553" s="267"/>
      <c r="HS553" s="267"/>
      <c r="HT553" s="267"/>
      <c r="HU553" s="267"/>
      <c r="IH553" s="267"/>
      <c r="IK553" s="267"/>
      <c r="IN553" s="267"/>
      <c r="IQ553" s="267"/>
      <c r="IR553" s="267"/>
      <c r="IS553" s="267"/>
      <c r="IV553" s="267"/>
      <c r="IY553" s="267"/>
    </row>
    <row r="554" spans="10:259">
      <c r="J554" s="267"/>
      <c r="K554" s="267"/>
      <c r="L554" s="267"/>
      <c r="M554" s="267"/>
      <c r="N554" s="267"/>
      <c r="O554" s="267"/>
      <c r="P554" s="267"/>
      <c r="Q554" s="267"/>
      <c r="S554" s="267"/>
      <c r="T554" s="267"/>
      <c r="U554" s="267"/>
      <c r="V554" s="267"/>
      <c r="W554" s="264"/>
      <c r="Y554" s="267"/>
      <c r="Z554" s="267"/>
      <c r="AA554" s="267"/>
      <c r="AB554" s="267"/>
      <c r="AE554" s="267"/>
      <c r="AF554" s="267"/>
      <c r="AG554" s="267"/>
      <c r="AH554" s="267"/>
      <c r="AK554" s="267"/>
      <c r="AL554" s="267"/>
      <c r="AM554" s="267"/>
      <c r="AN554" s="267"/>
      <c r="AQ554" s="267"/>
      <c r="AR554" s="267"/>
      <c r="AS554" s="267"/>
      <c r="AT554" s="267"/>
      <c r="AW554" s="267"/>
      <c r="AX554" s="267"/>
      <c r="AY554" s="267"/>
      <c r="AZ554" s="267"/>
      <c r="BG554" s="269"/>
      <c r="BM554" s="269"/>
      <c r="BS554" s="269"/>
      <c r="BU554" s="267"/>
      <c r="BY554" s="267"/>
      <c r="CC554" s="267"/>
      <c r="CG554" s="267"/>
      <c r="CS554" s="267"/>
      <c r="CW554" s="270"/>
      <c r="CX554" s="267"/>
      <c r="DC554" s="267"/>
      <c r="DH554" s="267"/>
      <c r="DM554" s="267"/>
      <c r="DR554" s="267"/>
      <c r="DW554" s="267"/>
      <c r="EB554" s="267"/>
      <c r="EG554" s="267"/>
      <c r="EL554" s="267"/>
      <c r="EQ554" s="267"/>
      <c r="EU554" s="270"/>
      <c r="EV554" s="267"/>
      <c r="FC554" s="267"/>
      <c r="FD554" s="267"/>
      <c r="FE554" s="267"/>
      <c r="FF554" s="267"/>
      <c r="FG554" s="267"/>
      <c r="FL554" s="267"/>
      <c r="FM554" s="267"/>
      <c r="FN554" s="267"/>
      <c r="FO554" s="267"/>
      <c r="FP554" s="267"/>
      <c r="FQ554" s="264"/>
      <c r="FR554" s="264"/>
      <c r="FS554" s="264"/>
      <c r="FT554" s="264"/>
      <c r="FU554" s="267"/>
      <c r="FV554" s="267"/>
      <c r="FW554" s="267"/>
      <c r="FX554" s="267"/>
      <c r="FY554" s="267"/>
      <c r="GD554" s="267"/>
      <c r="GE554" s="267"/>
      <c r="GF554" s="267"/>
      <c r="GG554" s="267"/>
      <c r="GH554" s="267"/>
      <c r="GI554" s="264"/>
      <c r="GJ554" s="264"/>
      <c r="GK554" s="264"/>
      <c r="GL554" s="264"/>
      <c r="HD554" s="267"/>
      <c r="HE554" s="267"/>
      <c r="HF554" s="267"/>
      <c r="HG554" s="267"/>
      <c r="HH554" s="267"/>
      <c r="HI554" s="267"/>
      <c r="HJ554" s="267"/>
      <c r="HK554" s="267"/>
      <c r="HL554" s="267"/>
      <c r="HM554" s="267"/>
      <c r="HN554" s="267"/>
      <c r="HO554" s="267"/>
      <c r="HP554" s="267"/>
      <c r="HQ554" s="267"/>
      <c r="HR554" s="267"/>
      <c r="HS554" s="267"/>
      <c r="HT554" s="267"/>
      <c r="HU554" s="267"/>
      <c r="IH554" s="267"/>
      <c r="IK554" s="267"/>
      <c r="IN554" s="267"/>
      <c r="IQ554" s="267"/>
      <c r="IR554" s="267"/>
      <c r="IS554" s="267"/>
      <c r="IV554" s="267"/>
      <c r="IY554" s="267"/>
    </row>
    <row r="555" spans="10:259">
      <c r="J555" s="267"/>
      <c r="K555" s="267"/>
      <c r="L555" s="267"/>
      <c r="M555" s="267"/>
      <c r="N555" s="267"/>
      <c r="O555" s="267"/>
      <c r="P555" s="267"/>
      <c r="Q555" s="267"/>
      <c r="S555" s="267"/>
      <c r="T555" s="267"/>
      <c r="U555" s="267"/>
      <c r="V555" s="267"/>
      <c r="W555" s="264"/>
      <c r="Y555" s="267"/>
      <c r="Z555" s="267"/>
      <c r="AA555" s="267"/>
      <c r="AB555" s="267"/>
      <c r="AE555" s="267"/>
      <c r="AF555" s="267"/>
      <c r="AG555" s="267"/>
      <c r="AH555" s="267"/>
      <c r="AK555" s="267"/>
      <c r="AL555" s="267"/>
      <c r="AM555" s="267"/>
      <c r="AN555" s="267"/>
      <c r="AQ555" s="267"/>
      <c r="AR555" s="267"/>
      <c r="AS555" s="267"/>
      <c r="AT555" s="267"/>
      <c r="AW555" s="267"/>
      <c r="AX555" s="267"/>
      <c r="AY555" s="267"/>
      <c r="AZ555" s="267"/>
      <c r="BG555" s="269"/>
      <c r="BM555" s="269"/>
      <c r="BS555" s="269"/>
      <c r="BU555" s="267"/>
      <c r="BY555" s="267"/>
      <c r="CC555" s="267"/>
      <c r="CG555" s="267"/>
      <c r="CS555" s="267"/>
      <c r="CW555" s="270"/>
      <c r="CX555" s="267"/>
      <c r="DC555" s="267"/>
      <c r="DH555" s="267"/>
      <c r="DM555" s="267"/>
      <c r="DR555" s="267"/>
      <c r="DW555" s="267"/>
      <c r="EB555" s="267"/>
      <c r="EG555" s="267"/>
      <c r="EL555" s="267"/>
      <c r="EQ555" s="267"/>
      <c r="EU555" s="270"/>
      <c r="EV555" s="267"/>
      <c r="FC555" s="267"/>
      <c r="FD555" s="267"/>
      <c r="FE555" s="267"/>
      <c r="FF555" s="267"/>
      <c r="FG555" s="267"/>
      <c r="FL555" s="267"/>
      <c r="FM555" s="267"/>
      <c r="FN555" s="267"/>
      <c r="FO555" s="267"/>
      <c r="FP555" s="267"/>
      <c r="FQ555" s="264"/>
      <c r="FR555" s="264"/>
      <c r="FS555" s="264"/>
      <c r="FT555" s="264"/>
      <c r="FU555" s="267"/>
      <c r="FV555" s="267"/>
      <c r="FW555" s="267"/>
      <c r="FX555" s="267"/>
      <c r="FY555" s="267"/>
      <c r="GD555" s="267"/>
      <c r="GE555" s="267"/>
      <c r="GF555" s="267"/>
      <c r="GG555" s="267"/>
      <c r="GH555" s="267"/>
      <c r="GI555" s="264"/>
      <c r="GJ555" s="264"/>
      <c r="GK555" s="264"/>
      <c r="GL555" s="264"/>
      <c r="HD555" s="267"/>
      <c r="HE555" s="267"/>
      <c r="HF555" s="267"/>
      <c r="HG555" s="267"/>
      <c r="HH555" s="267"/>
      <c r="HI555" s="267"/>
      <c r="HJ555" s="267"/>
      <c r="HK555" s="267"/>
      <c r="HL555" s="267"/>
      <c r="HM555" s="267"/>
      <c r="HN555" s="267"/>
      <c r="HO555" s="267"/>
      <c r="HP555" s="267"/>
      <c r="HQ555" s="267"/>
      <c r="HR555" s="267"/>
      <c r="HS555" s="267"/>
      <c r="HT555" s="267"/>
      <c r="HU555" s="267"/>
      <c r="IH555" s="267"/>
      <c r="IK555" s="267"/>
      <c r="IN555" s="267"/>
      <c r="IQ555" s="267"/>
      <c r="IR555" s="267"/>
      <c r="IS555" s="267"/>
      <c r="IV555" s="267"/>
      <c r="IY555" s="267"/>
    </row>
    <row r="556" spans="10:259">
      <c r="J556" s="267"/>
      <c r="K556" s="267"/>
      <c r="L556" s="267"/>
      <c r="M556" s="267"/>
      <c r="N556" s="267"/>
      <c r="O556" s="267"/>
      <c r="P556" s="267"/>
      <c r="Q556" s="267"/>
      <c r="S556" s="267"/>
      <c r="T556" s="267"/>
      <c r="U556" s="267"/>
      <c r="V556" s="267"/>
      <c r="W556" s="264"/>
      <c r="Y556" s="267"/>
      <c r="Z556" s="267"/>
      <c r="AA556" s="267"/>
      <c r="AB556" s="267"/>
      <c r="AE556" s="267"/>
      <c r="AF556" s="267"/>
      <c r="AG556" s="267"/>
      <c r="AH556" s="267"/>
      <c r="AK556" s="267"/>
      <c r="AL556" s="267"/>
      <c r="AM556" s="267"/>
      <c r="AN556" s="267"/>
      <c r="AQ556" s="267"/>
      <c r="AR556" s="267"/>
      <c r="AS556" s="267"/>
      <c r="AT556" s="267"/>
      <c r="AW556" s="267"/>
      <c r="AX556" s="267"/>
      <c r="AY556" s="267"/>
      <c r="AZ556" s="267"/>
      <c r="BG556" s="269"/>
      <c r="BM556" s="269"/>
      <c r="BS556" s="269"/>
      <c r="BU556" s="267"/>
      <c r="BY556" s="267"/>
      <c r="CC556" s="267"/>
      <c r="CG556" s="267"/>
      <c r="CS556" s="267"/>
      <c r="CW556" s="270"/>
      <c r="CX556" s="267"/>
      <c r="DC556" s="267"/>
      <c r="DH556" s="267"/>
      <c r="DM556" s="267"/>
      <c r="DR556" s="267"/>
      <c r="DW556" s="267"/>
      <c r="EB556" s="267"/>
      <c r="EG556" s="267"/>
      <c r="EL556" s="267"/>
      <c r="EQ556" s="267"/>
      <c r="EU556" s="270"/>
      <c r="EV556" s="267"/>
      <c r="FC556" s="267"/>
      <c r="FD556" s="267"/>
      <c r="FE556" s="267"/>
      <c r="FF556" s="267"/>
      <c r="FG556" s="267"/>
      <c r="FL556" s="267"/>
      <c r="FM556" s="267"/>
      <c r="FN556" s="267"/>
      <c r="FO556" s="267"/>
      <c r="FP556" s="267"/>
      <c r="FQ556" s="264"/>
      <c r="FR556" s="264"/>
      <c r="FS556" s="264"/>
      <c r="FT556" s="264"/>
      <c r="FU556" s="267"/>
      <c r="FV556" s="267"/>
      <c r="FW556" s="267"/>
      <c r="FX556" s="267"/>
      <c r="FY556" s="267"/>
      <c r="GD556" s="267"/>
      <c r="GE556" s="267"/>
      <c r="GF556" s="267"/>
      <c r="GG556" s="267"/>
      <c r="GH556" s="267"/>
      <c r="GI556" s="264"/>
      <c r="GJ556" s="264"/>
      <c r="GK556" s="264"/>
      <c r="GL556" s="264"/>
      <c r="HD556" s="267"/>
      <c r="HE556" s="267"/>
      <c r="HF556" s="267"/>
      <c r="HG556" s="267"/>
      <c r="HH556" s="267"/>
      <c r="HI556" s="267"/>
      <c r="HJ556" s="267"/>
      <c r="HK556" s="267"/>
      <c r="HL556" s="267"/>
      <c r="HM556" s="267"/>
      <c r="HN556" s="267"/>
      <c r="HO556" s="267"/>
      <c r="HP556" s="267"/>
      <c r="HQ556" s="267"/>
      <c r="HR556" s="267"/>
      <c r="HS556" s="267"/>
      <c r="HT556" s="267"/>
      <c r="HU556" s="267"/>
      <c r="IH556" s="267"/>
      <c r="IK556" s="267"/>
      <c r="IN556" s="267"/>
      <c r="IQ556" s="267"/>
      <c r="IR556" s="267"/>
      <c r="IS556" s="267"/>
      <c r="IV556" s="267"/>
      <c r="IY556" s="267"/>
    </row>
    <row r="557" spans="10:259">
      <c r="J557" s="267"/>
      <c r="K557" s="267"/>
      <c r="L557" s="267"/>
      <c r="M557" s="267"/>
      <c r="N557" s="267"/>
      <c r="O557" s="267"/>
      <c r="P557" s="267"/>
      <c r="Q557" s="267"/>
      <c r="S557" s="267"/>
      <c r="T557" s="267"/>
      <c r="U557" s="267"/>
      <c r="V557" s="267"/>
      <c r="W557" s="264"/>
      <c r="Y557" s="267"/>
      <c r="Z557" s="267"/>
      <c r="AA557" s="267"/>
      <c r="AB557" s="267"/>
      <c r="AE557" s="267"/>
      <c r="AF557" s="267"/>
      <c r="AG557" s="267"/>
      <c r="AH557" s="267"/>
      <c r="AK557" s="267"/>
      <c r="AL557" s="267"/>
      <c r="AM557" s="267"/>
      <c r="AN557" s="267"/>
      <c r="AQ557" s="267"/>
      <c r="AR557" s="267"/>
      <c r="AS557" s="267"/>
      <c r="AT557" s="267"/>
      <c r="AW557" s="267"/>
      <c r="AX557" s="267"/>
      <c r="AY557" s="267"/>
      <c r="AZ557" s="267"/>
      <c r="BG557" s="269"/>
      <c r="BM557" s="269"/>
      <c r="BS557" s="269"/>
      <c r="BU557" s="267"/>
      <c r="BY557" s="267"/>
      <c r="CC557" s="267"/>
      <c r="CG557" s="267"/>
      <c r="CS557" s="267"/>
      <c r="CW557" s="270"/>
      <c r="CX557" s="267"/>
      <c r="DC557" s="267"/>
      <c r="DH557" s="267"/>
      <c r="DM557" s="267"/>
      <c r="DR557" s="267"/>
      <c r="DW557" s="267"/>
      <c r="EB557" s="267"/>
      <c r="EG557" s="267"/>
      <c r="EL557" s="267"/>
      <c r="EQ557" s="267"/>
      <c r="EU557" s="270"/>
      <c r="EV557" s="267"/>
      <c r="FC557" s="267"/>
      <c r="FD557" s="267"/>
      <c r="FE557" s="267"/>
      <c r="FF557" s="267"/>
      <c r="FG557" s="267"/>
      <c r="FL557" s="267"/>
      <c r="FM557" s="267"/>
      <c r="FN557" s="267"/>
      <c r="FO557" s="267"/>
      <c r="FP557" s="267"/>
      <c r="FQ557" s="264"/>
      <c r="FR557" s="264"/>
      <c r="FS557" s="264"/>
      <c r="FT557" s="264"/>
      <c r="FU557" s="267"/>
      <c r="FV557" s="267"/>
      <c r="FW557" s="267"/>
      <c r="FX557" s="267"/>
      <c r="FY557" s="267"/>
      <c r="GD557" s="267"/>
      <c r="GE557" s="267"/>
      <c r="GF557" s="267"/>
      <c r="GG557" s="267"/>
      <c r="GH557" s="267"/>
      <c r="GI557" s="264"/>
      <c r="GJ557" s="264"/>
      <c r="GK557" s="264"/>
      <c r="GL557" s="264"/>
      <c r="HD557" s="267"/>
      <c r="HE557" s="267"/>
      <c r="HF557" s="267"/>
      <c r="HG557" s="267"/>
      <c r="HH557" s="267"/>
      <c r="HI557" s="267"/>
      <c r="HJ557" s="267"/>
      <c r="HK557" s="267"/>
      <c r="HL557" s="267"/>
      <c r="HM557" s="267"/>
      <c r="HN557" s="267"/>
      <c r="HO557" s="267"/>
      <c r="HP557" s="267"/>
      <c r="HQ557" s="267"/>
      <c r="HR557" s="267"/>
      <c r="HS557" s="267"/>
      <c r="HT557" s="267"/>
      <c r="HU557" s="267"/>
      <c r="IH557" s="267"/>
      <c r="IK557" s="267"/>
      <c r="IN557" s="267"/>
      <c r="IQ557" s="267"/>
      <c r="IR557" s="267"/>
      <c r="IS557" s="267"/>
      <c r="IV557" s="267"/>
      <c r="IY557" s="267"/>
    </row>
    <row r="558" spans="10:259">
      <c r="J558" s="267"/>
      <c r="K558" s="267"/>
      <c r="L558" s="267"/>
      <c r="M558" s="267"/>
      <c r="N558" s="267"/>
      <c r="O558" s="267"/>
      <c r="P558" s="267"/>
      <c r="Q558" s="267"/>
      <c r="S558" s="267"/>
      <c r="T558" s="267"/>
      <c r="U558" s="267"/>
      <c r="V558" s="267"/>
      <c r="W558" s="264"/>
      <c r="Y558" s="267"/>
      <c r="Z558" s="267"/>
      <c r="AA558" s="267"/>
      <c r="AB558" s="267"/>
      <c r="AE558" s="267"/>
      <c r="AF558" s="267"/>
      <c r="AG558" s="267"/>
      <c r="AH558" s="267"/>
      <c r="AK558" s="267"/>
      <c r="AL558" s="267"/>
      <c r="AM558" s="267"/>
      <c r="AN558" s="267"/>
      <c r="AQ558" s="267"/>
      <c r="AR558" s="267"/>
      <c r="AS558" s="267"/>
      <c r="AT558" s="267"/>
      <c r="AW558" s="267"/>
      <c r="AX558" s="267"/>
      <c r="AY558" s="267"/>
      <c r="AZ558" s="267"/>
      <c r="BG558" s="269"/>
      <c r="BM558" s="269"/>
      <c r="BS558" s="269"/>
      <c r="BU558" s="267"/>
      <c r="BY558" s="267"/>
      <c r="CC558" s="267"/>
      <c r="CG558" s="267"/>
      <c r="CS558" s="267"/>
      <c r="CW558" s="270"/>
      <c r="CX558" s="267"/>
      <c r="DC558" s="267"/>
      <c r="DH558" s="267"/>
      <c r="DM558" s="267"/>
      <c r="DR558" s="267"/>
      <c r="DW558" s="267"/>
      <c r="EB558" s="267"/>
      <c r="EG558" s="267"/>
      <c r="EL558" s="267"/>
      <c r="EQ558" s="267"/>
      <c r="EU558" s="270"/>
      <c r="EV558" s="267"/>
      <c r="FC558" s="267"/>
      <c r="FD558" s="267"/>
      <c r="FE558" s="267"/>
      <c r="FF558" s="267"/>
      <c r="FG558" s="267"/>
      <c r="FL558" s="267"/>
      <c r="FM558" s="267"/>
      <c r="FN558" s="267"/>
      <c r="FO558" s="267"/>
      <c r="FP558" s="267"/>
      <c r="FQ558" s="264"/>
      <c r="FR558" s="264"/>
      <c r="FS558" s="264"/>
      <c r="FT558" s="264"/>
      <c r="FU558" s="267"/>
      <c r="FV558" s="267"/>
      <c r="FW558" s="267"/>
      <c r="FX558" s="267"/>
      <c r="FY558" s="267"/>
      <c r="GD558" s="267"/>
      <c r="GE558" s="267"/>
      <c r="GF558" s="267"/>
      <c r="GG558" s="267"/>
      <c r="GH558" s="267"/>
      <c r="GI558" s="264"/>
      <c r="GJ558" s="264"/>
      <c r="GK558" s="264"/>
      <c r="GL558" s="264"/>
      <c r="HD558" s="267"/>
      <c r="HE558" s="267"/>
      <c r="HF558" s="267"/>
      <c r="HG558" s="267"/>
      <c r="HH558" s="267"/>
      <c r="HI558" s="267"/>
      <c r="HJ558" s="267"/>
      <c r="HK558" s="267"/>
      <c r="HL558" s="267"/>
      <c r="HM558" s="267"/>
      <c r="HN558" s="267"/>
      <c r="HO558" s="267"/>
      <c r="HP558" s="267"/>
      <c r="HQ558" s="267"/>
      <c r="HR558" s="267"/>
      <c r="HS558" s="267"/>
      <c r="HT558" s="267"/>
      <c r="HU558" s="267"/>
      <c r="IH558" s="267"/>
      <c r="IK558" s="267"/>
      <c r="IN558" s="267"/>
      <c r="IQ558" s="267"/>
      <c r="IR558" s="267"/>
      <c r="IS558" s="267"/>
      <c r="IV558" s="267"/>
      <c r="IY558" s="267"/>
    </row>
    <row r="559" spans="10:259">
      <c r="J559" s="267"/>
      <c r="K559" s="267"/>
      <c r="L559" s="267"/>
      <c r="M559" s="267"/>
      <c r="N559" s="267"/>
      <c r="O559" s="267"/>
      <c r="P559" s="267"/>
      <c r="Q559" s="267"/>
      <c r="S559" s="267"/>
      <c r="T559" s="267"/>
      <c r="U559" s="267"/>
      <c r="V559" s="267"/>
      <c r="W559" s="264"/>
      <c r="Y559" s="267"/>
      <c r="Z559" s="267"/>
      <c r="AA559" s="267"/>
      <c r="AB559" s="267"/>
      <c r="AE559" s="267"/>
      <c r="AF559" s="267"/>
      <c r="AG559" s="267"/>
      <c r="AH559" s="267"/>
      <c r="AK559" s="267"/>
      <c r="AL559" s="267"/>
      <c r="AM559" s="267"/>
      <c r="AN559" s="267"/>
      <c r="AQ559" s="267"/>
      <c r="AR559" s="267"/>
      <c r="AS559" s="267"/>
      <c r="AT559" s="267"/>
      <c r="AW559" s="267"/>
      <c r="AX559" s="267"/>
      <c r="AY559" s="267"/>
      <c r="AZ559" s="267"/>
      <c r="BG559" s="269"/>
      <c r="BM559" s="269"/>
      <c r="BS559" s="269"/>
      <c r="BU559" s="267"/>
      <c r="BY559" s="267"/>
      <c r="CC559" s="267"/>
      <c r="CG559" s="267"/>
      <c r="CS559" s="267"/>
      <c r="CW559" s="270"/>
      <c r="CX559" s="267"/>
      <c r="DC559" s="267"/>
      <c r="DH559" s="267"/>
      <c r="DM559" s="267"/>
      <c r="DR559" s="267"/>
      <c r="DW559" s="267"/>
      <c r="EB559" s="267"/>
      <c r="EG559" s="267"/>
      <c r="EL559" s="267"/>
      <c r="EQ559" s="267"/>
      <c r="EU559" s="270"/>
      <c r="EV559" s="267"/>
      <c r="FC559" s="267"/>
      <c r="FD559" s="267"/>
      <c r="FE559" s="267"/>
      <c r="FF559" s="267"/>
      <c r="FG559" s="267"/>
      <c r="FL559" s="267"/>
      <c r="FM559" s="267"/>
      <c r="FN559" s="267"/>
      <c r="FO559" s="267"/>
      <c r="FP559" s="267"/>
      <c r="FQ559" s="264"/>
      <c r="FR559" s="264"/>
      <c r="FS559" s="264"/>
      <c r="FT559" s="264"/>
      <c r="FU559" s="267"/>
      <c r="FV559" s="267"/>
      <c r="FW559" s="267"/>
      <c r="FX559" s="267"/>
      <c r="FY559" s="267"/>
      <c r="GD559" s="267"/>
      <c r="GE559" s="267"/>
      <c r="GF559" s="267"/>
      <c r="GG559" s="267"/>
      <c r="GH559" s="267"/>
      <c r="GI559" s="264"/>
      <c r="GJ559" s="264"/>
      <c r="GK559" s="264"/>
      <c r="GL559" s="264"/>
      <c r="HD559" s="267"/>
      <c r="HE559" s="267"/>
      <c r="HF559" s="267"/>
      <c r="HG559" s="267"/>
      <c r="HH559" s="267"/>
      <c r="HI559" s="267"/>
      <c r="HJ559" s="267"/>
      <c r="HK559" s="267"/>
      <c r="HL559" s="267"/>
      <c r="HM559" s="267"/>
      <c r="HN559" s="267"/>
      <c r="HO559" s="267"/>
      <c r="HP559" s="267"/>
      <c r="HQ559" s="267"/>
      <c r="HR559" s="267"/>
      <c r="HS559" s="267"/>
      <c r="HT559" s="267"/>
      <c r="HU559" s="267"/>
      <c r="IH559" s="267"/>
      <c r="IK559" s="267"/>
      <c r="IN559" s="267"/>
      <c r="IQ559" s="267"/>
      <c r="IR559" s="267"/>
      <c r="IS559" s="267"/>
      <c r="IV559" s="267"/>
      <c r="IY559" s="267"/>
    </row>
    <row r="560" spans="10:259">
      <c r="J560" s="267"/>
      <c r="K560" s="267"/>
      <c r="L560" s="267"/>
      <c r="M560" s="267"/>
      <c r="N560" s="267"/>
      <c r="O560" s="267"/>
      <c r="P560" s="267"/>
      <c r="Q560" s="267"/>
      <c r="S560" s="267"/>
      <c r="T560" s="267"/>
      <c r="U560" s="267"/>
      <c r="V560" s="267"/>
      <c r="W560" s="264"/>
      <c r="Y560" s="267"/>
      <c r="Z560" s="267"/>
      <c r="AA560" s="267"/>
      <c r="AB560" s="267"/>
      <c r="AE560" s="267"/>
      <c r="AF560" s="267"/>
      <c r="AG560" s="267"/>
      <c r="AH560" s="267"/>
      <c r="AK560" s="267"/>
      <c r="AL560" s="267"/>
      <c r="AM560" s="267"/>
      <c r="AN560" s="267"/>
      <c r="AQ560" s="267"/>
      <c r="AR560" s="267"/>
      <c r="AS560" s="267"/>
      <c r="AT560" s="267"/>
      <c r="AW560" s="267"/>
      <c r="AX560" s="267"/>
      <c r="AY560" s="267"/>
      <c r="AZ560" s="267"/>
      <c r="BG560" s="269"/>
      <c r="BM560" s="269"/>
      <c r="BS560" s="269"/>
      <c r="BU560" s="267"/>
      <c r="BY560" s="267"/>
      <c r="CC560" s="267"/>
      <c r="CG560" s="267"/>
      <c r="CS560" s="267"/>
      <c r="CW560" s="270"/>
      <c r="CX560" s="267"/>
      <c r="DC560" s="267"/>
      <c r="DH560" s="267"/>
      <c r="DM560" s="267"/>
      <c r="DR560" s="267"/>
      <c r="DW560" s="267"/>
      <c r="EB560" s="267"/>
      <c r="EG560" s="267"/>
      <c r="EL560" s="267"/>
      <c r="EQ560" s="267"/>
      <c r="EU560" s="270"/>
      <c r="EV560" s="267"/>
      <c r="FC560" s="267"/>
      <c r="FD560" s="267"/>
      <c r="FE560" s="267"/>
      <c r="FF560" s="267"/>
      <c r="FG560" s="267"/>
      <c r="FL560" s="267"/>
      <c r="FM560" s="267"/>
      <c r="FN560" s="267"/>
      <c r="FO560" s="267"/>
      <c r="FP560" s="267"/>
      <c r="FQ560" s="264"/>
      <c r="FR560" s="264"/>
      <c r="FS560" s="264"/>
      <c r="FT560" s="264"/>
      <c r="FU560" s="267"/>
      <c r="FV560" s="267"/>
      <c r="FW560" s="267"/>
      <c r="FX560" s="267"/>
      <c r="FY560" s="267"/>
      <c r="GD560" s="267"/>
      <c r="GE560" s="267"/>
      <c r="GF560" s="267"/>
      <c r="GG560" s="267"/>
      <c r="GH560" s="267"/>
      <c r="GI560" s="264"/>
      <c r="GJ560" s="264"/>
      <c r="GK560" s="264"/>
      <c r="GL560" s="264"/>
      <c r="HD560" s="267"/>
      <c r="HE560" s="267"/>
      <c r="HF560" s="267"/>
      <c r="HG560" s="267"/>
      <c r="HH560" s="267"/>
      <c r="HI560" s="267"/>
      <c r="HJ560" s="267"/>
      <c r="HK560" s="267"/>
      <c r="HL560" s="267"/>
      <c r="HM560" s="267"/>
      <c r="HN560" s="267"/>
      <c r="HO560" s="267"/>
      <c r="HP560" s="267"/>
      <c r="HQ560" s="267"/>
      <c r="HR560" s="267"/>
      <c r="HS560" s="267"/>
      <c r="HT560" s="267"/>
      <c r="HU560" s="267"/>
      <c r="IH560" s="267"/>
      <c r="IK560" s="267"/>
      <c r="IN560" s="267"/>
      <c r="IQ560" s="267"/>
      <c r="IR560" s="267"/>
      <c r="IS560" s="267"/>
      <c r="IV560" s="267"/>
      <c r="IY560" s="267"/>
    </row>
    <row r="561" spans="10:259">
      <c r="J561" s="267"/>
      <c r="K561" s="267"/>
      <c r="L561" s="267"/>
      <c r="M561" s="267"/>
      <c r="N561" s="267"/>
      <c r="O561" s="267"/>
      <c r="P561" s="267"/>
      <c r="Q561" s="267"/>
      <c r="S561" s="267"/>
      <c r="T561" s="267"/>
      <c r="U561" s="267"/>
      <c r="V561" s="267"/>
      <c r="W561" s="264"/>
      <c r="Y561" s="267"/>
      <c r="Z561" s="267"/>
      <c r="AA561" s="267"/>
      <c r="AB561" s="267"/>
      <c r="AE561" s="267"/>
      <c r="AF561" s="267"/>
      <c r="AG561" s="267"/>
      <c r="AH561" s="267"/>
      <c r="AK561" s="267"/>
      <c r="AL561" s="267"/>
      <c r="AM561" s="267"/>
      <c r="AN561" s="267"/>
      <c r="AQ561" s="267"/>
      <c r="AR561" s="267"/>
      <c r="AS561" s="267"/>
      <c r="AT561" s="267"/>
      <c r="AW561" s="267"/>
      <c r="AX561" s="267"/>
      <c r="AY561" s="267"/>
      <c r="AZ561" s="267"/>
      <c r="BG561" s="269"/>
      <c r="BM561" s="269"/>
      <c r="BS561" s="269"/>
      <c r="BU561" s="267"/>
      <c r="BY561" s="267"/>
      <c r="CC561" s="267"/>
      <c r="CG561" s="267"/>
      <c r="CS561" s="267"/>
      <c r="CW561" s="270"/>
      <c r="CX561" s="267"/>
      <c r="DC561" s="267"/>
      <c r="DH561" s="267"/>
      <c r="DM561" s="267"/>
      <c r="DR561" s="267"/>
      <c r="DW561" s="267"/>
      <c r="EB561" s="267"/>
      <c r="EG561" s="267"/>
      <c r="EL561" s="267"/>
      <c r="EQ561" s="267"/>
      <c r="EU561" s="270"/>
      <c r="EV561" s="267"/>
      <c r="FC561" s="267"/>
      <c r="FD561" s="267"/>
      <c r="FE561" s="267"/>
      <c r="FF561" s="267"/>
      <c r="FG561" s="267"/>
      <c r="FL561" s="267"/>
      <c r="FM561" s="267"/>
      <c r="FN561" s="267"/>
      <c r="FO561" s="267"/>
      <c r="FP561" s="267"/>
      <c r="FQ561" s="264"/>
      <c r="FR561" s="264"/>
      <c r="FS561" s="264"/>
      <c r="FT561" s="264"/>
      <c r="FU561" s="267"/>
      <c r="FV561" s="267"/>
      <c r="FW561" s="267"/>
      <c r="FX561" s="267"/>
      <c r="FY561" s="267"/>
      <c r="GD561" s="267"/>
      <c r="GE561" s="267"/>
      <c r="GF561" s="267"/>
      <c r="GG561" s="267"/>
      <c r="GH561" s="267"/>
      <c r="GI561" s="264"/>
      <c r="GJ561" s="264"/>
      <c r="GK561" s="264"/>
      <c r="GL561" s="264"/>
      <c r="HD561" s="267"/>
      <c r="HE561" s="267"/>
      <c r="HF561" s="267"/>
      <c r="HG561" s="267"/>
      <c r="HH561" s="267"/>
      <c r="HI561" s="267"/>
      <c r="HJ561" s="267"/>
      <c r="HK561" s="267"/>
      <c r="HL561" s="267"/>
      <c r="HM561" s="267"/>
      <c r="HN561" s="267"/>
      <c r="HO561" s="267"/>
      <c r="HP561" s="267"/>
      <c r="HQ561" s="267"/>
      <c r="HR561" s="267"/>
      <c r="HS561" s="267"/>
      <c r="HT561" s="267"/>
      <c r="HU561" s="267"/>
      <c r="IH561" s="267"/>
      <c r="IK561" s="267"/>
      <c r="IN561" s="267"/>
      <c r="IQ561" s="267"/>
      <c r="IR561" s="267"/>
      <c r="IS561" s="267"/>
      <c r="IV561" s="267"/>
      <c r="IY561" s="267"/>
    </row>
    <row r="562" spans="10:259">
      <c r="J562" s="267"/>
      <c r="K562" s="267"/>
      <c r="L562" s="267"/>
      <c r="M562" s="267"/>
      <c r="N562" s="267"/>
      <c r="O562" s="267"/>
      <c r="P562" s="267"/>
      <c r="Q562" s="267"/>
      <c r="S562" s="267"/>
      <c r="T562" s="267"/>
      <c r="U562" s="267"/>
      <c r="V562" s="267"/>
      <c r="W562" s="264"/>
      <c r="Y562" s="267"/>
      <c r="Z562" s="267"/>
      <c r="AA562" s="267"/>
      <c r="AB562" s="267"/>
      <c r="AE562" s="267"/>
      <c r="AF562" s="267"/>
      <c r="AG562" s="267"/>
      <c r="AH562" s="267"/>
      <c r="AK562" s="267"/>
      <c r="AL562" s="267"/>
      <c r="AM562" s="267"/>
      <c r="AN562" s="267"/>
      <c r="AQ562" s="267"/>
      <c r="AR562" s="267"/>
      <c r="AS562" s="267"/>
      <c r="AT562" s="267"/>
      <c r="AW562" s="267"/>
      <c r="AX562" s="267"/>
      <c r="AY562" s="267"/>
      <c r="AZ562" s="267"/>
      <c r="BG562" s="269"/>
      <c r="BM562" s="269"/>
      <c r="BS562" s="269"/>
      <c r="BU562" s="267"/>
      <c r="BY562" s="267"/>
      <c r="CC562" s="267"/>
      <c r="CG562" s="267"/>
      <c r="CS562" s="267"/>
      <c r="CW562" s="270"/>
      <c r="CX562" s="267"/>
      <c r="DC562" s="267"/>
      <c r="DH562" s="267"/>
      <c r="DM562" s="267"/>
      <c r="DR562" s="267"/>
      <c r="DW562" s="267"/>
      <c r="EB562" s="267"/>
      <c r="EG562" s="267"/>
      <c r="EL562" s="267"/>
      <c r="EQ562" s="267"/>
      <c r="EU562" s="270"/>
      <c r="EV562" s="267"/>
      <c r="FC562" s="267"/>
      <c r="FD562" s="267"/>
      <c r="FE562" s="267"/>
      <c r="FF562" s="267"/>
      <c r="FG562" s="267"/>
      <c r="FL562" s="267"/>
      <c r="FM562" s="267"/>
      <c r="FN562" s="267"/>
      <c r="FO562" s="267"/>
      <c r="FP562" s="267"/>
      <c r="FQ562" s="264"/>
      <c r="FR562" s="264"/>
      <c r="FS562" s="264"/>
      <c r="FT562" s="264"/>
      <c r="FU562" s="267"/>
      <c r="FV562" s="267"/>
      <c r="FW562" s="267"/>
      <c r="FX562" s="267"/>
      <c r="FY562" s="267"/>
      <c r="GD562" s="267"/>
      <c r="GE562" s="267"/>
      <c r="GF562" s="267"/>
      <c r="GG562" s="267"/>
      <c r="GH562" s="267"/>
      <c r="GI562" s="264"/>
      <c r="GJ562" s="264"/>
      <c r="GK562" s="264"/>
      <c r="GL562" s="264"/>
      <c r="HD562" s="267"/>
      <c r="HE562" s="267"/>
      <c r="HF562" s="267"/>
      <c r="HG562" s="267"/>
      <c r="HH562" s="267"/>
      <c r="HI562" s="267"/>
      <c r="HJ562" s="267"/>
      <c r="HK562" s="267"/>
      <c r="HL562" s="267"/>
      <c r="HM562" s="267"/>
      <c r="HN562" s="267"/>
      <c r="HO562" s="267"/>
      <c r="HP562" s="267"/>
      <c r="HQ562" s="267"/>
      <c r="HR562" s="267"/>
      <c r="HS562" s="267"/>
      <c r="HT562" s="267"/>
      <c r="HU562" s="267"/>
      <c r="IH562" s="267"/>
      <c r="IK562" s="267"/>
      <c r="IN562" s="267"/>
      <c r="IQ562" s="267"/>
      <c r="IR562" s="267"/>
      <c r="IS562" s="267"/>
      <c r="IV562" s="267"/>
      <c r="IY562" s="267"/>
    </row>
    <row r="563" spans="10:259">
      <c r="J563" s="267"/>
      <c r="K563" s="267"/>
      <c r="L563" s="267"/>
      <c r="M563" s="267"/>
      <c r="N563" s="267"/>
      <c r="O563" s="267"/>
      <c r="P563" s="267"/>
      <c r="Q563" s="267"/>
      <c r="S563" s="267"/>
      <c r="T563" s="267"/>
      <c r="U563" s="267"/>
      <c r="V563" s="267"/>
      <c r="W563" s="264"/>
      <c r="Y563" s="267"/>
      <c r="Z563" s="267"/>
      <c r="AA563" s="267"/>
      <c r="AB563" s="267"/>
      <c r="AE563" s="267"/>
      <c r="AF563" s="267"/>
      <c r="AG563" s="267"/>
      <c r="AH563" s="267"/>
      <c r="AK563" s="267"/>
      <c r="AL563" s="267"/>
      <c r="AM563" s="267"/>
      <c r="AN563" s="267"/>
      <c r="AQ563" s="267"/>
      <c r="AR563" s="267"/>
      <c r="AS563" s="267"/>
      <c r="AT563" s="267"/>
      <c r="AW563" s="267"/>
      <c r="AX563" s="267"/>
      <c r="AY563" s="267"/>
      <c r="AZ563" s="267"/>
      <c r="BG563" s="269"/>
      <c r="BM563" s="269"/>
      <c r="BS563" s="269"/>
      <c r="BU563" s="267"/>
      <c r="BY563" s="267"/>
      <c r="CC563" s="267"/>
      <c r="CG563" s="267"/>
      <c r="CS563" s="267"/>
      <c r="CW563" s="270"/>
      <c r="CX563" s="267"/>
      <c r="DC563" s="267"/>
      <c r="DH563" s="267"/>
      <c r="DM563" s="267"/>
      <c r="DR563" s="267"/>
      <c r="DW563" s="267"/>
      <c r="EB563" s="267"/>
      <c r="EG563" s="267"/>
      <c r="EL563" s="267"/>
      <c r="EQ563" s="267"/>
      <c r="EU563" s="270"/>
      <c r="EV563" s="267"/>
      <c r="FC563" s="267"/>
      <c r="FD563" s="267"/>
      <c r="FE563" s="267"/>
      <c r="FF563" s="267"/>
      <c r="FG563" s="267"/>
      <c r="FL563" s="267"/>
      <c r="FM563" s="267"/>
      <c r="FN563" s="267"/>
      <c r="FO563" s="267"/>
      <c r="FP563" s="267"/>
      <c r="FQ563" s="264"/>
      <c r="FR563" s="264"/>
      <c r="FS563" s="264"/>
      <c r="FT563" s="264"/>
      <c r="FU563" s="267"/>
      <c r="FV563" s="267"/>
      <c r="FW563" s="267"/>
      <c r="FX563" s="267"/>
      <c r="FY563" s="267"/>
      <c r="GD563" s="267"/>
      <c r="GE563" s="267"/>
      <c r="GF563" s="267"/>
      <c r="GG563" s="267"/>
      <c r="GH563" s="267"/>
      <c r="GI563" s="264"/>
      <c r="GJ563" s="264"/>
      <c r="GK563" s="264"/>
      <c r="GL563" s="264"/>
      <c r="HD563" s="267"/>
      <c r="HE563" s="267"/>
      <c r="HF563" s="267"/>
      <c r="HG563" s="267"/>
      <c r="HH563" s="267"/>
      <c r="HI563" s="267"/>
      <c r="HJ563" s="267"/>
      <c r="HK563" s="267"/>
      <c r="HL563" s="267"/>
      <c r="HM563" s="267"/>
      <c r="HN563" s="267"/>
      <c r="HO563" s="267"/>
      <c r="HP563" s="267"/>
      <c r="HQ563" s="267"/>
      <c r="HR563" s="267"/>
      <c r="HS563" s="267"/>
      <c r="HT563" s="267"/>
      <c r="HU563" s="267"/>
      <c r="IH563" s="267"/>
      <c r="IK563" s="267"/>
      <c r="IN563" s="267"/>
      <c r="IQ563" s="267"/>
      <c r="IR563" s="267"/>
      <c r="IS563" s="267"/>
      <c r="IV563" s="267"/>
      <c r="IY563" s="267"/>
    </row>
    <row r="564" spans="10:259">
      <c r="J564" s="267"/>
      <c r="K564" s="267"/>
      <c r="L564" s="267"/>
      <c r="M564" s="267"/>
      <c r="N564" s="267"/>
      <c r="O564" s="267"/>
      <c r="P564" s="267"/>
      <c r="Q564" s="267"/>
      <c r="S564" s="267"/>
      <c r="T564" s="267"/>
      <c r="U564" s="267"/>
      <c r="V564" s="267"/>
      <c r="W564" s="264"/>
      <c r="Y564" s="267"/>
      <c r="Z564" s="267"/>
      <c r="AA564" s="267"/>
      <c r="AB564" s="267"/>
      <c r="AE564" s="267"/>
      <c r="AF564" s="267"/>
      <c r="AG564" s="267"/>
      <c r="AH564" s="267"/>
      <c r="AK564" s="267"/>
      <c r="AL564" s="267"/>
      <c r="AM564" s="267"/>
      <c r="AN564" s="267"/>
      <c r="AQ564" s="267"/>
      <c r="AR564" s="267"/>
      <c r="AS564" s="267"/>
      <c r="AT564" s="267"/>
      <c r="AW564" s="267"/>
      <c r="AX564" s="267"/>
      <c r="AY564" s="267"/>
      <c r="AZ564" s="267"/>
      <c r="BG564" s="269"/>
      <c r="BM564" s="269"/>
      <c r="BS564" s="269"/>
      <c r="BU564" s="267"/>
      <c r="BY564" s="267"/>
      <c r="CC564" s="267"/>
      <c r="CG564" s="267"/>
      <c r="CS564" s="267"/>
      <c r="CW564" s="270"/>
      <c r="CX564" s="267"/>
      <c r="DC564" s="267"/>
      <c r="DH564" s="267"/>
      <c r="DM564" s="267"/>
      <c r="DR564" s="267"/>
      <c r="DW564" s="267"/>
      <c r="EB564" s="267"/>
      <c r="EG564" s="267"/>
      <c r="EL564" s="267"/>
      <c r="EQ564" s="267"/>
      <c r="EU564" s="270"/>
      <c r="EV564" s="267"/>
      <c r="FC564" s="267"/>
      <c r="FD564" s="267"/>
      <c r="FE564" s="267"/>
      <c r="FF564" s="267"/>
      <c r="FG564" s="267"/>
      <c r="FL564" s="267"/>
      <c r="FM564" s="267"/>
      <c r="FN564" s="267"/>
      <c r="FO564" s="267"/>
      <c r="FP564" s="267"/>
      <c r="FQ564" s="264"/>
      <c r="FR564" s="264"/>
      <c r="FS564" s="264"/>
      <c r="FT564" s="264"/>
      <c r="FU564" s="267"/>
      <c r="FV564" s="267"/>
      <c r="FW564" s="267"/>
      <c r="FX564" s="267"/>
      <c r="FY564" s="267"/>
      <c r="GD564" s="267"/>
      <c r="GE564" s="267"/>
      <c r="GF564" s="267"/>
      <c r="GG564" s="267"/>
      <c r="GH564" s="267"/>
      <c r="GI564" s="264"/>
      <c r="GJ564" s="264"/>
      <c r="GK564" s="264"/>
      <c r="GL564" s="264"/>
      <c r="HD564" s="267"/>
      <c r="HE564" s="267"/>
      <c r="HF564" s="267"/>
      <c r="HG564" s="267"/>
      <c r="HH564" s="267"/>
      <c r="HI564" s="267"/>
      <c r="HJ564" s="267"/>
      <c r="HK564" s="267"/>
      <c r="HL564" s="267"/>
      <c r="HM564" s="267"/>
      <c r="HN564" s="267"/>
      <c r="HO564" s="267"/>
      <c r="HP564" s="267"/>
      <c r="HQ564" s="267"/>
      <c r="HR564" s="267"/>
      <c r="HS564" s="267"/>
      <c r="HT564" s="267"/>
      <c r="HU564" s="267"/>
      <c r="IH564" s="267"/>
      <c r="IK564" s="267"/>
      <c r="IN564" s="267"/>
      <c r="IQ564" s="267"/>
      <c r="IR564" s="267"/>
      <c r="IS564" s="267"/>
      <c r="IV564" s="267"/>
      <c r="IY564" s="267"/>
    </row>
    <row r="565" spans="10:259">
      <c r="J565" s="267"/>
      <c r="K565" s="267"/>
      <c r="L565" s="267"/>
      <c r="M565" s="267"/>
      <c r="N565" s="267"/>
      <c r="O565" s="267"/>
      <c r="P565" s="267"/>
      <c r="Q565" s="267"/>
      <c r="S565" s="267"/>
      <c r="T565" s="267"/>
      <c r="U565" s="267"/>
      <c r="V565" s="267"/>
      <c r="W565" s="264"/>
      <c r="Y565" s="267"/>
      <c r="Z565" s="267"/>
      <c r="AA565" s="267"/>
      <c r="AB565" s="267"/>
      <c r="AE565" s="267"/>
      <c r="AF565" s="267"/>
      <c r="AG565" s="267"/>
      <c r="AH565" s="267"/>
      <c r="AK565" s="267"/>
      <c r="AL565" s="267"/>
      <c r="AM565" s="267"/>
      <c r="AN565" s="267"/>
      <c r="AQ565" s="267"/>
      <c r="AR565" s="267"/>
      <c r="AS565" s="267"/>
      <c r="AT565" s="267"/>
      <c r="AW565" s="267"/>
      <c r="AX565" s="267"/>
      <c r="AY565" s="267"/>
      <c r="AZ565" s="267"/>
      <c r="BG565" s="269"/>
      <c r="BM565" s="269"/>
      <c r="BS565" s="269"/>
      <c r="BU565" s="267"/>
      <c r="BY565" s="267"/>
      <c r="CC565" s="267"/>
      <c r="CG565" s="267"/>
      <c r="CS565" s="267"/>
      <c r="CW565" s="270"/>
      <c r="CX565" s="267"/>
      <c r="DC565" s="267"/>
      <c r="DH565" s="267"/>
      <c r="DM565" s="267"/>
      <c r="DR565" s="267"/>
      <c r="DW565" s="267"/>
      <c r="EB565" s="267"/>
      <c r="EG565" s="267"/>
      <c r="EL565" s="267"/>
      <c r="EQ565" s="267"/>
      <c r="EU565" s="270"/>
      <c r="EV565" s="267"/>
      <c r="FC565" s="267"/>
      <c r="FD565" s="267"/>
      <c r="FE565" s="267"/>
      <c r="FF565" s="267"/>
      <c r="FG565" s="267"/>
      <c r="FL565" s="267"/>
      <c r="FM565" s="267"/>
      <c r="FN565" s="267"/>
      <c r="FO565" s="267"/>
      <c r="FP565" s="267"/>
      <c r="FQ565" s="264"/>
      <c r="FR565" s="264"/>
      <c r="FS565" s="264"/>
      <c r="FT565" s="264"/>
      <c r="FU565" s="267"/>
      <c r="FV565" s="267"/>
      <c r="FW565" s="267"/>
      <c r="FX565" s="267"/>
      <c r="FY565" s="267"/>
      <c r="GD565" s="267"/>
      <c r="GE565" s="267"/>
      <c r="GF565" s="267"/>
      <c r="GG565" s="267"/>
      <c r="GH565" s="267"/>
      <c r="GI565" s="264"/>
      <c r="GJ565" s="264"/>
      <c r="GK565" s="264"/>
      <c r="GL565" s="264"/>
      <c r="HD565" s="267"/>
      <c r="HE565" s="267"/>
      <c r="HF565" s="267"/>
      <c r="HG565" s="267"/>
      <c r="HH565" s="267"/>
      <c r="HI565" s="267"/>
      <c r="HJ565" s="267"/>
      <c r="HK565" s="267"/>
      <c r="HL565" s="267"/>
      <c r="HM565" s="267"/>
      <c r="HN565" s="267"/>
      <c r="HO565" s="267"/>
      <c r="HP565" s="267"/>
      <c r="HQ565" s="267"/>
      <c r="HR565" s="267"/>
      <c r="HS565" s="267"/>
      <c r="HT565" s="267"/>
      <c r="HU565" s="267"/>
      <c r="IH565" s="267"/>
      <c r="IK565" s="267"/>
      <c r="IN565" s="267"/>
      <c r="IQ565" s="267"/>
      <c r="IR565" s="267"/>
      <c r="IS565" s="267"/>
      <c r="IV565" s="267"/>
      <c r="IY565" s="267"/>
    </row>
    <row r="566" spans="10:259">
      <c r="J566" s="267"/>
      <c r="K566" s="267"/>
      <c r="L566" s="267"/>
      <c r="M566" s="267"/>
      <c r="N566" s="267"/>
      <c r="O566" s="267"/>
      <c r="P566" s="267"/>
      <c r="Q566" s="267"/>
      <c r="S566" s="267"/>
      <c r="T566" s="267"/>
      <c r="U566" s="267"/>
      <c r="V566" s="267"/>
      <c r="W566" s="264"/>
      <c r="Y566" s="267"/>
      <c r="Z566" s="267"/>
      <c r="AA566" s="267"/>
      <c r="AB566" s="267"/>
      <c r="AE566" s="267"/>
      <c r="AF566" s="267"/>
      <c r="AG566" s="267"/>
      <c r="AH566" s="267"/>
      <c r="AK566" s="267"/>
      <c r="AL566" s="267"/>
      <c r="AM566" s="267"/>
      <c r="AN566" s="267"/>
      <c r="AQ566" s="267"/>
      <c r="AR566" s="267"/>
      <c r="AS566" s="267"/>
      <c r="AT566" s="267"/>
      <c r="AW566" s="267"/>
      <c r="AX566" s="267"/>
      <c r="AY566" s="267"/>
      <c r="AZ566" s="267"/>
      <c r="BG566" s="269"/>
      <c r="BM566" s="269"/>
      <c r="BS566" s="269"/>
      <c r="BU566" s="267"/>
      <c r="BY566" s="267"/>
      <c r="CC566" s="267"/>
      <c r="CG566" s="267"/>
      <c r="CS566" s="267"/>
      <c r="CW566" s="270"/>
      <c r="CX566" s="267"/>
      <c r="DC566" s="267"/>
      <c r="DH566" s="267"/>
      <c r="DM566" s="267"/>
      <c r="DR566" s="267"/>
      <c r="DW566" s="267"/>
      <c r="EB566" s="267"/>
      <c r="EG566" s="267"/>
      <c r="EL566" s="267"/>
      <c r="EQ566" s="267"/>
      <c r="EU566" s="270"/>
      <c r="EV566" s="267"/>
      <c r="FC566" s="267"/>
      <c r="FD566" s="267"/>
      <c r="FE566" s="267"/>
      <c r="FF566" s="267"/>
      <c r="FG566" s="267"/>
      <c r="FL566" s="267"/>
      <c r="FM566" s="267"/>
      <c r="FN566" s="267"/>
      <c r="FO566" s="267"/>
      <c r="FP566" s="267"/>
      <c r="FQ566" s="264"/>
      <c r="FR566" s="264"/>
      <c r="FS566" s="264"/>
      <c r="FT566" s="264"/>
      <c r="FU566" s="267"/>
      <c r="FV566" s="267"/>
      <c r="FW566" s="267"/>
      <c r="FX566" s="267"/>
      <c r="FY566" s="267"/>
      <c r="GD566" s="267"/>
      <c r="GE566" s="267"/>
      <c r="GF566" s="267"/>
      <c r="GG566" s="267"/>
      <c r="GH566" s="267"/>
      <c r="GI566" s="264"/>
      <c r="GJ566" s="264"/>
      <c r="GK566" s="264"/>
      <c r="GL566" s="264"/>
      <c r="HD566" s="267"/>
      <c r="HE566" s="267"/>
      <c r="HF566" s="267"/>
      <c r="HG566" s="267"/>
      <c r="HH566" s="267"/>
      <c r="HI566" s="267"/>
      <c r="HJ566" s="267"/>
      <c r="HK566" s="267"/>
      <c r="HL566" s="267"/>
      <c r="HM566" s="267"/>
      <c r="HN566" s="267"/>
      <c r="HO566" s="267"/>
      <c r="HP566" s="267"/>
      <c r="HQ566" s="267"/>
      <c r="HR566" s="267"/>
      <c r="HS566" s="267"/>
      <c r="HT566" s="267"/>
      <c r="HU566" s="267"/>
      <c r="IH566" s="267"/>
      <c r="IK566" s="267"/>
      <c r="IN566" s="267"/>
      <c r="IQ566" s="267"/>
      <c r="IR566" s="267"/>
      <c r="IS566" s="267"/>
      <c r="IV566" s="267"/>
      <c r="IY566" s="267"/>
    </row>
    <row r="567" spans="10:259">
      <c r="J567" s="267"/>
      <c r="K567" s="267"/>
      <c r="L567" s="267"/>
      <c r="M567" s="267"/>
      <c r="N567" s="267"/>
      <c r="O567" s="267"/>
      <c r="P567" s="267"/>
      <c r="Q567" s="267"/>
      <c r="S567" s="267"/>
      <c r="T567" s="267"/>
      <c r="U567" s="267"/>
      <c r="V567" s="267"/>
      <c r="W567" s="264"/>
      <c r="Y567" s="267"/>
      <c r="Z567" s="267"/>
      <c r="AA567" s="267"/>
      <c r="AB567" s="267"/>
      <c r="AE567" s="267"/>
      <c r="AF567" s="267"/>
      <c r="AG567" s="267"/>
      <c r="AH567" s="267"/>
      <c r="AK567" s="267"/>
      <c r="AL567" s="267"/>
      <c r="AM567" s="267"/>
      <c r="AN567" s="267"/>
      <c r="AQ567" s="267"/>
      <c r="AR567" s="267"/>
      <c r="AS567" s="267"/>
      <c r="AT567" s="267"/>
      <c r="AW567" s="267"/>
      <c r="AX567" s="267"/>
      <c r="AY567" s="267"/>
      <c r="AZ567" s="267"/>
      <c r="BG567" s="269"/>
      <c r="BM567" s="269"/>
      <c r="BS567" s="269"/>
      <c r="BU567" s="267"/>
      <c r="BY567" s="267"/>
      <c r="CC567" s="267"/>
      <c r="CG567" s="267"/>
      <c r="CS567" s="267"/>
      <c r="CW567" s="270"/>
      <c r="CX567" s="267"/>
      <c r="DC567" s="267"/>
      <c r="DH567" s="267"/>
      <c r="DM567" s="267"/>
      <c r="DR567" s="267"/>
      <c r="DW567" s="267"/>
      <c r="EB567" s="267"/>
      <c r="EG567" s="267"/>
      <c r="EL567" s="267"/>
      <c r="EQ567" s="267"/>
      <c r="EU567" s="270"/>
      <c r="EV567" s="267"/>
      <c r="FC567" s="267"/>
      <c r="FD567" s="267"/>
      <c r="FE567" s="267"/>
      <c r="FF567" s="267"/>
      <c r="FG567" s="267"/>
      <c r="FL567" s="267"/>
      <c r="FM567" s="267"/>
      <c r="FN567" s="267"/>
      <c r="FO567" s="267"/>
      <c r="FP567" s="267"/>
      <c r="FQ567" s="264"/>
      <c r="FR567" s="264"/>
      <c r="FS567" s="264"/>
      <c r="FT567" s="264"/>
      <c r="FU567" s="267"/>
      <c r="FV567" s="267"/>
      <c r="FW567" s="267"/>
      <c r="FX567" s="267"/>
      <c r="FY567" s="267"/>
      <c r="GD567" s="267"/>
      <c r="GE567" s="267"/>
      <c r="GF567" s="267"/>
      <c r="GG567" s="267"/>
      <c r="GH567" s="267"/>
      <c r="GI567" s="264"/>
      <c r="GJ567" s="264"/>
      <c r="GK567" s="264"/>
      <c r="GL567" s="264"/>
      <c r="HD567" s="267"/>
      <c r="HE567" s="267"/>
      <c r="HF567" s="267"/>
      <c r="HG567" s="267"/>
      <c r="HH567" s="267"/>
      <c r="HI567" s="267"/>
      <c r="HJ567" s="267"/>
      <c r="HK567" s="267"/>
      <c r="HL567" s="267"/>
      <c r="HM567" s="267"/>
      <c r="HN567" s="267"/>
      <c r="HO567" s="267"/>
      <c r="HP567" s="267"/>
      <c r="HQ567" s="267"/>
      <c r="HR567" s="267"/>
      <c r="HS567" s="267"/>
      <c r="HT567" s="267"/>
      <c r="HU567" s="267"/>
      <c r="IH567" s="267"/>
      <c r="IK567" s="267"/>
      <c r="IN567" s="267"/>
      <c r="IQ567" s="267"/>
      <c r="IR567" s="267"/>
      <c r="IS567" s="267"/>
      <c r="IV567" s="267"/>
      <c r="IY567" s="267"/>
    </row>
    <row r="568" spans="10:259">
      <c r="J568" s="267"/>
      <c r="K568" s="267"/>
      <c r="L568" s="267"/>
      <c r="M568" s="267"/>
      <c r="N568" s="267"/>
      <c r="O568" s="267"/>
      <c r="P568" s="267"/>
      <c r="Q568" s="267"/>
      <c r="S568" s="267"/>
      <c r="T568" s="267"/>
      <c r="U568" s="267"/>
      <c r="V568" s="267"/>
      <c r="W568" s="264"/>
      <c r="Y568" s="267"/>
      <c r="Z568" s="267"/>
      <c r="AA568" s="267"/>
      <c r="AB568" s="267"/>
      <c r="AE568" s="267"/>
      <c r="AF568" s="267"/>
      <c r="AG568" s="267"/>
      <c r="AH568" s="267"/>
      <c r="AK568" s="267"/>
      <c r="AL568" s="267"/>
      <c r="AM568" s="267"/>
      <c r="AN568" s="267"/>
      <c r="AQ568" s="267"/>
      <c r="AR568" s="267"/>
      <c r="AS568" s="267"/>
      <c r="AT568" s="267"/>
      <c r="AW568" s="267"/>
      <c r="AX568" s="267"/>
      <c r="AY568" s="267"/>
      <c r="AZ568" s="267"/>
      <c r="BG568" s="269"/>
      <c r="BM568" s="269"/>
      <c r="BS568" s="269"/>
      <c r="BU568" s="267"/>
      <c r="BY568" s="267"/>
      <c r="CC568" s="267"/>
      <c r="CG568" s="267"/>
      <c r="CS568" s="267"/>
      <c r="CW568" s="270"/>
      <c r="CX568" s="267"/>
      <c r="DC568" s="267"/>
      <c r="DH568" s="267"/>
      <c r="DM568" s="267"/>
      <c r="DR568" s="267"/>
      <c r="DW568" s="267"/>
      <c r="EB568" s="267"/>
      <c r="EG568" s="267"/>
      <c r="EL568" s="267"/>
      <c r="EQ568" s="267"/>
      <c r="EU568" s="270"/>
      <c r="EV568" s="267"/>
      <c r="FC568" s="267"/>
      <c r="FD568" s="267"/>
      <c r="FE568" s="267"/>
      <c r="FF568" s="267"/>
      <c r="FG568" s="267"/>
      <c r="FL568" s="267"/>
      <c r="FM568" s="267"/>
      <c r="FN568" s="267"/>
      <c r="FO568" s="267"/>
      <c r="FP568" s="267"/>
      <c r="FQ568" s="264"/>
      <c r="FR568" s="264"/>
      <c r="FS568" s="264"/>
      <c r="FT568" s="264"/>
      <c r="FU568" s="267"/>
      <c r="FV568" s="267"/>
      <c r="FW568" s="267"/>
      <c r="FX568" s="267"/>
      <c r="FY568" s="267"/>
      <c r="GD568" s="267"/>
      <c r="GE568" s="267"/>
      <c r="GF568" s="267"/>
      <c r="GG568" s="267"/>
      <c r="GH568" s="267"/>
      <c r="GI568" s="264"/>
      <c r="GJ568" s="264"/>
      <c r="GK568" s="264"/>
      <c r="GL568" s="264"/>
      <c r="HD568" s="267"/>
      <c r="HE568" s="267"/>
      <c r="HF568" s="267"/>
      <c r="HG568" s="267"/>
      <c r="HH568" s="267"/>
      <c r="HI568" s="267"/>
      <c r="HJ568" s="267"/>
      <c r="HK568" s="267"/>
      <c r="HL568" s="267"/>
      <c r="HM568" s="267"/>
      <c r="HN568" s="267"/>
      <c r="HO568" s="267"/>
      <c r="HP568" s="267"/>
      <c r="HQ568" s="267"/>
      <c r="HR568" s="267"/>
      <c r="HS568" s="267"/>
      <c r="HT568" s="267"/>
      <c r="HU568" s="267"/>
      <c r="IH568" s="267"/>
      <c r="IK568" s="267"/>
      <c r="IN568" s="267"/>
      <c r="IQ568" s="267"/>
      <c r="IR568" s="267"/>
      <c r="IS568" s="267"/>
      <c r="IV568" s="267"/>
      <c r="IY568" s="267"/>
    </row>
    <row r="569" spans="10:259">
      <c r="J569" s="267"/>
      <c r="K569" s="267"/>
      <c r="L569" s="267"/>
      <c r="M569" s="267"/>
      <c r="N569" s="267"/>
      <c r="O569" s="267"/>
      <c r="P569" s="267"/>
      <c r="Q569" s="267"/>
      <c r="S569" s="267"/>
      <c r="T569" s="267"/>
      <c r="U569" s="267"/>
      <c r="V569" s="267"/>
      <c r="W569" s="264"/>
      <c r="Y569" s="267"/>
      <c r="Z569" s="267"/>
      <c r="AA569" s="267"/>
      <c r="AB569" s="267"/>
      <c r="AE569" s="267"/>
      <c r="AF569" s="267"/>
      <c r="AG569" s="267"/>
      <c r="AH569" s="267"/>
      <c r="AK569" s="267"/>
      <c r="AL569" s="267"/>
      <c r="AM569" s="267"/>
      <c r="AN569" s="267"/>
      <c r="AQ569" s="267"/>
      <c r="AR569" s="267"/>
      <c r="AS569" s="267"/>
      <c r="AT569" s="267"/>
      <c r="AW569" s="267"/>
      <c r="AX569" s="267"/>
      <c r="AY569" s="267"/>
      <c r="AZ569" s="267"/>
      <c r="BG569" s="269"/>
      <c r="BM569" s="269"/>
      <c r="BS569" s="269"/>
      <c r="BU569" s="267"/>
      <c r="BY569" s="267"/>
      <c r="CC569" s="267"/>
      <c r="CG569" s="267"/>
      <c r="CS569" s="267"/>
      <c r="CW569" s="270"/>
      <c r="CX569" s="267"/>
      <c r="DC569" s="267"/>
      <c r="DH569" s="267"/>
      <c r="DM569" s="267"/>
      <c r="DR569" s="267"/>
      <c r="DW569" s="267"/>
      <c r="EB569" s="267"/>
      <c r="EG569" s="267"/>
      <c r="EL569" s="267"/>
      <c r="EQ569" s="267"/>
      <c r="EU569" s="270"/>
      <c r="EV569" s="267"/>
      <c r="FC569" s="267"/>
      <c r="FD569" s="267"/>
      <c r="FE569" s="267"/>
      <c r="FF569" s="267"/>
      <c r="FG569" s="267"/>
      <c r="FL569" s="267"/>
      <c r="FM569" s="267"/>
      <c r="FN569" s="267"/>
      <c r="FO569" s="267"/>
      <c r="FP569" s="267"/>
      <c r="FQ569" s="264"/>
      <c r="FR569" s="264"/>
      <c r="FS569" s="264"/>
      <c r="FT569" s="264"/>
      <c r="FU569" s="267"/>
      <c r="FV569" s="267"/>
      <c r="FW569" s="267"/>
      <c r="FX569" s="267"/>
      <c r="FY569" s="267"/>
      <c r="GD569" s="267"/>
      <c r="GE569" s="267"/>
      <c r="GF569" s="267"/>
      <c r="GG569" s="267"/>
      <c r="GH569" s="267"/>
      <c r="GI569" s="264"/>
      <c r="GJ569" s="264"/>
      <c r="GK569" s="264"/>
      <c r="GL569" s="264"/>
      <c r="HD569" s="267"/>
      <c r="HE569" s="267"/>
      <c r="HF569" s="267"/>
      <c r="HG569" s="267"/>
      <c r="HH569" s="267"/>
      <c r="HI569" s="267"/>
      <c r="HJ569" s="267"/>
      <c r="HK569" s="267"/>
      <c r="HL569" s="267"/>
      <c r="HM569" s="267"/>
      <c r="HN569" s="267"/>
      <c r="HO569" s="267"/>
      <c r="HP569" s="267"/>
      <c r="HQ569" s="267"/>
      <c r="HR569" s="267"/>
      <c r="HS569" s="267"/>
      <c r="HT569" s="267"/>
      <c r="HU569" s="267"/>
      <c r="IH569" s="267"/>
      <c r="IK569" s="267"/>
      <c r="IN569" s="267"/>
      <c r="IQ569" s="267"/>
      <c r="IR569" s="267"/>
      <c r="IS569" s="267"/>
      <c r="IV569" s="267"/>
      <c r="IY569" s="267"/>
    </row>
    <row r="570" spans="10:259">
      <c r="J570" s="267"/>
      <c r="K570" s="267"/>
      <c r="L570" s="267"/>
      <c r="M570" s="267"/>
      <c r="N570" s="267"/>
      <c r="O570" s="267"/>
      <c r="P570" s="267"/>
      <c r="Q570" s="267"/>
      <c r="S570" s="267"/>
      <c r="T570" s="267"/>
      <c r="U570" s="267"/>
      <c r="V570" s="267"/>
      <c r="W570" s="264"/>
      <c r="Y570" s="267"/>
      <c r="Z570" s="267"/>
      <c r="AA570" s="267"/>
      <c r="AB570" s="267"/>
      <c r="AE570" s="267"/>
      <c r="AF570" s="267"/>
      <c r="AG570" s="267"/>
      <c r="AH570" s="267"/>
      <c r="AK570" s="267"/>
      <c r="AL570" s="267"/>
      <c r="AM570" s="267"/>
      <c r="AN570" s="267"/>
      <c r="AQ570" s="267"/>
      <c r="AR570" s="267"/>
      <c r="AS570" s="267"/>
      <c r="AT570" s="267"/>
      <c r="AW570" s="267"/>
      <c r="AX570" s="267"/>
      <c r="AY570" s="267"/>
      <c r="AZ570" s="267"/>
      <c r="BG570" s="269"/>
      <c r="BM570" s="269"/>
      <c r="BS570" s="269"/>
      <c r="BU570" s="267"/>
      <c r="BY570" s="267"/>
      <c r="CC570" s="267"/>
      <c r="CG570" s="267"/>
      <c r="CS570" s="267"/>
      <c r="CW570" s="270"/>
      <c r="CX570" s="267"/>
      <c r="DC570" s="267"/>
      <c r="DH570" s="267"/>
      <c r="DM570" s="267"/>
      <c r="DR570" s="267"/>
      <c r="DW570" s="267"/>
      <c r="EB570" s="267"/>
      <c r="EG570" s="267"/>
      <c r="EL570" s="267"/>
      <c r="EQ570" s="267"/>
      <c r="EU570" s="270"/>
      <c r="EV570" s="267"/>
      <c r="FC570" s="267"/>
      <c r="FD570" s="267"/>
      <c r="FE570" s="267"/>
      <c r="FF570" s="267"/>
      <c r="FG570" s="267"/>
      <c r="FL570" s="267"/>
      <c r="FM570" s="267"/>
      <c r="FN570" s="267"/>
      <c r="FO570" s="267"/>
      <c r="FP570" s="267"/>
      <c r="FQ570" s="264"/>
      <c r="FR570" s="264"/>
      <c r="FS570" s="264"/>
      <c r="FT570" s="264"/>
      <c r="FU570" s="267"/>
      <c r="FV570" s="267"/>
      <c r="FW570" s="267"/>
      <c r="FX570" s="267"/>
      <c r="FY570" s="267"/>
      <c r="GD570" s="267"/>
      <c r="GE570" s="267"/>
      <c r="GF570" s="267"/>
      <c r="GG570" s="267"/>
      <c r="GH570" s="267"/>
      <c r="GI570" s="264"/>
      <c r="GJ570" s="264"/>
      <c r="GK570" s="264"/>
      <c r="GL570" s="264"/>
      <c r="HD570" s="267"/>
      <c r="HE570" s="267"/>
      <c r="HF570" s="267"/>
      <c r="HG570" s="267"/>
      <c r="HH570" s="267"/>
      <c r="HI570" s="267"/>
      <c r="HJ570" s="267"/>
      <c r="HK570" s="267"/>
      <c r="HL570" s="267"/>
      <c r="HM570" s="267"/>
      <c r="HN570" s="267"/>
      <c r="HO570" s="267"/>
      <c r="HP570" s="267"/>
      <c r="HQ570" s="267"/>
      <c r="HR570" s="267"/>
      <c r="HS570" s="267"/>
      <c r="HT570" s="267"/>
      <c r="HU570" s="267"/>
      <c r="IH570" s="267"/>
      <c r="IK570" s="267"/>
      <c r="IN570" s="267"/>
      <c r="IQ570" s="267"/>
      <c r="IR570" s="267"/>
      <c r="IS570" s="267"/>
    </row>
    <row r="571" spans="10:259">
      <c r="J571" s="267"/>
      <c r="K571" s="267"/>
      <c r="L571" s="267"/>
      <c r="M571" s="267"/>
      <c r="N571" s="267"/>
      <c r="O571" s="267"/>
      <c r="P571" s="267"/>
      <c r="Q571" s="267"/>
      <c r="S571" s="267"/>
      <c r="T571" s="267"/>
      <c r="U571" s="267"/>
      <c r="V571" s="267"/>
      <c r="W571" s="264"/>
      <c r="Y571" s="267"/>
      <c r="Z571" s="267"/>
      <c r="AA571" s="267"/>
      <c r="AB571" s="267"/>
      <c r="AE571" s="267"/>
      <c r="AF571" s="267"/>
      <c r="AG571" s="267"/>
      <c r="AH571" s="267"/>
      <c r="AK571" s="267"/>
      <c r="AL571" s="267"/>
      <c r="AM571" s="267"/>
      <c r="AN571" s="267"/>
      <c r="AQ571" s="267"/>
      <c r="AR571" s="267"/>
      <c r="AS571" s="267"/>
      <c r="AT571" s="267"/>
      <c r="AW571" s="267"/>
      <c r="AX571" s="267"/>
      <c r="AY571" s="267"/>
      <c r="AZ571" s="267"/>
      <c r="BG571" s="269"/>
      <c r="BM571" s="269"/>
      <c r="BS571" s="269"/>
      <c r="BU571" s="267"/>
      <c r="BY571" s="267"/>
      <c r="CC571" s="267"/>
      <c r="CG571" s="267"/>
      <c r="CS571" s="267"/>
      <c r="CW571" s="270"/>
      <c r="CX571" s="267"/>
      <c r="DC571" s="267"/>
      <c r="DH571" s="267"/>
      <c r="DM571" s="267"/>
      <c r="DR571" s="267"/>
      <c r="DW571" s="267"/>
      <c r="EB571" s="267"/>
      <c r="EG571" s="267"/>
      <c r="EL571" s="267"/>
      <c r="EQ571" s="267"/>
      <c r="EU571" s="270"/>
      <c r="EV571" s="267"/>
      <c r="FC571" s="267"/>
      <c r="FD571" s="267"/>
      <c r="FE571" s="267"/>
      <c r="FF571" s="267"/>
      <c r="FG571" s="267"/>
      <c r="FL571" s="267"/>
      <c r="FM571" s="267"/>
      <c r="FN571" s="267"/>
      <c r="FO571" s="267"/>
      <c r="FP571" s="267"/>
      <c r="FQ571" s="264"/>
      <c r="FR571" s="264"/>
      <c r="FS571" s="264"/>
      <c r="FT571" s="264"/>
      <c r="FU571" s="267"/>
      <c r="FV571" s="267"/>
      <c r="FW571" s="267"/>
      <c r="FX571" s="267"/>
      <c r="FY571" s="267"/>
      <c r="GD571" s="267"/>
      <c r="GE571" s="267"/>
      <c r="GF571" s="267"/>
      <c r="GG571" s="267"/>
      <c r="GH571" s="267"/>
      <c r="GI571" s="264"/>
      <c r="GJ571" s="264"/>
      <c r="GK571" s="264"/>
      <c r="GL571" s="264"/>
      <c r="HD571" s="267"/>
      <c r="HE571" s="267"/>
      <c r="HF571" s="267"/>
      <c r="HG571" s="267"/>
      <c r="HH571" s="267"/>
      <c r="HI571" s="267"/>
      <c r="HJ571" s="267"/>
      <c r="HK571" s="267"/>
      <c r="HL571" s="267"/>
      <c r="HM571" s="267"/>
      <c r="HN571" s="267"/>
      <c r="HO571" s="267"/>
      <c r="HP571" s="267"/>
      <c r="HQ571" s="267"/>
      <c r="HR571" s="267"/>
      <c r="HS571" s="267"/>
      <c r="HT571" s="267"/>
      <c r="HU571" s="267"/>
      <c r="IH571" s="267"/>
      <c r="IK571" s="267"/>
      <c r="IN571" s="267"/>
      <c r="IQ571" s="267"/>
      <c r="IR571" s="267"/>
      <c r="IS571" s="267"/>
    </row>
    <row r="572" spans="10:259">
      <c r="J572" s="267"/>
      <c r="K572" s="267"/>
      <c r="L572" s="267"/>
      <c r="M572" s="267"/>
      <c r="N572" s="267"/>
      <c r="O572" s="267"/>
      <c r="P572" s="267"/>
      <c r="Q572" s="267"/>
      <c r="S572" s="267"/>
      <c r="T572" s="267"/>
      <c r="U572" s="267"/>
      <c r="V572" s="267"/>
      <c r="W572" s="264"/>
      <c r="Y572" s="267"/>
      <c r="Z572" s="267"/>
      <c r="AA572" s="267"/>
      <c r="AB572" s="267"/>
      <c r="AE572" s="267"/>
      <c r="AF572" s="267"/>
      <c r="AG572" s="267"/>
      <c r="AH572" s="267"/>
      <c r="AK572" s="267"/>
      <c r="AL572" s="267"/>
      <c r="AM572" s="267"/>
      <c r="AN572" s="267"/>
      <c r="AQ572" s="267"/>
      <c r="AR572" s="267"/>
      <c r="AS572" s="267"/>
      <c r="AT572" s="267"/>
      <c r="AW572" s="267"/>
      <c r="AX572" s="267"/>
      <c r="AY572" s="267"/>
      <c r="AZ572" s="267"/>
      <c r="BG572" s="269"/>
      <c r="BM572" s="269"/>
      <c r="BS572" s="269"/>
      <c r="BU572" s="267"/>
      <c r="BY572" s="267"/>
      <c r="CC572" s="267"/>
      <c r="CG572" s="267"/>
      <c r="CS572" s="267"/>
      <c r="CW572" s="270"/>
      <c r="CX572" s="267"/>
      <c r="DC572" s="267"/>
      <c r="DH572" s="267"/>
      <c r="DM572" s="267"/>
      <c r="DR572" s="267"/>
      <c r="DW572" s="267"/>
      <c r="EB572" s="267"/>
      <c r="EG572" s="267"/>
      <c r="EL572" s="267"/>
      <c r="EQ572" s="267"/>
      <c r="EU572" s="270"/>
      <c r="EV572" s="267"/>
      <c r="FC572" s="267"/>
      <c r="FD572" s="267"/>
      <c r="FE572" s="267"/>
      <c r="FF572" s="267"/>
      <c r="FG572" s="267"/>
      <c r="FL572" s="267"/>
      <c r="FM572" s="267"/>
      <c r="FN572" s="267"/>
      <c r="FO572" s="267"/>
      <c r="FP572" s="267"/>
      <c r="FQ572" s="264"/>
      <c r="FR572" s="264"/>
      <c r="FS572" s="264"/>
      <c r="FT572" s="264"/>
      <c r="FU572" s="267"/>
      <c r="FV572" s="267"/>
      <c r="FW572" s="267"/>
      <c r="FX572" s="267"/>
      <c r="FY572" s="267"/>
      <c r="GD572" s="267"/>
      <c r="GE572" s="267"/>
      <c r="GF572" s="267"/>
      <c r="GG572" s="267"/>
      <c r="GH572" s="267"/>
      <c r="GI572" s="264"/>
      <c r="GJ572" s="264"/>
      <c r="GK572" s="264"/>
      <c r="GL572" s="264"/>
      <c r="HD572" s="267"/>
      <c r="HE572" s="267"/>
      <c r="HF572" s="267"/>
      <c r="HG572" s="267"/>
      <c r="HH572" s="267"/>
      <c r="HI572" s="267"/>
      <c r="HJ572" s="267"/>
      <c r="HK572" s="267"/>
      <c r="HL572" s="267"/>
      <c r="HM572" s="267"/>
      <c r="HN572" s="267"/>
      <c r="HO572" s="267"/>
      <c r="HP572" s="267"/>
      <c r="HQ572" s="267"/>
      <c r="HR572" s="267"/>
      <c r="HS572" s="267"/>
      <c r="HT572" s="267"/>
      <c r="HU572" s="267"/>
      <c r="IH572" s="267"/>
      <c r="IK572" s="267"/>
      <c r="IN572" s="267"/>
      <c r="IQ572" s="267"/>
      <c r="IR572" s="267"/>
      <c r="IS572" s="267"/>
    </row>
    <row r="573" spans="10:259">
      <c r="J573" s="267"/>
      <c r="K573" s="267"/>
      <c r="L573" s="267"/>
      <c r="M573" s="267"/>
      <c r="N573" s="267"/>
      <c r="O573" s="267"/>
      <c r="P573" s="267"/>
      <c r="Q573" s="267"/>
      <c r="S573" s="267"/>
      <c r="T573" s="267"/>
      <c r="U573" s="267"/>
      <c r="V573" s="267"/>
      <c r="W573" s="264"/>
      <c r="Y573" s="267"/>
      <c r="Z573" s="267"/>
      <c r="AA573" s="267"/>
      <c r="AB573" s="267"/>
      <c r="AE573" s="267"/>
      <c r="AF573" s="267"/>
      <c r="AG573" s="267"/>
      <c r="AH573" s="267"/>
      <c r="AK573" s="267"/>
      <c r="AL573" s="267"/>
      <c r="AM573" s="267"/>
      <c r="AN573" s="267"/>
      <c r="AQ573" s="267"/>
      <c r="AR573" s="267"/>
      <c r="AS573" s="267"/>
      <c r="AT573" s="267"/>
      <c r="AW573" s="267"/>
      <c r="AX573" s="267"/>
      <c r="AY573" s="267"/>
      <c r="AZ573" s="267"/>
      <c r="BG573" s="269"/>
      <c r="BM573" s="269"/>
      <c r="BS573" s="269"/>
      <c r="BU573" s="267"/>
      <c r="BY573" s="267"/>
      <c r="CC573" s="267"/>
      <c r="CG573" s="267"/>
      <c r="CS573" s="267"/>
      <c r="CW573" s="270"/>
      <c r="CX573" s="267"/>
      <c r="DC573" s="267"/>
      <c r="DH573" s="267"/>
      <c r="DM573" s="267"/>
      <c r="DR573" s="267"/>
      <c r="DW573" s="267"/>
      <c r="EB573" s="267"/>
      <c r="EG573" s="267"/>
      <c r="EL573" s="267"/>
      <c r="EQ573" s="267"/>
      <c r="EU573" s="270"/>
      <c r="EV573" s="267"/>
      <c r="FC573" s="267"/>
      <c r="FD573" s="267"/>
      <c r="FE573" s="267"/>
      <c r="FF573" s="267"/>
      <c r="FG573" s="267"/>
      <c r="FL573" s="267"/>
      <c r="FM573" s="267"/>
      <c r="FN573" s="267"/>
      <c r="FO573" s="267"/>
      <c r="FP573" s="267"/>
      <c r="FQ573" s="264"/>
      <c r="FR573" s="264"/>
      <c r="FS573" s="264"/>
      <c r="FT573" s="264"/>
      <c r="FU573" s="267"/>
      <c r="FV573" s="267"/>
      <c r="FW573" s="267"/>
      <c r="FX573" s="267"/>
      <c r="FY573" s="267"/>
      <c r="GD573" s="267"/>
      <c r="GE573" s="267"/>
      <c r="GF573" s="267"/>
      <c r="GG573" s="267"/>
      <c r="GH573" s="267"/>
      <c r="GI573" s="264"/>
      <c r="GJ573" s="264"/>
      <c r="GK573" s="264"/>
      <c r="GL573" s="264"/>
      <c r="HD573" s="267"/>
      <c r="HE573" s="267"/>
      <c r="HF573" s="267"/>
      <c r="HG573" s="267"/>
      <c r="HH573" s="267"/>
      <c r="HI573" s="267"/>
      <c r="HJ573" s="267"/>
      <c r="HK573" s="267"/>
      <c r="HL573" s="267"/>
      <c r="HM573" s="267"/>
      <c r="HN573" s="267"/>
      <c r="HO573" s="267"/>
      <c r="HP573" s="267"/>
      <c r="HQ573" s="267"/>
      <c r="HR573" s="267"/>
      <c r="HS573" s="267"/>
      <c r="HT573" s="267"/>
      <c r="HU573" s="267"/>
      <c r="IH573" s="267"/>
      <c r="IK573" s="267"/>
      <c r="IN573" s="267"/>
      <c r="IQ573" s="267"/>
      <c r="IR573" s="267"/>
      <c r="IS573" s="267"/>
    </row>
    <row r="574" spans="10:259">
      <c r="J574" s="267"/>
      <c r="K574" s="267"/>
      <c r="L574" s="267"/>
      <c r="M574" s="267"/>
      <c r="N574" s="267"/>
      <c r="O574" s="267"/>
      <c r="P574" s="267"/>
      <c r="Q574" s="267"/>
      <c r="S574" s="267"/>
      <c r="T574" s="267"/>
      <c r="U574" s="267"/>
      <c r="V574" s="267"/>
      <c r="W574" s="264"/>
      <c r="Y574" s="267"/>
      <c r="Z574" s="267"/>
      <c r="AA574" s="267"/>
      <c r="AB574" s="267"/>
      <c r="AE574" s="267"/>
      <c r="AF574" s="267"/>
      <c r="AG574" s="267"/>
      <c r="AH574" s="267"/>
      <c r="AK574" s="267"/>
      <c r="AL574" s="267"/>
      <c r="AM574" s="267"/>
      <c r="AN574" s="267"/>
      <c r="AQ574" s="267"/>
      <c r="AR574" s="267"/>
      <c r="AS574" s="267"/>
      <c r="AT574" s="267"/>
      <c r="AW574" s="267"/>
      <c r="AX574" s="267"/>
      <c r="AY574" s="267"/>
      <c r="AZ574" s="267"/>
      <c r="BG574" s="269"/>
      <c r="BM574" s="269"/>
      <c r="BS574" s="269"/>
      <c r="BU574" s="267"/>
      <c r="BY574" s="267"/>
      <c r="CC574" s="267"/>
      <c r="CG574" s="267"/>
      <c r="CS574" s="267"/>
      <c r="CW574" s="270"/>
      <c r="CX574" s="267"/>
      <c r="DC574" s="267"/>
      <c r="DH574" s="267"/>
      <c r="DM574" s="267"/>
      <c r="DR574" s="267"/>
      <c r="DW574" s="267"/>
      <c r="EB574" s="267"/>
      <c r="EG574" s="267"/>
      <c r="EL574" s="267"/>
      <c r="EQ574" s="267"/>
      <c r="EU574" s="270"/>
      <c r="EV574" s="267"/>
      <c r="FC574" s="267"/>
      <c r="FD574" s="267"/>
      <c r="FE574" s="267"/>
      <c r="FF574" s="267"/>
      <c r="FG574" s="267"/>
      <c r="FL574" s="267"/>
      <c r="FM574" s="267"/>
      <c r="FN574" s="267"/>
      <c r="FO574" s="267"/>
      <c r="FP574" s="267"/>
      <c r="FQ574" s="264"/>
      <c r="FR574" s="264"/>
      <c r="FS574" s="264"/>
      <c r="FT574" s="264"/>
      <c r="FU574" s="267"/>
      <c r="FV574" s="267"/>
      <c r="FW574" s="267"/>
      <c r="FX574" s="267"/>
      <c r="FY574" s="267"/>
      <c r="GD574" s="267"/>
      <c r="GE574" s="267"/>
      <c r="GF574" s="267"/>
      <c r="GG574" s="267"/>
      <c r="GH574" s="267"/>
      <c r="GI574" s="264"/>
      <c r="GJ574" s="264"/>
      <c r="GK574" s="264"/>
      <c r="GL574" s="264"/>
      <c r="HD574" s="267"/>
      <c r="HE574" s="267"/>
      <c r="HF574" s="267"/>
      <c r="HG574" s="267"/>
      <c r="HH574" s="267"/>
      <c r="HI574" s="267"/>
      <c r="HJ574" s="267"/>
      <c r="HK574" s="267"/>
      <c r="HL574" s="267"/>
      <c r="HM574" s="267"/>
      <c r="HN574" s="267"/>
      <c r="HO574" s="267"/>
      <c r="HP574" s="267"/>
      <c r="HQ574" s="267"/>
      <c r="HR574" s="267"/>
      <c r="HS574" s="267"/>
      <c r="HT574" s="267"/>
      <c r="HU574" s="267"/>
      <c r="IH574" s="267"/>
      <c r="IK574" s="267"/>
      <c r="IN574" s="267"/>
      <c r="IQ574" s="267"/>
      <c r="IR574" s="267"/>
      <c r="IS574" s="267"/>
    </row>
    <row r="575" spans="10:259">
      <c r="J575" s="267"/>
      <c r="K575" s="267"/>
      <c r="L575" s="267"/>
      <c r="M575" s="267"/>
      <c r="N575" s="267"/>
      <c r="O575" s="267"/>
      <c r="P575" s="267"/>
      <c r="Q575" s="267"/>
      <c r="S575" s="267"/>
      <c r="T575" s="267"/>
      <c r="U575" s="267"/>
      <c r="V575" s="267"/>
      <c r="W575" s="264"/>
      <c r="Y575" s="267"/>
      <c r="Z575" s="267"/>
      <c r="AA575" s="267"/>
      <c r="AB575" s="267"/>
      <c r="AE575" s="267"/>
      <c r="AF575" s="267"/>
      <c r="AG575" s="267"/>
      <c r="AH575" s="267"/>
      <c r="AK575" s="267"/>
      <c r="AL575" s="267"/>
      <c r="AM575" s="267"/>
      <c r="AN575" s="267"/>
      <c r="AQ575" s="267"/>
      <c r="AR575" s="267"/>
      <c r="AS575" s="267"/>
      <c r="AT575" s="267"/>
      <c r="AW575" s="267"/>
      <c r="AX575" s="267"/>
      <c r="AY575" s="267"/>
      <c r="AZ575" s="267"/>
      <c r="BG575" s="269"/>
      <c r="BM575" s="269"/>
      <c r="BS575" s="269"/>
      <c r="BU575" s="267"/>
      <c r="BY575" s="267"/>
      <c r="CC575" s="267"/>
      <c r="CG575" s="267"/>
      <c r="CS575" s="267"/>
      <c r="CW575" s="270"/>
      <c r="CX575" s="267"/>
      <c r="DC575" s="267"/>
      <c r="DH575" s="267"/>
      <c r="DM575" s="267"/>
      <c r="DR575" s="267"/>
      <c r="DW575" s="267"/>
      <c r="EB575" s="267"/>
      <c r="EG575" s="267"/>
      <c r="EL575" s="267"/>
      <c r="EQ575" s="267"/>
      <c r="EU575" s="270"/>
      <c r="EV575" s="267"/>
      <c r="FC575" s="267"/>
      <c r="FD575" s="267"/>
      <c r="FE575" s="267"/>
      <c r="FF575" s="267"/>
      <c r="FG575" s="267"/>
      <c r="FL575" s="267"/>
      <c r="FM575" s="267"/>
      <c r="FN575" s="267"/>
      <c r="FO575" s="267"/>
      <c r="FP575" s="267"/>
      <c r="FQ575" s="264"/>
      <c r="FR575" s="264"/>
      <c r="FS575" s="264"/>
      <c r="FT575" s="264"/>
      <c r="FU575" s="267"/>
      <c r="FV575" s="267"/>
      <c r="FW575" s="267"/>
      <c r="FX575" s="267"/>
      <c r="FY575" s="267"/>
      <c r="GD575" s="267"/>
      <c r="GE575" s="267"/>
      <c r="GF575" s="267"/>
      <c r="GG575" s="267"/>
      <c r="GH575" s="267"/>
      <c r="GI575" s="264"/>
      <c r="GJ575" s="264"/>
      <c r="GK575" s="264"/>
      <c r="GL575" s="264"/>
      <c r="HD575" s="267"/>
      <c r="HE575" s="267"/>
      <c r="HF575" s="267"/>
      <c r="HG575" s="267"/>
      <c r="HH575" s="267"/>
      <c r="HI575" s="267"/>
      <c r="HJ575" s="267"/>
      <c r="HK575" s="267"/>
      <c r="HL575" s="267"/>
      <c r="HM575" s="267"/>
      <c r="HN575" s="267"/>
      <c r="HO575" s="267"/>
      <c r="HP575" s="267"/>
      <c r="HQ575" s="267"/>
      <c r="HR575" s="267"/>
      <c r="HS575" s="267"/>
      <c r="HT575" s="267"/>
      <c r="HU575" s="267"/>
      <c r="IH575" s="267"/>
      <c r="IK575" s="267"/>
      <c r="IN575" s="267"/>
      <c r="IQ575" s="267"/>
      <c r="IR575" s="267"/>
      <c r="IS575" s="267"/>
    </row>
    <row r="576" spans="10:259">
      <c r="J576" s="267"/>
      <c r="K576" s="267"/>
      <c r="L576" s="267"/>
      <c r="M576" s="267"/>
      <c r="N576" s="267"/>
      <c r="O576" s="267"/>
      <c r="P576" s="267"/>
      <c r="Q576" s="267"/>
      <c r="S576" s="267"/>
      <c r="T576" s="267"/>
      <c r="U576" s="267"/>
      <c r="V576" s="267"/>
      <c r="W576" s="264"/>
      <c r="Y576" s="267"/>
      <c r="Z576" s="267"/>
      <c r="AA576" s="267"/>
      <c r="AB576" s="267"/>
      <c r="AE576" s="267"/>
      <c r="AF576" s="267"/>
      <c r="AG576" s="267"/>
      <c r="AH576" s="267"/>
      <c r="AK576" s="267"/>
      <c r="AL576" s="267"/>
      <c r="AM576" s="267"/>
      <c r="AN576" s="267"/>
      <c r="AQ576" s="267"/>
      <c r="AR576" s="267"/>
      <c r="AS576" s="267"/>
      <c r="AT576" s="267"/>
      <c r="AW576" s="267"/>
      <c r="AX576" s="267"/>
      <c r="AY576" s="267"/>
      <c r="AZ576" s="267"/>
      <c r="BG576" s="269"/>
      <c r="BM576" s="269"/>
      <c r="BS576" s="269"/>
      <c r="BU576" s="267"/>
      <c r="BY576" s="267"/>
      <c r="CC576" s="267"/>
      <c r="CG576" s="267"/>
      <c r="CS576" s="267"/>
      <c r="CW576" s="270"/>
      <c r="CX576" s="267"/>
      <c r="DC576" s="267"/>
      <c r="DH576" s="267"/>
      <c r="DM576" s="267"/>
      <c r="DR576" s="267"/>
      <c r="DW576" s="267"/>
      <c r="EB576" s="267"/>
      <c r="EG576" s="267"/>
      <c r="EL576" s="267"/>
      <c r="EQ576" s="267"/>
      <c r="EU576" s="270"/>
      <c r="EV576" s="267"/>
      <c r="FC576" s="267"/>
      <c r="FD576" s="267"/>
      <c r="FE576" s="267"/>
      <c r="FF576" s="267"/>
      <c r="FG576" s="267"/>
      <c r="FL576" s="267"/>
      <c r="FM576" s="267"/>
      <c r="FN576" s="267"/>
      <c r="FO576" s="267"/>
      <c r="FP576" s="267"/>
      <c r="FQ576" s="264"/>
      <c r="FR576" s="264"/>
      <c r="FS576" s="264"/>
      <c r="FT576" s="264"/>
      <c r="FU576" s="267"/>
      <c r="FV576" s="267"/>
      <c r="FW576" s="267"/>
      <c r="FX576" s="267"/>
      <c r="FY576" s="267"/>
      <c r="GD576" s="267"/>
      <c r="GE576" s="267"/>
      <c r="GF576" s="267"/>
      <c r="GG576" s="267"/>
      <c r="GH576" s="267"/>
      <c r="GI576" s="264"/>
      <c r="GJ576" s="264"/>
      <c r="GK576" s="264"/>
      <c r="GL576" s="264"/>
      <c r="HD576" s="267"/>
      <c r="HE576" s="267"/>
      <c r="HF576" s="267"/>
      <c r="HG576" s="267"/>
      <c r="HH576" s="267"/>
      <c r="HI576" s="267"/>
      <c r="HJ576" s="267"/>
      <c r="HK576" s="267"/>
      <c r="HL576" s="267"/>
      <c r="HM576" s="267"/>
      <c r="HN576" s="267"/>
      <c r="HO576" s="267"/>
      <c r="HP576" s="267"/>
      <c r="HQ576" s="267"/>
      <c r="HR576" s="267"/>
      <c r="HS576" s="267"/>
      <c r="HT576" s="267"/>
      <c r="HU576" s="267"/>
      <c r="IH576" s="267"/>
      <c r="IK576" s="267"/>
      <c r="IN576" s="267"/>
      <c r="IQ576" s="267"/>
      <c r="IR576" s="267"/>
      <c r="IS576" s="267"/>
    </row>
    <row r="577" spans="10:253">
      <c r="J577" s="267"/>
      <c r="K577" s="267"/>
      <c r="L577" s="267"/>
      <c r="M577" s="267"/>
      <c r="N577" s="267"/>
      <c r="O577" s="267"/>
      <c r="P577" s="267"/>
      <c r="Q577" s="267"/>
      <c r="S577" s="267"/>
      <c r="T577" s="267"/>
      <c r="U577" s="267"/>
      <c r="V577" s="267"/>
      <c r="W577" s="264"/>
      <c r="Y577" s="267"/>
      <c r="Z577" s="267"/>
      <c r="AA577" s="267"/>
      <c r="AB577" s="267"/>
      <c r="AE577" s="267"/>
      <c r="AF577" s="267"/>
      <c r="AG577" s="267"/>
      <c r="AH577" s="267"/>
      <c r="AK577" s="267"/>
      <c r="AL577" s="267"/>
      <c r="AM577" s="267"/>
      <c r="AN577" s="267"/>
      <c r="AQ577" s="267"/>
      <c r="AR577" s="267"/>
      <c r="AS577" s="267"/>
      <c r="AT577" s="267"/>
      <c r="AW577" s="267"/>
      <c r="AX577" s="267"/>
      <c r="AY577" s="267"/>
      <c r="AZ577" s="267"/>
      <c r="BG577" s="269"/>
      <c r="BM577" s="269"/>
      <c r="BS577" s="269"/>
      <c r="BU577" s="267"/>
      <c r="BY577" s="267"/>
      <c r="CC577" s="267"/>
      <c r="CG577" s="267"/>
      <c r="CS577" s="267"/>
      <c r="CW577" s="270"/>
      <c r="CX577" s="267"/>
      <c r="DC577" s="267"/>
      <c r="DH577" s="267"/>
      <c r="DM577" s="267"/>
      <c r="DR577" s="267"/>
      <c r="DW577" s="267"/>
      <c r="EB577" s="267"/>
      <c r="EG577" s="267"/>
      <c r="EL577" s="267"/>
      <c r="EQ577" s="267"/>
      <c r="EU577" s="270"/>
      <c r="EV577" s="267"/>
      <c r="FC577" s="267"/>
      <c r="FD577" s="267"/>
      <c r="FE577" s="267"/>
      <c r="FF577" s="267"/>
      <c r="FG577" s="267"/>
      <c r="FL577" s="267"/>
      <c r="FM577" s="267"/>
      <c r="FN577" s="267"/>
      <c r="FO577" s="267"/>
      <c r="FP577" s="267"/>
      <c r="FQ577" s="264"/>
      <c r="FR577" s="264"/>
      <c r="FS577" s="264"/>
      <c r="FT577" s="264"/>
      <c r="FU577" s="267"/>
      <c r="FV577" s="267"/>
      <c r="FW577" s="267"/>
      <c r="FX577" s="267"/>
      <c r="FY577" s="267"/>
      <c r="GD577" s="267"/>
      <c r="GE577" s="267"/>
      <c r="GF577" s="267"/>
      <c r="GG577" s="267"/>
      <c r="GH577" s="267"/>
      <c r="GI577" s="264"/>
      <c r="GJ577" s="264"/>
      <c r="GK577" s="264"/>
      <c r="GL577" s="264"/>
      <c r="HD577" s="267"/>
      <c r="HE577" s="267"/>
      <c r="HF577" s="267"/>
      <c r="HG577" s="267"/>
      <c r="HH577" s="267"/>
      <c r="HI577" s="267"/>
      <c r="HJ577" s="267"/>
      <c r="HK577" s="267"/>
      <c r="HL577" s="267"/>
      <c r="HM577" s="267"/>
      <c r="HN577" s="267"/>
      <c r="HO577" s="267"/>
      <c r="HP577" s="267"/>
      <c r="HQ577" s="267"/>
      <c r="HR577" s="267"/>
      <c r="HS577" s="267"/>
      <c r="HT577" s="267"/>
      <c r="HU577" s="267"/>
      <c r="IH577" s="267"/>
      <c r="IK577" s="267"/>
      <c r="IN577" s="267"/>
      <c r="IQ577" s="267"/>
      <c r="IR577" s="267"/>
      <c r="IS577" s="267"/>
    </row>
    <row r="578" spans="10:253">
      <c r="J578" s="267"/>
      <c r="K578" s="267"/>
      <c r="L578" s="267"/>
      <c r="M578" s="267"/>
      <c r="N578" s="267"/>
      <c r="O578" s="267"/>
      <c r="P578" s="267"/>
      <c r="Q578" s="267"/>
      <c r="S578" s="267"/>
      <c r="T578" s="267"/>
      <c r="U578" s="267"/>
      <c r="V578" s="267"/>
      <c r="W578" s="264"/>
      <c r="Y578" s="267"/>
      <c r="Z578" s="267"/>
      <c r="AA578" s="267"/>
      <c r="AB578" s="267"/>
      <c r="AE578" s="267"/>
      <c r="AF578" s="267"/>
      <c r="AG578" s="267"/>
      <c r="AH578" s="267"/>
      <c r="AK578" s="267"/>
      <c r="AL578" s="267"/>
      <c r="AM578" s="267"/>
      <c r="AN578" s="267"/>
      <c r="AQ578" s="267"/>
      <c r="AR578" s="267"/>
      <c r="AS578" s="267"/>
      <c r="AT578" s="267"/>
      <c r="AW578" s="267"/>
      <c r="AX578" s="267"/>
      <c r="AY578" s="267"/>
      <c r="AZ578" s="267"/>
      <c r="BG578" s="269"/>
      <c r="BM578" s="269"/>
      <c r="BS578" s="269"/>
      <c r="BU578" s="267"/>
      <c r="BY578" s="267"/>
      <c r="CC578" s="267"/>
      <c r="CG578" s="267"/>
      <c r="CS578" s="267"/>
      <c r="CW578" s="270"/>
      <c r="CX578" s="267"/>
      <c r="DC578" s="267"/>
      <c r="DH578" s="267"/>
      <c r="DM578" s="267"/>
      <c r="DR578" s="267"/>
      <c r="DW578" s="267"/>
      <c r="EB578" s="267"/>
      <c r="EG578" s="267"/>
      <c r="EL578" s="267"/>
      <c r="EQ578" s="267"/>
      <c r="EU578" s="270"/>
      <c r="EV578" s="267"/>
      <c r="FC578" s="267"/>
      <c r="FD578" s="267"/>
      <c r="FE578" s="267"/>
      <c r="FF578" s="267"/>
      <c r="FG578" s="267"/>
      <c r="FL578" s="267"/>
      <c r="FM578" s="267"/>
      <c r="FN578" s="267"/>
      <c r="FO578" s="267"/>
      <c r="FP578" s="267"/>
      <c r="FQ578" s="264"/>
      <c r="FR578" s="264"/>
      <c r="FS578" s="264"/>
      <c r="FT578" s="264"/>
      <c r="FU578" s="267"/>
      <c r="FV578" s="267"/>
      <c r="FW578" s="267"/>
      <c r="FX578" s="267"/>
      <c r="FY578" s="267"/>
      <c r="GD578" s="267"/>
      <c r="GE578" s="267"/>
      <c r="GF578" s="267"/>
      <c r="GG578" s="267"/>
      <c r="GH578" s="267"/>
      <c r="GI578" s="264"/>
      <c r="GJ578" s="264"/>
      <c r="GK578" s="264"/>
      <c r="GL578" s="264"/>
      <c r="HD578" s="267"/>
      <c r="HE578" s="267"/>
      <c r="HF578" s="267"/>
      <c r="HG578" s="267"/>
      <c r="HH578" s="267"/>
      <c r="HI578" s="267"/>
      <c r="HJ578" s="267"/>
      <c r="HK578" s="267"/>
      <c r="HL578" s="267"/>
      <c r="HM578" s="267"/>
      <c r="HN578" s="267"/>
      <c r="HO578" s="267"/>
      <c r="HP578" s="267"/>
      <c r="HQ578" s="267"/>
      <c r="HR578" s="267"/>
      <c r="HS578" s="267"/>
      <c r="HT578" s="267"/>
      <c r="HU578" s="267"/>
      <c r="IH578" s="267"/>
      <c r="IK578" s="267"/>
      <c r="IN578" s="267"/>
      <c r="IQ578" s="267"/>
      <c r="IR578" s="267"/>
      <c r="IS578" s="267"/>
    </row>
    <row r="579" spans="10:253">
      <c r="J579" s="267"/>
      <c r="K579" s="267"/>
      <c r="L579" s="267"/>
      <c r="M579" s="267"/>
      <c r="N579" s="267"/>
      <c r="O579" s="267"/>
      <c r="P579" s="267"/>
      <c r="Q579" s="267"/>
      <c r="S579" s="267"/>
      <c r="T579" s="267"/>
      <c r="U579" s="267"/>
      <c r="V579" s="267"/>
      <c r="W579" s="264"/>
      <c r="Y579" s="267"/>
      <c r="Z579" s="267"/>
      <c r="AA579" s="267"/>
      <c r="AB579" s="267"/>
      <c r="AE579" s="267"/>
      <c r="AF579" s="267"/>
      <c r="AG579" s="267"/>
      <c r="AH579" s="267"/>
      <c r="AK579" s="267"/>
      <c r="AL579" s="267"/>
      <c r="AM579" s="267"/>
      <c r="AN579" s="267"/>
      <c r="AQ579" s="267"/>
      <c r="AR579" s="267"/>
      <c r="AS579" s="267"/>
      <c r="AT579" s="267"/>
      <c r="AW579" s="267"/>
      <c r="AX579" s="267"/>
      <c r="AY579" s="267"/>
      <c r="AZ579" s="267"/>
      <c r="BG579" s="269"/>
      <c r="BM579" s="269"/>
      <c r="BS579" s="269"/>
      <c r="BU579" s="267"/>
      <c r="BY579" s="267"/>
      <c r="CC579" s="267"/>
      <c r="CG579" s="267"/>
      <c r="CS579" s="267"/>
      <c r="CW579" s="270"/>
      <c r="CX579" s="267"/>
      <c r="DC579" s="267"/>
      <c r="DH579" s="267"/>
      <c r="DM579" s="267"/>
      <c r="DR579" s="267"/>
      <c r="DW579" s="267"/>
      <c r="EB579" s="267"/>
      <c r="EG579" s="267"/>
      <c r="EL579" s="267"/>
      <c r="EQ579" s="267"/>
      <c r="EU579" s="270"/>
      <c r="EV579" s="267"/>
      <c r="FC579" s="267"/>
      <c r="FD579" s="267"/>
      <c r="FE579" s="267"/>
      <c r="FF579" s="267"/>
      <c r="FG579" s="267"/>
      <c r="FL579" s="267"/>
      <c r="FM579" s="267"/>
      <c r="FN579" s="267"/>
      <c r="FO579" s="267"/>
      <c r="FP579" s="267"/>
      <c r="FQ579" s="264"/>
      <c r="FR579" s="264"/>
      <c r="FS579" s="264"/>
      <c r="FT579" s="264"/>
      <c r="FU579" s="267"/>
      <c r="FV579" s="267"/>
      <c r="FW579" s="267"/>
      <c r="FX579" s="267"/>
      <c r="FY579" s="267"/>
      <c r="GD579" s="267"/>
      <c r="GE579" s="267"/>
      <c r="GF579" s="267"/>
      <c r="GG579" s="267"/>
      <c r="GH579" s="267"/>
      <c r="GI579" s="264"/>
      <c r="GJ579" s="264"/>
      <c r="GK579" s="264"/>
      <c r="GL579" s="264"/>
      <c r="HD579" s="267"/>
      <c r="HE579" s="267"/>
      <c r="HF579" s="267"/>
      <c r="HG579" s="267"/>
      <c r="HH579" s="267"/>
      <c r="HI579" s="267"/>
      <c r="HJ579" s="267"/>
      <c r="HK579" s="267"/>
      <c r="HL579" s="267"/>
      <c r="HM579" s="267"/>
      <c r="HN579" s="267"/>
      <c r="HO579" s="267"/>
      <c r="HP579" s="267"/>
      <c r="HQ579" s="267"/>
      <c r="HR579" s="267"/>
      <c r="HS579" s="267"/>
      <c r="HT579" s="267"/>
      <c r="HU579" s="267"/>
      <c r="IH579" s="267"/>
      <c r="IK579" s="267"/>
      <c r="IN579" s="267"/>
      <c r="IQ579" s="267"/>
      <c r="IR579" s="267"/>
      <c r="IS579" s="267"/>
    </row>
    <row r="580" spans="10:253">
      <c r="J580" s="267"/>
      <c r="K580" s="267"/>
      <c r="L580" s="267"/>
      <c r="M580" s="267"/>
      <c r="N580" s="267"/>
      <c r="O580" s="267"/>
      <c r="P580" s="267"/>
      <c r="Q580" s="267"/>
      <c r="S580" s="267"/>
      <c r="T580" s="267"/>
      <c r="U580" s="267"/>
      <c r="V580" s="267"/>
      <c r="W580" s="264"/>
      <c r="Y580" s="267"/>
      <c r="Z580" s="267"/>
      <c r="AA580" s="267"/>
      <c r="AB580" s="267"/>
      <c r="AE580" s="267"/>
      <c r="AF580" s="267"/>
      <c r="AG580" s="267"/>
      <c r="AH580" s="267"/>
      <c r="AK580" s="267"/>
      <c r="AL580" s="267"/>
      <c r="AM580" s="267"/>
      <c r="AN580" s="267"/>
      <c r="AQ580" s="267"/>
      <c r="AR580" s="267"/>
      <c r="AS580" s="267"/>
      <c r="AT580" s="267"/>
      <c r="AW580" s="267"/>
      <c r="AX580" s="267"/>
      <c r="AY580" s="267"/>
      <c r="AZ580" s="267"/>
      <c r="BG580" s="269"/>
      <c r="BM580" s="269"/>
      <c r="BS580" s="269"/>
      <c r="BU580" s="267"/>
      <c r="BY580" s="267"/>
      <c r="CC580" s="267"/>
      <c r="CG580" s="267"/>
      <c r="CS580" s="267"/>
      <c r="CW580" s="270"/>
      <c r="CX580" s="267"/>
      <c r="DC580" s="267"/>
      <c r="DH580" s="267"/>
      <c r="DM580" s="267"/>
      <c r="DR580" s="267"/>
      <c r="DW580" s="267"/>
      <c r="EB580" s="267"/>
      <c r="EG580" s="267"/>
      <c r="EL580" s="267"/>
      <c r="EQ580" s="267"/>
      <c r="EU580" s="270"/>
      <c r="EV580" s="267"/>
      <c r="FC580" s="267"/>
      <c r="FD580" s="267"/>
      <c r="FE580" s="267"/>
      <c r="FF580" s="267"/>
      <c r="FG580" s="267"/>
      <c r="FL580" s="267"/>
      <c r="FM580" s="267"/>
      <c r="FN580" s="267"/>
      <c r="FO580" s="267"/>
      <c r="FP580" s="267"/>
      <c r="FQ580" s="264"/>
      <c r="FR580" s="264"/>
      <c r="FS580" s="264"/>
      <c r="FT580" s="264"/>
      <c r="FU580" s="267"/>
      <c r="FV580" s="267"/>
      <c r="FW580" s="267"/>
      <c r="FX580" s="267"/>
      <c r="FY580" s="267"/>
      <c r="GD580" s="267"/>
      <c r="GE580" s="267"/>
      <c r="GF580" s="267"/>
      <c r="GG580" s="267"/>
      <c r="GH580" s="267"/>
      <c r="GI580" s="264"/>
      <c r="GJ580" s="264"/>
      <c r="GK580" s="264"/>
      <c r="GL580" s="264"/>
      <c r="HD580" s="267"/>
      <c r="HE580" s="267"/>
      <c r="HF580" s="267"/>
      <c r="HG580" s="267"/>
      <c r="HH580" s="267"/>
      <c r="HI580" s="267"/>
      <c r="HJ580" s="267"/>
      <c r="HK580" s="267"/>
      <c r="HL580" s="267"/>
      <c r="HM580" s="267"/>
      <c r="HN580" s="267"/>
      <c r="HO580" s="267"/>
      <c r="HP580" s="267"/>
      <c r="HQ580" s="267"/>
      <c r="HR580" s="267"/>
      <c r="HS580" s="267"/>
      <c r="HT580" s="267"/>
      <c r="HU580" s="267"/>
      <c r="IH580" s="267"/>
      <c r="IK580" s="267"/>
      <c r="IN580" s="267"/>
      <c r="IQ580" s="267"/>
      <c r="IR580" s="267"/>
      <c r="IS580" s="267"/>
    </row>
    <row r="581" spans="10:253">
      <c r="J581" s="267"/>
      <c r="K581" s="267"/>
      <c r="L581" s="267"/>
      <c r="M581" s="267"/>
      <c r="N581" s="267"/>
      <c r="O581" s="267"/>
      <c r="P581" s="267"/>
      <c r="Q581" s="267"/>
      <c r="S581" s="267"/>
      <c r="T581" s="267"/>
      <c r="U581" s="267"/>
      <c r="V581" s="267"/>
      <c r="W581" s="264"/>
      <c r="Y581" s="267"/>
      <c r="Z581" s="267"/>
      <c r="AA581" s="267"/>
      <c r="AB581" s="267"/>
      <c r="AE581" s="267"/>
      <c r="AF581" s="267"/>
      <c r="AG581" s="267"/>
      <c r="AH581" s="267"/>
      <c r="AK581" s="267"/>
      <c r="AL581" s="267"/>
      <c r="AM581" s="267"/>
      <c r="AN581" s="267"/>
      <c r="AQ581" s="267"/>
      <c r="AR581" s="267"/>
      <c r="AS581" s="267"/>
      <c r="AT581" s="267"/>
      <c r="AW581" s="267"/>
      <c r="AX581" s="267"/>
      <c r="AY581" s="267"/>
      <c r="AZ581" s="267"/>
      <c r="BG581" s="269"/>
      <c r="BM581" s="269"/>
      <c r="BS581" s="269"/>
      <c r="BU581" s="267"/>
      <c r="BY581" s="267"/>
      <c r="CC581" s="267"/>
      <c r="CG581" s="267"/>
      <c r="CS581" s="267"/>
      <c r="CW581" s="270"/>
      <c r="CX581" s="267"/>
      <c r="DC581" s="267"/>
      <c r="DH581" s="267"/>
      <c r="DM581" s="267"/>
      <c r="DR581" s="267"/>
      <c r="DW581" s="267"/>
      <c r="EB581" s="267"/>
      <c r="EG581" s="267"/>
      <c r="EL581" s="267"/>
      <c r="EQ581" s="267"/>
      <c r="EU581" s="270"/>
      <c r="EV581" s="267"/>
      <c r="FC581" s="267"/>
      <c r="FD581" s="267"/>
      <c r="FE581" s="267"/>
      <c r="FF581" s="267"/>
      <c r="FG581" s="267"/>
      <c r="FL581" s="267"/>
      <c r="FM581" s="267"/>
      <c r="FN581" s="267"/>
      <c r="FO581" s="267"/>
      <c r="FP581" s="267"/>
      <c r="FQ581" s="264"/>
      <c r="FR581" s="264"/>
      <c r="FS581" s="264"/>
      <c r="FT581" s="264"/>
      <c r="FU581" s="267"/>
      <c r="FV581" s="267"/>
      <c r="FW581" s="267"/>
      <c r="FX581" s="267"/>
      <c r="FY581" s="267"/>
      <c r="GD581" s="267"/>
      <c r="GE581" s="267"/>
      <c r="GF581" s="267"/>
      <c r="GG581" s="267"/>
      <c r="GH581" s="267"/>
      <c r="GI581" s="264"/>
      <c r="GJ581" s="264"/>
      <c r="GK581" s="264"/>
      <c r="GL581" s="264"/>
      <c r="HD581" s="267"/>
      <c r="HE581" s="267"/>
      <c r="HF581" s="267"/>
      <c r="HG581" s="267"/>
      <c r="HH581" s="267"/>
      <c r="HI581" s="267"/>
      <c r="HJ581" s="267"/>
      <c r="HK581" s="267"/>
      <c r="HL581" s="267"/>
      <c r="HM581" s="267"/>
      <c r="HN581" s="267"/>
      <c r="HO581" s="267"/>
      <c r="HP581" s="267"/>
      <c r="HQ581" s="267"/>
      <c r="HR581" s="267"/>
      <c r="HS581" s="267"/>
      <c r="HT581" s="267"/>
      <c r="HU581" s="267"/>
      <c r="IH581" s="267"/>
      <c r="IK581" s="267"/>
      <c r="IN581" s="267"/>
      <c r="IQ581" s="267"/>
      <c r="IR581" s="267"/>
      <c r="IS581" s="267"/>
    </row>
    <row r="582" spans="10:253">
      <c r="J582" s="267"/>
      <c r="K582" s="267"/>
      <c r="L582" s="267"/>
      <c r="M582" s="267"/>
      <c r="N582" s="267"/>
      <c r="O582" s="267"/>
      <c r="P582" s="267"/>
      <c r="Q582" s="267"/>
      <c r="S582" s="267"/>
      <c r="T582" s="267"/>
      <c r="U582" s="267"/>
      <c r="V582" s="267"/>
      <c r="W582" s="264"/>
      <c r="Y582" s="267"/>
      <c r="Z582" s="267"/>
      <c r="AA582" s="267"/>
      <c r="AB582" s="267"/>
      <c r="AE582" s="267"/>
      <c r="AF582" s="267"/>
      <c r="AG582" s="267"/>
      <c r="AH582" s="267"/>
      <c r="AK582" s="267"/>
      <c r="AL582" s="267"/>
      <c r="AM582" s="267"/>
      <c r="AN582" s="267"/>
      <c r="AQ582" s="267"/>
      <c r="AR582" s="267"/>
      <c r="AS582" s="267"/>
      <c r="AT582" s="267"/>
      <c r="AW582" s="267"/>
      <c r="AX582" s="267"/>
      <c r="AY582" s="267"/>
      <c r="AZ582" s="267"/>
      <c r="BG582" s="269"/>
      <c r="BM582" s="269"/>
      <c r="BS582" s="269"/>
      <c r="BU582" s="267"/>
      <c r="BY582" s="267"/>
      <c r="CC582" s="267"/>
      <c r="CG582" s="267"/>
      <c r="CS582" s="267"/>
      <c r="CW582" s="270"/>
      <c r="CX582" s="267"/>
      <c r="DC582" s="267"/>
      <c r="DH582" s="267"/>
      <c r="DM582" s="267"/>
      <c r="DR582" s="267"/>
      <c r="DW582" s="267"/>
      <c r="EB582" s="267"/>
      <c r="EG582" s="267"/>
      <c r="EL582" s="267"/>
      <c r="EQ582" s="267"/>
      <c r="EU582" s="270"/>
      <c r="EV582" s="267"/>
      <c r="FC582" s="267"/>
      <c r="FD582" s="267"/>
      <c r="FE582" s="267"/>
      <c r="FF582" s="267"/>
      <c r="FG582" s="267"/>
      <c r="FL582" s="267"/>
      <c r="FM582" s="267"/>
      <c r="FN582" s="267"/>
      <c r="FO582" s="267"/>
      <c r="FP582" s="267"/>
      <c r="FQ582" s="264"/>
      <c r="FR582" s="264"/>
      <c r="FS582" s="264"/>
      <c r="FT582" s="264"/>
      <c r="FU582" s="267"/>
      <c r="FV582" s="267"/>
      <c r="FW582" s="267"/>
      <c r="FX582" s="267"/>
      <c r="FY582" s="267"/>
      <c r="GD582" s="267"/>
      <c r="GE582" s="267"/>
      <c r="GF582" s="267"/>
      <c r="GG582" s="267"/>
      <c r="GH582" s="267"/>
      <c r="GI582" s="264"/>
      <c r="GJ582" s="264"/>
      <c r="GK582" s="264"/>
      <c r="GL582" s="264"/>
      <c r="HD582" s="267"/>
      <c r="HE582" s="267"/>
      <c r="HF582" s="267"/>
      <c r="HG582" s="267"/>
      <c r="HH582" s="267"/>
      <c r="HI582" s="267"/>
      <c r="HJ582" s="267"/>
      <c r="HK582" s="267"/>
      <c r="HL582" s="267"/>
      <c r="HM582" s="267"/>
      <c r="HN582" s="267"/>
      <c r="HO582" s="267"/>
      <c r="HP582" s="267"/>
      <c r="HQ582" s="267"/>
      <c r="HR582" s="267"/>
      <c r="HS582" s="267"/>
      <c r="HT582" s="267"/>
      <c r="HU582" s="267"/>
      <c r="IH582" s="267"/>
      <c r="IK582" s="267"/>
      <c r="IN582" s="267"/>
      <c r="IQ582" s="267"/>
      <c r="IR582" s="267"/>
      <c r="IS582" s="267"/>
    </row>
    <row r="583" spans="10:253">
      <c r="J583" s="267"/>
      <c r="K583" s="267"/>
      <c r="L583" s="267"/>
      <c r="M583" s="267"/>
      <c r="N583" s="267"/>
      <c r="O583" s="267"/>
      <c r="P583" s="267"/>
      <c r="Q583" s="267"/>
      <c r="S583" s="267"/>
      <c r="T583" s="267"/>
      <c r="U583" s="267"/>
      <c r="V583" s="267"/>
      <c r="W583" s="264"/>
      <c r="Y583" s="267"/>
      <c r="Z583" s="267"/>
      <c r="AA583" s="267"/>
      <c r="AB583" s="267"/>
      <c r="AE583" s="267"/>
      <c r="AF583" s="267"/>
      <c r="AG583" s="267"/>
      <c r="AH583" s="267"/>
      <c r="AK583" s="267"/>
      <c r="AL583" s="267"/>
      <c r="AM583" s="267"/>
      <c r="AN583" s="267"/>
      <c r="AQ583" s="267"/>
      <c r="AR583" s="267"/>
      <c r="AS583" s="267"/>
      <c r="AT583" s="267"/>
      <c r="AW583" s="267"/>
      <c r="AX583" s="267"/>
      <c r="AY583" s="267"/>
      <c r="AZ583" s="267"/>
      <c r="BG583" s="269"/>
      <c r="BM583" s="269"/>
      <c r="BS583" s="269"/>
      <c r="BU583" s="267"/>
      <c r="BY583" s="267"/>
      <c r="CC583" s="267"/>
      <c r="CG583" s="267"/>
      <c r="CS583" s="267"/>
      <c r="CW583" s="270"/>
      <c r="CX583" s="267"/>
      <c r="DC583" s="267"/>
      <c r="DH583" s="267"/>
      <c r="DM583" s="267"/>
      <c r="DR583" s="267"/>
      <c r="DW583" s="267"/>
      <c r="EB583" s="267"/>
      <c r="EG583" s="267"/>
      <c r="EL583" s="267"/>
      <c r="EQ583" s="267"/>
      <c r="EU583" s="270"/>
      <c r="EV583" s="267"/>
      <c r="FC583" s="267"/>
      <c r="FD583" s="267"/>
      <c r="FE583" s="267"/>
      <c r="FF583" s="267"/>
      <c r="FG583" s="267"/>
      <c r="FL583" s="267"/>
      <c r="FM583" s="267"/>
      <c r="FN583" s="267"/>
      <c r="FO583" s="267"/>
      <c r="FP583" s="267"/>
      <c r="FQ583" s="264"/>
      <c r="FR583" s="264"/>
      <c r="FS583" s="264"/>
      <c r="FT583" s="264"/>
      <c r="FU583" s="267"/>
      <c r="FV583" s="267"/>
      <c r="FW583" s="267"/>
      <c r="FX583" s="267"/>
      <c r="FY583" s="267"/>
      <c r="GD583" s="267"/>
      <c r="GE583" s="267"/>
      <c r="GF583" s="267"/>
      <c r="GG583" s="267"/>
      <c r="GH583" s="267"/>
      <c r="GI583" s="264"/>
      <c r="GJ583" s="264"/>
      <c r="GK583" s="264"/>
      <c r="GL583" s="264"/>
      <c r="HD583" s="267"/>
      <c r="HE583" s="267"/>
      <c r="HF583" s="267"/>
      <c r="HG583" s="267"/>
      <c r="HH583" s="267"/>
      <c r="HI583" s="267"/>
      <c r="HJ583" s="267"/>
      <c r="HK583" s="267"/>
      <c r="HL583" s="267"/>
      <c r="HM583" s="267"/>
      <c r="HN583" s="267"/>
      <c r="HO583" s="267"/>
      <c r="HP583" s="267"/>
      <c r="HQ583" s="267"/>
      <c r="HR583" s="267"/>
      <c r="HS583" s="267"/>
      <c r="HT583" s="267"/>
      <c r="HU583" s="267"/>
      <c r="IH583" s="267"/>
      <c r="IK583" s="267"/>
      <c r="IN583" s="267"/>
      <c r="IQ583" s="267"/>
      <c r="IR583" s="267"/>
      <c r="IS583" s="267"/>
    </row>
    <row r="584" spans="10:253">
      <c r="J584" s="267"/>
      <c r="K584" s="267"/>
      <c r="L584" s="267"/>
      <c r="M584" s="267"/>
      <c r="N584" s="267"/>
      <c r="O584" s="267"/>
      <c r="P584" s="267"/>
      <c r="Q584" s="267"/>
      <c r="S584" s="267"/>
      <c r="T584" s="267"/>
      <c r="U584" s="267"/>
      <c r="V584" s="267"/>
      <c r="W584" s="264"/>
      <c r="Y584" s="267"/>
      <c r="Z584" s="267"/>
      <c r="AA584" s="267"/>
      <c r="AB584" s="267"/>
      <c r="AE584" s="267"/>
      <c r="AF584" s="267"/>
      <c r="AG584" s="267"/>
      <c r="AH584" s="267"/>
      <c r="AK584" s="267"/>
      <c r="AL584" s="267"/>
      <c r="AM584" s="267"/>
      <c r="AN584" s="267"/>
      <c r="AQ584" s="267"/>
      <c r="AR584" s="267"/>
      <c r="AS584" s="267"/>
      <c r="AT584" s="267"/>
      <c r="AW584" s="267"/>
      <c r="AX584" s="267"/>
      <c r="AY584" s="267"/>
      <c r="AZ584" s="267"/>
      <c r="BG584" s="269"/>
      <c r="BM584" s="269"/>
      <c r="BS584" s="269"/>
      <c r="BU584" s="267"/>
      <c r="BY584" s="267"/>
      <c r="CC584" s="267"/>
      <c r="CG584" s="267"/>
      <c r="CS584" s="267"/>
      <c r="CW584" s="270"/>
      <c r="CX584" s="267"/>
      <c r="DC584" s="267"/>
      <c r="DH584" s="267"/>
      <c r="DM584" s="267"/>
      <c r="DR584" s="267"/>
      <c r="DW584" s="267"/>
      <c r="EB584" s="267"/>
      <c r="EG584" s="267"/>
      <c r="EL584" s="267"/>
      <c r="EQ584" s="267"/>
      <c r="EU584" s="270"/>
      <c r="EV584" s="267"/>
      <c r="FC584" s="267"/>
      <c r="FD584" s="267"/>
      <c r="FE584" s="267"/>
      <c r="FF584" s="267"/>
      <c r="FG584" s="267"/>
      <c r="FL584" s="267"/>
      <c r="FM584" s="267"/>
      <c r="FN584" s="267"/>
      <c r="FO584" s="267"/>
      <c r="FP584" s="267"/>
      <c r="FQ584" s="264"/>
      <c r="FR584" s="264"/>
      <c r="FS584" s="264"/>
      <c r="FT584" s="264"/>
      <c r="FU584" s="267"/>
      <c r="FV584" s="267"/>
      <c r="FW584" s="267"/>
      <c r="FX584" s="267"/>
      <c r="FY584" s="267"/>
      <c r="GD584" s="267"/>
      <c r="GE584" s="267"/>
      <c r="GF584" s="267"/>
      <c r="GG584" s="267"/>
      <c r="GH584" s="267"/>
      <c r="GI584" s="264"/>
      <c r="GJ584" s="264"/>
      <c r="GK584" s="264"/>
      <c r="GL584" s="264"/>
      <c r="HD584" s="267"/>
      <c r="HE584" s="267"/>
      <c r="HF584" s="267"/>
      <c r="HG584" s="267"/>
      <c r="HH584" s="267"/>
      <c r="HI584" s="267"/>
      <c r="HJ584" s="267"/>
      <c r="HK584" s="267"/>
      <c r="HL584" s="267"/>
      <c r="HM584" s="267"/>
      <c r="HN584" s="267"/>
      <c r="HO584" s="267"/>
      <c r="HP584" s="267"/>
      <c r="HQ584" s="267"/>
      <c r="HR584" s="267"/>
      <c r="HS584" s="267"/>
      <c r="HT584" s="267"/>
      <c r="HU584" s="267"/>
      <c r="IH584" s="267"/>
      <c r="IK584" s="267"/>
      <c r="IN584" s="267"/>
      <c r="IQ584" s="267"/>
      <c r="IR584" s="267"/>
      <c r="IS584" s="267"/>
    </row>
    <row r="585" spans="10:253">
      <c r="J585" s="267"/>
      <c r="K585" s="267"/>
      <c r="L585" s="267"/>
      <c r="M585" s="267"/>
      <c r="N585" s="267"/>
      <c r="O585" s="267"/>
      <c r="P585" s="267"/>
      <c r="Q585" s="267"/>
      <c r="S585" s="267"/>
      <c r="T585" s="267"/>
      <c r="U585" s="267"/>
      <c r="V585" s="267"/>
      <c r="W585" s="264"/>
      <c r="Y585" s="267"/>
      <c r="Z585" s="267"/>
      <c r="AA585" s="267"/>
      <c r="AB585" s="267"/>
      <c r="AE585" s="267"/>
      <c r="AF585" s="267"/>
      <c r="AG585" s="267"/>
      <c r="AH585" s="267"/>
      <c r="AK585" s="267"/>
      <c r="AL585" s="267"/>
      <c r="AM585" s="267"/>
      <c r="AN585" s="267"/>
      <c r="AQ585" s="267"/>
      <c r="AR585" s="267"/>
      <c r="AS585" s="267"/>
      <c r="AT585" s="267"/>
      <c r="AW585" s="267"/>
      <c r="AX585" s="267"/>
      <c r="AY585" s="267"/>
      <c r="AZ585" s="267"/>
      <c r="BG585" s="269"/>
      <c r="BM585" s="269"/>
      <c r="BS585" s="269"/>
      <c r="BU585" s="267"/>
      <c r="BY585" s="267"/>
      <c r="CC585" s="267"/>
      <c r="CG585" s="267"/>
      <c r="CS585" s="267"/>
      <c r="CW585" s="270"/>
      <c r="CX585" s="267"/>
      <c r="DC585" s="267"/>
      <c r="DH585" s="267"/>
      <c r="DM585" s="267"/>
      <c r="DR585" s="267"/>
      <c r="DW585" s="267"/>
      <c r="EB585" s="267"/>
      <c r="EG585" s="267"/>
      <c r="EL585" s="267"/>
      <c r="EQ585" s="267"/>
      <c r="EU585" s="270"/>
      <c r="EV585" s="267"/>
      <c r="FC585" s="267"/>
      <c r="FD585" s="267"/>
      <c r="FE585" s="267"/>
      <c r="FF585" s="267"/>
      <c r="FG585" s="267"/>
      <c r="FL585" s="267"/>
      <c r="FM585" s="267"/>
      <c r="FN585" s="267"/>
      <c r="FO585" s="267"/>
      <c r="FP585" s="267"/>
      <c r="FQ585" s="264"/>
      <c r="FR585" s="264"/>
      <c r="FS585" s="264"/>
      <c r="FT585" s="264"/>
      <c r="FU585" s="267"/>
      <c r="FV585" s="267"/>
      <c r="FW585" s="267"/>
      <c r="FX585" s="267"/>
      <c r="FY585" s="267"/>
      <c r="GD585" s="267"/>
      <c r="GE585" s="267"/>
      <c r="GF585" s="267"/>
      <c r="GG585" s="267"/>
      <c r="GH585" s="267"/>
      <c r="GI585" s="264"/>
      <c r="GJ585" s="264"/>
      <c r="GK585" s="264"/>
      <c r="GL585" s="264"/>
      <c r="HD585" s="267"/>
      <c r="HE585" s="267"/>
      <c r="HF585" s="267"/>
      <c r="HG585" s="267"/>
      <c r="HH585" s="267"/>
      <c r="HI585" s="267"/>
      <c r="HJ585" s="267"/>
      <c r="HK585" s="267"/>
      <c r="HL585" s="267"/>
      <c r="HM585" s="267"/>
      <c r="HN585" s="267"/>
      <c r="HO585" s="267"/>
      <c r="HP585" s="267"/>
      <c r="HQ585" s="267"/>
      <c r="HR585" s="267"/>
      <c r="HS585" s="267"/>
      <c r="HT585" s="267"/>
      <c r="HU585" s="267"/>
      <c r="IH585" s="267"/>
      <c r="IK585" s="267"/>
      <c r="IN585" s="267"/>
      <c r="IQ585" s="267"/>
      <c r="IR585" s="267"/>
      <c r="IS585" s="267"/>
    </row>
    <row r="586" spans="10:253">
      <c r="J586" s="267"/>
      <c r="K586" s="267"/>
      <c r="L586" s="267"/>
      <c r="M586" s="267"/>
      <c r="N586" s="267"/>
      <c r="O586" s="267"/>
      <c r="P586" s="267"/>
      <c r="Q586" s="267"/>
      <c r="S586" s="267"/>
      <c r="T586" s="267"/>
      <c r="U586" s="267"/>
      <c r="V586" s="267"/>
      <c r="W586" s="264"/>
      <c r="Y586" s="267"/>
      <c r="Z586" s="267"/>
      <c r="AA586" s="267"/>
      <c r="AB586" s="267"/>
      <c r="AE586" s="267"/>
      <c r="AF586" s="267"/>
      <c r="AG586" s="267"/>
      <c r="AH586" s="267"/>
      <c r="AK586" s="267"/>
      <c r="AL586" s="267"/>
      <c r="AM586" s="267"/>
      <c r="AN586" s="267"/>
      <c r="AQ586" s="267"/>
      <c r="AR586" s="267"/>
      <c r="AS586" s="267"/>
      <c r="AT586" s="267"/>
      <c r="AW586" s="267"/>
      <c r="AX586" s="267"/>
      <c r="AY586" s="267"/>
      <c r="AZ586" s="267"/>
      <c r="BG586" s="269"/>
      <c r="BM586" s="269"/>
      <c r="BS586" s="269"/>
      <c r="BU586" s="267"/>
      <c r="BY586" s="267"/>
      <c r="CC586" s="267"/>
      <c r="CG586" s="267"/>
      <c r="CS586" s="267"/>
      <c r="CW586" s="270"/>
      <c r="CX586" s="267"/>
      <c r="DC586" s="267"/>
      <c r="DH586" s="267"/>
      <c r="DM586" s="267"/>
      <c r="DR586" s="267"/>
      <c r="DW586" s="267"/>
      <c r="EB586" s="267"/>
      <c r="EG586" s="267"/>
      <c r="EL586" s="267"/>
      <c r="EQ586" s="267"/>
      <c r="EU586" s="270"/>
      <c r="EV586" s="267"/>
      <c r="FC586" s="267"/>
      <c r="FD586" s="267"/>
      <c r="FE586" s="267"/>
      <c r="FF586" s="267"/>
      <c r="FG586" s="267"/>
      <c r="FL586" s="267"/>
      <c r="FM586" s="267"/>
      <c r="FN586" s="267"/>
      <c r="FO586" s="267"/>
      <c r="FP586" s="267"/>
      <c r="FQ586" s="264"/>
      <c r="FR586" s="264"/>
      <c r="FS586" s="264"/>
      <c r="FT586" s="264"/>
      <c r="FU586" s="267"/>
      <c r="FV586" s="267"/>
      <c r="FW586" s="267"/>
      <c r="FX586" s="267"/>
      <c r="FY586" s="267"/>
      <c r="GD586" s="267"/>
      <c r="GE586" s="267"/>
      <c r="GF586" s="267"/>
      <c r="GG586" s="267"/>
      <c r="GH586" s="267"/>
      <c r="GI586" s="264"/>
      <c r="GJ586" s="264"/>
      <c r="GK586" s="264"/>
      <c r="GL586" s="264"/>
      <c r="HD586" s="267"/>
      <c r="HE586" s="267"/>
      <c r="HF586" s="267"/>
      <c r="HG586" s="267"/>
      <c r="HH586" s="267"/>
      <c r="HI586" s="267"/>
      <c r="HJ586" s="267"/>
      <c r="HK586" s="267"/>
      <c r="HL586" s="267"/>
      <c r="HM586" s="267"/>
      <c r="HN586" s="267"/>
      <c r="HO586" s="267"/>
      <c r="HP586" s="267"/>
      <c r="HQ586" s="267"/>
      <c r="HR586" s="267"/>
      <c r="HS586" s="267"/>
      <c r="HT586" s="267"/>
      <c r="HU586" s="267"/>
      <c r="IH586" s="267"/>
      <c r="IK586" s="267"/>
      <c r="IN586" s="267"/>
      <c r="IQ586" s="267"/>
      <c r="IR586" s="267"/>
      <c r="IS586" s="267"/>
    </row>
    <row r="587" spans="10:253">
      <c r="J587" s="267"/>
      <c r="K587" s="267"/>
      <c r="L587" s="267"/>
      <c r="M587" s="267"/>
      <c r="N587" s="267"/>
      <c r="O587" s="267"/>
      <c r="P587" s="267"/>
      <c r="Q587" s="267"/>
      <c r="S587" s="267"/>
      <c r="T587" s="267"/>
      <c r="U587" s="267"/>
      <c r="V587" s="267"/>
      <c r="W587" s="264"/>
      <c r="Y587" s="267"/>
      <c r="Z587" s="267"/>
      <c r="AA587" s="267"/>
      <c r="AB587" s="267"/>
      <c r="AE587" s="267"/>
      <c r="AF587" s="267"/>
      <c r="AG587" s="267"/>
      <c r="AH587" s="267"/>
      <c r="AK587" s="267"/>
      <c r="AL587" s="267"/>
      <c r="AM587" s="267"/>
      <c r="AN587" s="267"/>
      <c r="AQ587" s="267"/>
      <c r="AR587" s="267"/>
      <c r="AS587" s="267"/>
      <c r="AT587" s="267"/>
      <c r="AW587" s="267"/>
      <c r="AX587" s="267"/>
      <c r="AY587" s="267"/>
      <c r="AZ587" s="267"/>
      <c r="BG587" s="269"/>
      <c r="BM587" s="269"/>
      <c r="BS587" s="269"/>
      <c r="BU587" s="267"/>
      <c r="BY587" s="267"/>
      <c r="CC587" s="267"/>
      <c r="CG587" s="267"/>
      <c r="CS587" s="267"/>
      <c r="CW587" s="270"/>
      <c r="CX587" s="267"/>
      <c r="DC587" s="267"/>
      <c r="DH587" s="267"/>
      <c r="DM587" s="267"/>
      <c r="DR587" s="267"/>
      <c r="DW587" s="267"/>
      <c r="EB587" s="267"/>
      <c r="EG587" s="267"/>
      <c r="EL587" s="267"/>
      <c r="EQ587" s="267"/>
      <c r="EU587" s="270"/>
      <c r="EV587" s="267"/>
      <c r="FC587" s="267"/>
      <c r="FD587" s="267"/>
      <c r="FE587" s="267"/>
      <c r="FF587" s="267"/>
      <c r="FG587" s="267"/>
      <c r="FL587" s="267"/>
      <c r="FM587" s="267"/>
      <c r="FN587" s="267"/>
      <c r="FO587" s="267"/>
      <c r="FP587" s="267"/>
      <c r="FQ587" s="264"/>
      <c r="FR587" s="264"/>
      <c r="FS587" s="264"/>
      <c r="FT587" s="264"/>
      <c r="FU587" s="267"/>
      <c r="FV587" s="267"/>
      <c r="FW587" s="267"/>
      <c r="FX587" s="267"/>
      <c r="FY587" s="267"/>
      <c r="GD587" s="267"/>
      <c r="GE587" s="267"/>
      <c r="GF587" s="267"/>
      <c r="GG587" s="267"/>
      <c r="GH587" s="267"/>
      <c r="GI587" s="264"/>
      <c r="GJ587" s="264"/>
      <c r="GK587" s="264"/>
      <c r="GL587" s="264"/>
      <c r="HD587" s="267"/>
      <c r="HE587" s="267"/>
      <c r="HF587" s="267"/>
      <c r="HG587" s="267"/>
      <c r="HH587" s="267"/>
      <c r="HI587" s="267"/>
      <c r="HJ587" s="267"/>
      <c r="HK587" s="267"/>
      <c r="HL587" s="267"/>
      <c r="HM587" s="267"/>
      <c r="HN587" s="267"/>
      <c r="HO587" s="267"/>
      <c r="HP587" s="267"/>
      <c r="HQ587" s="267"/>
      <c r="HR587" s="267"/>
      <c r="HS587" s="267"/>
      <c r="HT587" s="267"/>
      <c r="HU587" s="267"/>
      <c r="IH587" s="267"/>
      <c r="IK587" s="267"/>
      <c r="IN587" s="267"/>
      <c r="IQ587" s="267"/>
      <c r="IR587" s="267"/>
      <c r="IS587" s="267"/>
    </row>
    <row r="588" spans="10:253">
      <c r="J588" s="267"/>
      <c r="K588" s="267"/>
      <c r="L588" s="267"/>
      <c r="M588" s="267"/>
      <c r="N588" s="267"/>
      <c r="O588" s="267"/>
      <c r="P588" s="267"/>
      <c r="Q588" s="267"/>
      <c r="S588" s="267"/>
      <c r="T588" s="267"/>
      <c r="U588" s="267"/>
      <c r="V588" s="267"/>
      <c r="W588" s="264"/>
      <c r="Y588" s="267"/>
      <c r="Z588" s="267"/>
      <c r="AA588" s="267"/>
      <c r="AB588" s="267"/>
      <c r="AE588" s="267"/>
      <c r="AF588" s="267"/>
      <c r="AG588" s="267"/>
      <c r="AH588" s="267"/>
      <c r="AK588" s="267"/>
      <c r="AL588" s="267"/>
      <c r="AM588" s="267"/>
      <c r="AN588" s="267"/>
      <c r="AQ588" s="267"/>
      <c r="AR588" s="267"/>
      <c r="AS588" s="267"/>
      <c r="AT588" s="267"/>
      <c r="AW588" s="267"/>
      <c r="AX588" s="267"/>
      <c r="AY588" s="267"/>
      <c r="AZ588" s="267"/>
      <c r="BG588" s="269"/>
      <c r="BM588" s="269"/>
      <c r="BS588" s="269"/>
      <c r="BU588" s="267"/>
      <c r="BY588" s="267"/>
      <c r="CC588" s="267"/>
      <c r="CG588" s="267"/>
      <c r="CS588" s="267"/>
      <c r="CW588" s="270"/>
      <c r="CX588" s="267"/>
      <c r="DC588" s="267"/>
      <c r="DH588" s="267"/>
      <c r="DM588" s="267"/>
      <c r="DR588" s="267"/>
      <c r="DW588" s="267"/>
      <c r="EB588" s="267"/>
      <c r="EG588" s="267"/>
      <c r="EL588" s="267"/>
      <c r="EQ588" s="267"/>
      <c r="EU588" s="270"/>
      <c r="EV588" s="267"/>
      <c r="FC588" s="267"/>
      <c r="FD588" s="267"/>
      <c r="FE588" s="267"/>
      <c r="FF588" s="267"/>
      <c r="FG588" s="267"/>
      <c r="FL588" s="267"/>
      <c r="FM588" s="267"/>
      <c r="FN588" s="267"/>
      <c r="FO588" s="267"/>
      <c r="FP588" s="267"/>
      <c r="FQ588" s="264"/>
      <c r="FR588" s="264"/>
      <c r="FS588" s="264"/>
      <c r="FT588" s="264"/>
      <c r="FU588" s="267"/>
      <c r="FV588" s="267"/>
      <c r="FW588" s="267"/>
      <c r="FX588" s="267"/>
      <c r="FY588" s="267"/>
      <c r="GD588" s="267"/>
      <c r="GE588" s="267"/>
      <c r="GF588" s="267"/>
      <c r="GG588" s="267"/>
      <c r="GH588" s="267"/>
      <c r="GI588" s="264"/>
      <c r="GJ588" s="264"/>
      <c r="GK588" s="264"/>
      <c r="GL588" s="264"/>
      <c r="HD588" s="267"/>
      <c r="HE588" s="267"/>
      <c r="HF588" s="267"/>
      <c r="HG588" s="267"/>
      <c r="HH588" s="267"/>
      <c r="HI588" s="267"/>
      <c r="HJ588" s="267"/>
      <c r="HK588" s="267"/>
      <c r="HL588" s="267"/>
      <c r="HM588" s="267"/>
      <c r="HN588" s="267"/>
      <c r="HO588" s="267"/>
      <c r="HP588" s="267"/>
      <c r="HQ588" s="267"/>
      <c r="HR588" s="267"/>
      <c r="HS588" s="267"/>
      <c r="HT588" s="267"/>
      <c r="HU588" s="267"/>
      <c r="IH588" s="267"/>
      <c r="IK588" s="267"/>
      <c r="IN588" s="267"/>
      <c r="IQ588" s="267"/>
      <c r="IR588" s="267"/>
      <c r="IS588" s="267"/>
    </row>
    <row r="589" spans="10:253">
      <c r="J589" s="267"/>
      <c r="K589" s="267"/>
      <c r="L589" s="267"/>
      <c r="M589" s="267"/>
      <c r="N589" s="267"/>
      <c r="O589" s="267"/>
      <c r="P589" s="267"/>
      <c r="Q589" s="267"/>
      <c r="S589" s="267"/>
      <c r="T589" s="267"/>
      <c r="U589" s="267"/>
      <c r="V589" s="267"/>
      <c r="W589" s="264"/>
      <c r="Y589" s="267"/>
      <c r="Z589" s="267"/>
      <c r="AA589" s="267"/>
      <c r="AB589" s="267"/>
      <c r="AE589" s="267"/>
      <c r="AF589" s="267"/>
      <c r="AG589" s="267"/>
      <c r="AH589" s="267"/>
      <c r="AK589" s="267"/>
      <c r="AL589" s="267"/>
      <c r="AM589" s="267"/>
      <c r="AN589" s="267"/>
      <c r="AQ589" s="267"/>
      <c r="AR589" s="267"/>
      <c r="AS589" s="267"/>
      <c r="AT589" s="267"/>
      <c r="AW589" s="267"/>
      <c r="AX589" s="267"/>
      <c r="AY589" s="267"/>
      <c r="AZ589" s="267"/>
      <c r="BG589" s="269"/>
      <c r="BM589" s="269"/>
      <c r="BS589" s="269"/>
      <c r="BU589" s="267"/>
      <c r="BY589" s="267"/>
      <c r="CC589" s="267"/>
      <c r="CG589" s="267"/>
      <c r="CS589" s="267"/>
      <c r="CW589" s="270"/>
      <c r="CX589" s="267"/>
      <c r="DC589" s="267"/>
      <c r="DH589" s="267"/>
      <c r="DM589" s="267"/>
      <c r="DR589" s="267"/>
      <c r="DW589" s="267"/>
      <c r="EB589" s="267"/>
      <c r="EG589" s="267"/>
      <c r="EL589" s="267"/>
      <c r="EQ589" s="267"/>
      <c r="EU589" s="270"/>
      <c r="EV589" s="267"/>
      <c r="FC589" s="267"/>
      <c r="FD589" s="267"/>
      <c r="FE589" s="267"/>
      <c r="FF589" s="267"/>
      <c r="FG589" s="267"/>
      <c r="FL589" s="267"/>
      <c r="FM589" s="267"/>
      <c r="FN589" s="267"/>
      <c r="FO589" s="267"/>
      <c r="FP589" s="267"/>
      <c r="FQ589" s="264"/>
      <c r="FR589" s="264"/>
      <c r="FS589" s="264"/>
      <c r="FT589" s="264"/>
      <c r="FU589" s="267"/>
      <c r="FV589" s="267"/>
      <c r="FW589" s="267"/>
      <c r="FX589" s="267"/>
      <c r="FY589" s="267"/>
      <c r="GD589" s="267"/>
      <c r="GE589" s="267"/>
      <c r="GF589" s="267"/>
      <c r="GG589" s="267"/>
      <c r="GH589" s="267"/>
      <c r="GI589" s="264"/>
      <c r="GJ589" s="264"/>
      <c r="GK589" s="264"/>
      <c r="GL589" s="264"/>
      <c r="HD589" s="267"/>
      <c r="HE589" s="267"/>
      <c r="HF589" s="267"/>
      <c r="HG589" s="267"/>
      <c r="HH589" s="267"/>
      <c r="HI589" s="267"/>
      <c r="HJ589" s="267"/>
      <c r="HK589" s="267"/>
      <c r="HL589" s="267"/>
      <c r="HM589" s="267"/>
      <c r="HN589" s="267"/>
      <c r="HO589" s="267"/>
      <c r="HP589" s="267"/>
      <c r="HQ589" s="267"/>
      <c r="HR589" s="267"/>
      <c r="HS589" s="267"/>
      <c r="HT589" s="267"/>
      <c r="HU589" s="267"/>
      <c r="IH589" s="267"/>
      <c r="IK589" s="267"/>
      <c r="IN589" s="267"/>
      <c r="IQ589" s="267"/>
      <c r="IR589" s="267"/>
      <c r="IS589" s="267"/>
    </row>
    <row r="590" spans="10:253">
      <c r="J590" s="267"/>
      <c r="K590" s="267"/>
      <c r="L590" s="267"/>
      <c r="M590" s="267"/>
      <c r="N590" s="267"/>
      <c r="O590" s="267"/>
      <c r="P590" s="267"/>
      <c r="Q590" s="267"/>
      <c r="S590" s="267"/>
      <c r="T590" s="267"/>
      <c r="U590" s="267"/>
      <c r="V590" s="267"/>
      <c r="W590" s="264"/>
      <c r="Y590" s="267"/>
      <c r="Z590" s="267"/>
      <c r="AA590" s="267"/>
      <c r="AB590" s="267"/>
      <c r="AE590" s="267"/>
      <c r="AF590" s="267"/>
      <c r="AG590" s="267"/>
      <c r="AH590" s="267"/>
      <c r="AK590" s="267"/>
      <c r="AL590" s="267"/>
      <c r="AM590" s="267"/>
      <c r="AN590" s="267"/>
      <c r="AQ590" s="267"/>
      <c r="AR590" s="267"/>
      <c r="AS590" s="267"/>
      <c r="AT590" s="267"/>
      <c r="AW590" s="267"/>
      <c r="AX590" s="267"/>
      <c r="AY590" s="267"/>
      <c r="AZ590" s="267"/>
      <c r="BG590" s="269"/>
      <c r="BM590" s="269"/>
      <c r="BS590" s="269"/>
      <c r="BU590" s="267"/>
      <c r="BY590" s="267"/>
      <c r="CC590" s="267"/>
      <c r="CG590" s="267"/>
      <c r="CS590" s="267"/>
      <c r="CW590" s="270"/>
      <c r="CX590" s="267"/>
      <c r="DC590" s="267"/>
      <c r="DH590" s="267"/>
      <c r="DM590" s="267"/>
      <c r="DR590" s="267"/>
      <c r="DW590" s="267"/>
      <c r="EB590" s="267"/>
      <c r="EG590" s="267"/>
      <c r="EL590" s="267"/>
      <c r="EQ590" s="267"/>
      <c r="EU590" s="270"/>
      <c r="EV590" s="267"/>
      <c r="FC590" s="267"/>
      <c r="FD590" s="267"/>
      <c r="FE590" s="267"/>
      <c r="FF590" s="267"/>
      <c r="FG590" s="267"/>
      <c r="FL590" s="267"/>
      <c r="FM590" s="267"/>
      <c r="FN590" s="267"/>
      <c r="FO590" s="267"/>
      <c r="FP590" s="267"/>
      <c r="FQ590" s="264"/>
      <c r="FR590" s="264"/>
      <c r="FS590" s="264"/>
      <c r="FT590" s="264"/>
      <c r="FU590" s="267"/>
      <c r="FV590" s="267"/>
      <c r="FW590" s="267"/>
      <c r="FX590" s="267"/>
      <c r="FY590" s="267"/>
      <c r="GD590" s="267"/>
      <c r="GE590" s="267"/>
      <c r="GF590" s="267"/>
      <c r="GG590" s="267"/>
      <c r="GH590" s="267"/>
      <c r="GI590" s="264"/>
      <c r="GJ590" s="264"/>
      <c r="GK590" s="264"/>
      <c r="GL590" s="264"/>
      <c r="HD590" s="267"/>
      <c r="HE590" s="267"/>
      <c r="HF590" s="267"/>
      <c r="HG590" s="267"/>
      <c r="HH590" s="267"/>
      <c r="HI590" s="267"/>
      <c r="HJ590" s="267"/>
      <c r="HK590" s="267"/>
      <c r="HL590" s="267"/>
      <c r="HM590" s="267"/>
      <c r="HN590" s="267"/>
      <c r="HO590" s="267"/>
      <c r="HP590" s="267"/>
      <c r="HQ590" s="267"/>
      <c r="HR590" s="267"/>
      <c r="HS590" s="267"/>
      <c r="HT590" s="267"/>
      <c r="HU590" s="267"/>
      <c r="IH590" s="267"/>
      <c r="IK590" s="267"/>
      <c r="IN590" s="267"/>
      <c r="IQ590" s="267"/>
      <c r="IR590" s="267"/>
      <c r="IS590" s="267"/>
    </row>
    <row r="591" spans="10:253">
      <c r="J591" s="267"/>
      <c r="K591" s="267"/>
      <c r="L591" s="267"/>
      <c r="M591" s="267"/>
      <c r="N591" s="267"/>
      <c r="O591" s="267"/>
      <c r="P591" s="267"/>
      <c r="Q591" s="267"/>
      <c r="S591" s="267"/>
      <c r="T591" s="267"/>
      <c r="U591" s="267"/>
      <c r="V591" s="267"/>
      <c r="W591" s="264"/>
      <c r="Y591" s="267"/>
      <c r="Z591" s="267"/>
      <c r="AA591" s="267"/>
      <c r="AB591" s="267"/>
      <c r="AE591" s="267"/>
      <c r="AF591" s="267"/>
      <c r="AG591" s="267"/>
      <c r="AH591" s="267"/>
      <c r="AK591" s="267"/>
      <c r="AL591" s="267"/>
      <c r="AM591" s="267"/>
      <c r="AN591" s="267"/>
      <c r="AQ591" s="267"/>
      <c r="AR591" s="267"/>
      <c r="AS591" s="267"/>
      <c r="AT591" s="267"/>
      <c r="AW591" s="267"/>
      <c r="AX591" s="267"/>
      <c r="AY591" s="267"/>
      <c r="AZ591" s="267"/>
      <c r="BG591" s="269"/>
      <c r="BM591" s="269"/>
      <c r="BS591" s="269"/>
      <c r="BU591" s="267"/>
      <c r="BY591" s="267"/>
      <c r="CC591" s="267"/>
      <c r="CG591" s="267"/>
      <c r="CS591" s="267"/>
      <c r="CW591" s="270"/>
      <c r="CX591" s="267"/>
      <c r="DC591" s="267"/>
      <c r="DH591" s="267"/>
      <c r="DM591" s="267"/>
      <c r="DR591" s="267"/>
      <c r="DW591" s="267"/>
      <c r="EB591" s="267"/>
      <c r="EG591" s="267"/>
      <c r="EL591" s="267"/>
      <c r="EQ591" s="267"/>
      <c r="EU591" s="270"/>
      <c r="EV591" s="267"/>
      <c r="FC591" s="267"/>
      <c r="FD591" s="267"/>
      <c r="FE591" s="267"/>
      <c r="FF591" s="267"/>
      <c r="FG591" s="267"/>
      <c r="FL591" s="267"/>
      <c r="FM591" s="267"/>
      <c r="FN591" s="267"/>
      <c r="FO591" s="267"/>
      <c r="FP591" s="267"/>
      <c r="FQ591" s="264"/>
      <c r="FR591" s="264"/>
      <c r="FS591" s="264"/>
      <c r="FT591" s="264"/>
      <c r="FU591" s="267"/>
      <c r="FV591" s="267"/>
      <c r="FW591" s="267"/>
      <c r="FX591" s="267"/>
      <c r="FY591" s="267"/>
      <c r="GD591" s="267"/>
      <c r="GE591" s="267"/>
      <c r="GF591" s="267"/>
      <c r="GG591" s="267"/>
      <c r="GH591" s="267"/>
      <c r="GI591" s="264"/>
      <c r="GJ591" s="264"/>
      <c r="GK591" s="264"/>
      <c r="GL591" s="264"/>
      <c r="HD591" s="267"/>
      <c r="HE591" s="267"/>
      <c r="HF591" s="267"/>
      <c r="HG591" s="267"/>
      <c r="HH591" s="267"/>
      <c r="HI591" s="267"/>
      <c r="HJ591" s="267"/>
      <c r="HK591" s="267"/>
      <c r="HL591" s="267"/>
      <c r="HM591" s="267"/>
      <c r="HN591" s="267"/>
      <c r="HO591" s="267"/>
      <c r="HP591" s="267"/>
      <c r="HQ591" s="267"/>
      <c r="HR591" s="267"/>
      <c r="HS591" s="267"/>
      <c r="HT591" s="267"/>
      <c r="HU591" s="267"/>
      <c r="IH591" s="267"/>
      <c r="IK591" s="267"/>
      <c r="IN591" s="267"/>
      <c r="IQ591" s="267"/>
      <c r="IR591" s="267"/>
      <c r="IS591" s="267"/>
    </row>
    <row r="592" spans="10:253">
      <c r="J592" s="267"/>
      <c r="K592" s="267"/>
      <c r="L592" s="267"/>
      <c r="M592" s="267"/>
      <c r="N592" s="267"/>
      <c r="O592" s="267"/>
      <c r="P592" s="267"/>
      <c r="Q592" s="267"/>
      <c r="S592" s="267"/>
      <c r="T592" s="267"/>
      <c r="U592" s="267"/>
      <c r="V592" s="267"/>
      <c r="W592" s="264"/>
      <c r="Y592" s="267"/>
      <c r="Z592" s="267"/>
      <c r="AA592" s="267"/>
      <c r="AB592" s="267"/>
      <c r="AE592" s="267"/>
      <c r="AF592" s="267"/>
      <c r="AG592" s="267"/>
      <c r="AH592" s="267"/>
      <c r="AK592" s="267"/>
      <c r="AL592" s="267"/>
      <c r="AM592" s="267"/>
      <c r="AN592" s="267"/>
      <c r="AQ592" s="267"/>
      <c r="AR592" s="267"/>
      <c r="AS592" s="267"/>
      <c r="AT592" s="267"/>
      <c r="AW592" s="267"/>
      <c r="AX592" s="267"/>
      <c r="AY592" s="267"/>
      <c r="AZ592" s="267"/>
      <c r="BG592" s="269"/>
      <c r="BM592" s="269"/>
      <c r="BS592" s="269"/>
      <c r="BU592" s="267"/>
      <c r="BY592" s="267"/>
      <c r="CC592" s="267"/>
      <c r="CG592" s="267"/>
      <c r="CS592" s="267"/>
      <c r="CW592" s="270"/>
      <c r="CX592" s="267"/>
      <c r="DC592" s="267"/>
      <c r="DH592" s="267"/>
      <c r="DM592" s="267"/>
      <c r="DR592" s="267"/>
      <c r="DW592" s="267"/>
      <c r="EB592" s="267"/>
      <c r="EG592" s="267"/>
      <c r="EL592" s="267"/>
      <c r="EQ592" s="267"/>
      <c r="EU592" s="270"/>
      <c r="EV592" s="267"/>
      <c r="FC592" s="267"/>
      <c r="FD592" s="267"/>
      <c r="FE592" s="267"/>
      <c r="FF592" s="267"/>
      <c r="FG592" s="267"/>
      <c r="FL592" s="267"/>
      <c r="FM592" s="267"/>
      <c r="FN592" s="267"/>
      <c r="FO592" s="267"/>
      <c r="FP592" s="267"/>
      <c r="FQ592" s="264"/>
      <c r="FR592" s="264"/>
      <c r="FS592" s="264"/>
      <c r="FT592" s="264"/>
      <c r="FU592" s="267"/>
      <c r="FV592" s="267"/>
      <c r="FW592" s="267"/>
      <c r="FX592" s="267"/>
      <c r="FY592" s="267"/>
      <c r="GD592" s="267"/>
      <c r="GE592" s="267"/>
      <c r="GF592" s="267"/>
      <c r="GG592" s="267"/>
      <c r="GH592" s="267"/>
      <c r="GI592" s="264"/>
      <c r="GJ592" s="264"/>
      <c r="GK592" s="264"/>
      <c r="GL592" s="264"/>
      <c r="HD592" s="267"/>
      <c r="HE592" s="267"/>
      <c r="HF592" s="267"/>
      <c r="HG592" s="267"/>
      <c r="HH592" s="267"/>
      <c r="HI592" s="267"/>
      <c r="HJ592" s="267"/>
      <c r="HK592" s="267"/>
      <c r="HL592" s="267"/>
      <c r="HM592" s="267"/>
      <c r="HN592" s="267"/>
      <c r="HO592" s="267"/>
      <c r="HP592" s="267"/>
      <c r="HQ592" s="267"/>
      <c r="HR592" s="267"/>
      <c r="HS592" s="267"/>
      <c r="HT592" s="267"/>
      <c r="HU592" s="267"/>
      <c r="IH592" s="267"/>
      <c r="IK592" s="267"/>
      <c r="IN592" s="267"/>
      <c r="IQ592" s="267"/>
      <c r="IR592" s="267"/>
      <c r="IS592" s="267"/>
    </row>
    <row r="593" spans="10:253">
      <c r="J593" s="267"/>
      <c r="K593" s="267"/>
      <c r="L593" s="267"/>
      <c r="M593" s="267"/>
      <c r="N593" s="267"/>
      <c r="O593" s="267"/>
      <c r="P593" s="267"/>
      <c r="Q593" s="267"/>
      <c r="S593" s="267"/>
      <c r="T593" s="267"/>
      <c r="U593" s="267"/>
      <c r="V593" s="267"/>
      <c r="W593" s="264"/>
      <c r="Y593" s="267"/>
      <c r="Z593" s="267"/>
      <c r="AA593" s="267"/>
      <c r="AB593" s="267"/>
      <c r="AE593" s="267"/>
      <c r="AF593" s="267"/>
      <c r="AG593" s="267"/>
      <c r="AH593" s="267"/>
      <c r="AK593" s="267"/>
      <c r="AL593" s="267"/>
      <c r="AM593" s="267"/>
      <c r="AN593" s="267"/>
      <c r="AQ593" s="267"/>
      <c r="AR593" s="267"/>
      <c r="AS593" s="267"/>
      <c r="AT593" s="267"/>
      <c r="AW593" s="267"/>
      <c r="AX593" s="267"/>
      <c r="AY593" s="267"/>
      <c r="AZ593" s="267"/>
      <c r="BG593" s="269"/>
      <c r="BM593" s="269"/>
      <c r="BS593" s="269"/>
      <c r="BU593" s="267"/>
      <c r="BY593" s="267"/>
      <c r="CC593" s="267"/>
      <c r="CG593" s="267"/>
      <c r="CS593" s="267"/>
      <c r="CW593" s="270"/>
      <c r="CX593" s="267"/>
      <c r="DC593" s="267"/>
      <c r="DH593" s="267"/>
      <c r="DM593" s="267"/>
      <c r="DR593" s="267"/>
      <c r="DW593" s="267"/>
      <c r="EB593" s="267"/>
      <c r="EG593" s="267"/>
      <c r="EL593" s="267"/>
      <c r="EQ593" s="267"/>
      <c r="EU593" s="270"/>
      <c r="EV593" s="267"/>
      <c r="FC593" s="267"/>
      <c r="FD593" s="267"/>
      <c r="FE593" s="267"/>
      <c r="FF593" s="267"/>
      <c r="FG593" s="267"/>
      <c r="FL593" s="267"/>
      <c r="FM593" s="267"/>
      <c r="FN593" s="267"/>
      <c r="FO593" s="267"/>
      <c r="FP593" s="267"/>
      <c r="FQ593" s="264"/>
      <c r="FR593" s="264"/>
      <c r="FS593" s="264"/>
      <c r="FT593" s="264"/>
      <c r="FU593" s="267"/>
      <c r="FV593" s="267"/>
      <c r="FW593" s="267"/>
      <c r="FX593" s="267"/>
      <c r="FY593" s="267"/>
      <c r="GD593" s="267"/>
      <c r="GE593" s="267"/>
      <c r="GF593" s="267"/>
      <c r="GG593" s="267"/>
      <c r="GH593" s="267"/>
      <c r="GI593" s="264"/>
      <c r="GJ593" s="264"/>
      <c r="GK593" s="264"/>
      <c r="GL593" s="264"/>
      <c r="HD593" s="267"/>
      <c r="HE593" s="267"/>
      <c r="HF593" s="267"/>
      <c r="HG593" s="267"/>
      <c r="HH593" s="267"/>
      <c r="HI593" s="267"/>
      <c r="HJ593" s="267"/>
      <c r="HK593" s="267"/>
      <c r="HL593" s="267"/>
      <c r="HM593" s="267"/>
      <c r="HN593" s="267"/>
      <c r="HO593" s="267"/>
      <c r="HP593" s="267"/>
      <c r="HQ593" s="267"/>
      <c r="HR593" s="267"/>
      <c r="HS593" s="267"/>
      <c r="HT593" s="267"/>
      <c r="HU593" s="267"/>
      <c r="IH593" s="267"/>
      <c r="IK593" s="267"/>
      <c r="IN593" s="267"/>
      <c r="IQ593" s="267"/>
      <c r="IR593" s="267"/>
      <c r="IS593" s="267"/>
    </row>
    <row r="594" spans="10:253">
      <c r="J594" s="267"/>
      <c r="K594" s="267"/>
      <c r="L594" s="267"/>
      <c r="M594" s="267"/>
      <c r="N594" s="267"/>
      <c r="O594" s="267"/>
      <c r="P594" s="267"/>
      <c r="Q594" s="267"/>
      <c r="S594" s="267"/>
      <c r="T594" s="267"/>
      <c r="U594" s="267"/>
      <c r="V594" s="267"/>
      <c r="W594" s="264"/>
      <c r="Y594" s="267"/>
      <c r="Z594" s="267"/>
      <c r="AA594" s="267"/>
      <c r="AB594" s="267"/>
      <c r="AE594" s="267"/>
      <c r="AF594" s="267"/>
      <c r="AG594" s="267"/>
      <c r="AH594" s="267"/>
      <c r="AK594" s="267"/>
      <c r="AL594" s="267"/>
      <c r="AM594" s="267"/>
      <c r="AN594" s="267"/>
      <c r="AQ594" s="267"/>
      <c r="AR594" s="267"/>
      <c r="AS594" s="267"/>
      <c r="AT594" s="267"/>
      <c r="AW594" s="267"/>
      <c r="AX594" s="267"/>
      <c r="AY594" s="267"/>
      <c r="AZ594" s="267"/>
      <c r="BG594" s="269"/>
      <c r="BM594" s="269"/>
      <c r="BS594" s="269"/>
      <c r="BU594" s="267"/>
      <c r="BY594" s="267"/>
      <c r="CC594" s="267"/>
      <c r="CG594" s="267"/>
      <c r="CS594" s="267"/>
      <c r="CW594" s="270"/>
      <c r="CX594" s="267"/>
      <c r="DC594" s="267"/>
      <c r="DH594" s="267"/>
      <c r="DM594" s="267"/>
      <c r="DR594" s="267"/>
      <c r="DW594" s="267"/>
      <c r="EB594" s="267"/>
      <c r="EG594" s="267"/>
      <c r="EL594" s="267"/>
      <c r="EQ594" s="267"/>
      <c r="EU594" s="270"/>
      <c r="EV594" s="267"/>
      <c r="FC594" s="267"/>
      <c r="FD594" s="267"/>
      <c r="FE594" s="267"/>
      <c r="FF594" s="267"/>
      <c r="FG594" s="267"/>
      <c r="FL594" s="267"/>
      <c r="FM594" s="267"/>
      <c r="FN594" s="267"/>
      <c r="FO594" s="267"/>
      <c r="FP594" s="267"/>
      <c r="FQ594" s="264"/>
      <c r="FR594" s="264"/>
      <c r="FS594" s="264"/>
      <c r="FT594" s="264"/>
      <c r="FU594" s="267"/>
      <c r="FV594" s="267"/>
      <c r="FW594" s="267"/>
      <c r="FX594" s="267"/>
      <c r="FY594" s="267"/>
      <c r="GD594" s="267"/>
      <c r="GE594" s="267"/>
      <c r="GF594" s="267"/>
      <c r="GG594" s="267"/>
      <c r="GH594" s="267"/>
      <c r="GI594" s="264"/>
      <c r="GJ594" s="264"/>
      <c r="GK594" s="264"/>
      <c r="GL594" s="264"/>
      <c r="HD594" s="267"/>
      <c r="HE594" s="267"/>
      <c r="HF594" s="267"/>
      <c r="HG594" s="267"/>
      <c r="HH594" s="267"/>
      <c r="HI594" s="267"/>
      <c r="HJ594" s="267"/>
      <c r="HK594" s="267"/>
      <c r="HL594" s="267"/>
      <c r="HM594" s="267"/>
      <c r="HN594" s="267"/>
      <c r="HO594" s="267"/>
      <c r="HP594" s="267"/>
      <c r="HQ594" s="267"/>
      <c r="HR594" s="267"/>
      <c r="HS594" s="267"/>
      <c r="HT594" s="267"/>
      <c r="HU594" s="267"/>
      <c r="IH594" s="267"/>
      <c r="IK594" s="267"/>
      <c r="IN594" s="267"/>
      <c r="IQ594" s="267"/>
      <c r="IR594" s="267"/>
      <c r="IS594" s="267"/>
    </row>
    <row r="595" spans="10:253">
      <c r="J595" s="267"/>
      <c r="K595" s="267"/>
      <c r="L595" s="267"/>
      <c r="M595" s="267"/>
      <c r="N595" s="267"/>
      <c r="O595" s="267"/>
      <c r="P595" s="267"/>
      <c r="Q595" s="267"/>
      <c r="S595" s="267"/>
      <c r="T595" s="267"/>
      <c r="U595" s="267"/>
      <c r="V595" s="267"/>
      <c r="W595" s="264"/>
      <c r="Y595" s="267"/>
      <c r="Z595" s="267"/>
      <c r="AA595" s="267"/>
      <c r="AB595" s="267"/>
      <c r="AE595" s="267"/>
      <c r="AF595" s="267"/>
      <c r="AG595" s="267"/>
      <c r="AH595" s="267"/>
      <c r="AK595" s="267"/>
      <c r="AL595" s="267"/>
      <c r="AM595" s="267"/>
      <c r="AN595" s="267"/>
      <c r="AQ595" s="267"/>
      <c r="AR595" s="267"/>
      <c r="AS595" s="267"/>
      <c r="AT595" s="267"/>
      <c r="AW595" s="267"/>
      <c r="AX595" s="267"/>
      <c r="AY595" s="267"/>
      <c r="AZ595" s="267"/>
      <c r="BG595" s="269"/>
      <c r="BM595" s="269"/>
      <c r="BS595" s="269"/>
      <c r="BU595" s="267"/>
      <c r="BY595" s="267"/>
      <c r="CC595" s="267"/>
      <c r="CG595" s="267"/>
      <c r="CS595" s="267"/>
      <c r="CW595" s="270"/>
      <c r="CX595" s="267"/>
      <c r="DC595" s="267"/>
      <c r="DH595" s="267"/>
      <c r="DM595" s="267"/>
      <c r="DR595" s="267"/>
      <c r="DW595" s="267"/>
      <c r="EB595" s="267"/>
      <c r="EG595" s="267"/>
      <c r="EL595" s="267"/>
      <c r="EQ595" s="267"/>
      <c r="EU595" s="270"/>
      <c r="EV595" s="267"/>
      <c r="FC595" s="267"/>
      <c r="FD595" s="267"/>
      <c r="FE595" s="267"/>
      <c r="FF595" s="267"/>
      <c r="FG595" s="267"/>
      <c r="FL595" s="267"/>
      <c r="FM595" s="267"/>
      <c r="FN595" s="267"/>
      <c r="FO595" s="267"/>
      <c r="FP595" s="267"/>
      <c r="FQ595" s="264"/>
      <c r="FR595" s="264"/>
      <c r="FS595" s="264"/>
      <c r="FT595" s="264"/>
      <c r="FU595" s="267"/>
      <c r="FV595" s="267"/>
      <c r="FW595" s="267"/>
      <c r="FX595" s="267"/>
      <c r="FY595" s="267"/>
      <c r="GD595" s="267"/>
      <c r="GE595" s="267"/>
      <c r="GF595" s="267"/>
      <c r="GG595" s="267"/>
      <c r="GH595" s="267"/>
      <c r="GI595" s="264"/>
      <c r="GJ595" s="264"/>
      <c r="GK595" s="264"/>
      <c r="GL595" s="264"/>
      <c r="HD595" s="267"/>
      <c r="HE595" s="267"/>
      <c r="HF595" s="267"/>
      <c r="HG595" s="267"/>
      <c r="HH595" s="267"/>
      <c r="HI595" s="267"/>
      <c r="HJ595" s="267"/>
      <c r="HK595" s="267"/>
      <c r="HL595" s="267"/>
      <c r="HM595" s="267"/>
      <c r="HN595" s="267"/>
      <c r="HO595" s="267"/>
      <c r="HP595" s="267"/>
      <c r="HQ595" s="267"/>
      <c r="HR595" s="267"/>
      <c r="HS595" s="267"/>
      <c r="HT595" s="267"/>
      <c r="HU595" s="267"/>
      <c r="IH595" s="267"/>
      <c r="IK595" s="267"/>
      <c r="IN595" s="267"/>
      <c r="IQ595" s="267"/>
      <c r="IR595" s="267"/>
      <c r="IS595" s="267"/>
    </row>
    <row r="596" spans="10:253">
      <c r="J596" s="267"/>
      <c r="K596" s="267"/>
      <c r="L596" s="267"/>
      <c r="M596" s="267"/>
      <c r="N596" s="267"/>
      <c r="O596" s="267"/>
      <c r="P596" s="267"/>
      <c r="Q596" s="267"/>
      <c r="S596" s="267"/>
      <c r="T596" s="267"/>
      <c r="U596" s="267"/>
      <c r="V596" s="267"/>
      <c r="W596" s="264"/>
      <c r="Y596" s="267"/>
      <c r="Z596" s="267"/>
      <c r="AA596" s="267"/>
      <c r="AB596" s="267"/>
      <c r="AE596" s="267"/>
      <c r="AF596" s="267"/>
      <c r="AG596" s="267"/>
      <c r="AH596" s="267"/>
      <c r="AK596" s="267"/>
      <c r="AL596" s="267"/>
      <c r="AM596" s="267"/>
      <c r="AN596" s="267"/>
      <c r="AQ596" s="267"/>
      <c r="AR596" s="267"/>
      <c r="AS596" s="267"/>
      <c r="AT596" s="267"/>
      <c r="AW596" s="267"/>
      <c r="AX596" s="267"/>
      <c r="AY596" s="267"/>
      <c r="AZ596" s="267"/>
      <c r="BG596" s="269"/>
      <c r="BM596" s="269"/>
      <c r="BS596" s="269"/>
      <c r="BU596" s="267"/>
      <c r="BY596" s="267"/>
      <c r="CC596" s="267"/>
      <c r="CG596" s="267"/>
      <c r="CS596" s="267"/>
      <c r="CW596" s="270"/>
      <c r="CX596" s="267"/>
      <c r="DC596" s="267"/>
      <c r="DH596" s="267"/>
      <c r="DM596" s="267"/>
      <c r="DR596" s="267"/>
      <c r="DW596" s="267"/>
      <c r="EB596" s="267"/>
      <c r="EG596" s="267"/>
      <c r="EL596" s="267"/>
      <c r="EQ596" s="267"/>
      <c r="EU596" s="270"/>
      <c r="EV596" s="267"/>
      <c r="FC596" s="267"/>
      <c r="FD596" s="267"/>
      <c r="FE596" s="267"/>
      <c r="FF596" s="267"/>
      <c r="FG596" s="267"/>
      <c r="FL596" s="267"/>
      <c r="FM596" s="267"/>
      <c r="FN596" s="267"/>
      <c r="FO596" s="267"/>
      <c r="FP596" s="267"/>
      <c r="FQ596" s="264"/>
      <c r="FR596" s="264"/>
      <c r="FS596" s="264"/>
      <c r="FT596" s="264"/>
      <c r="FU596" s="267"/>
      <c r="FV596" s="267"/>
      <c r="FW596" s="267"/>
      <c r="FX596" s="267"/>
      <c r="FY596" s="267"/>
      <c r="GD596" s="267"/>
      <c r="GE596" s="267"/>
      <c r="GF596" s="267"/>
      <c r="GG596" s="267"/>
      <c r="GH596" s="267"/>
      <c r="GI596" s="264"/>
      <c r="GJ596" s="264"/>
      <c r="GK596" s="264"/>
      <c r="GL596" s="264"/>
      <c r="HD596" s="267"/>
      <c r="HE596" s="267"/>
      <c r="HF596" s="267"/>
      <c r="HG596" s="267"/>
      <c r="HH596" s="267"/>
      <c r="HI596" s="267"/>
      <c r="HJ596" s="267"/>
      <c r="HK596" s="267"/>
      <c r="HL596" s="267"/>
      <c r="HM596" s="267"/>
      <c r="HN596" s="267"/>
      <c r="HO596" s="267"/>
      <c r="HP596" s="267"/>
      <c r="HQ596" s="267"/>
      <c r="HR596" s="267"/>
      <c r="HS596" s="267"/>
      <c r="HT596" s="267"/>
      <c r="HU596" s="267"/>
      <c r="IH596" s="267"/>
      <c r="IK596" s="267"/>
      <c r="IN596" s="267"/>
      <c r="IQ596" s="267"/>
      <c r="IR596" s="267"/>
      <c r="IS596" s="267"/>
    </row>
    <row r="597" spans="10:253">
      <c r="J597" s="267"/>
      <c r="K597" s="267"/>
      <c r="L597" s="267"/>
      <c r="M597" s="267"/>
      <c r="N597" s="267"/>
      <c r="O597" s="267"/>
      <c r="P597" s="267"/>
      <c r="Q597" s="267"/>
      <c r="S597" s="267"/>
      <c r="T597" s="267"/>
      <c r="U597" s="267"/>
      <c r="V597" s="267"/>
      <c r="W597" s="264"/>
      <c r="Y597" s="267"/>
      <c r="Z597" s="267"/>
      <c r="AA597" s="267"/>
      <c r="AB597" s="267"/>
      <c r="AE597" s="267"/>
      <c r="AF597" s="267"/>
      <c r="AG597" s="267"/>
      <c r="AH597" s="267"/>
      <c r="AK597" s="267"/>
      <c r="AL597" s="267"/>
      <c r="AM597" s="267"/>
      <c r="AN597" s="267"/>
      <c r="AQ597" s="267"/>
      <c r="AR597" s="267"/>
      <c r="AS597" s="267"/>
      <c r="AT597" s="267"/>
      <c r="AW597" s="267"/>
      <c r="AX597" s="267"/>
      <c r="AY597" s="267"/>
      <c r="AZ597" s="267"/>
      <c r="BG597" s="269"/>
      <c r="BM597" s="269"/>
      <c r="BS597" s="269"/>
      <c r="BU597" s="267"/>
      <c r="BY597" s="267"/>
      <c r="CC597" s="267"/>
      <c r="CG597" s="267"/>
      <c r="CS597" s="267"/>
      <c r="CW597" s="270"/>
      <c r="CX597" s="267"/>
      <c r="DC597" s="267"/>
      <c r="DH597" s="267"/>
      <c r="DM597" s="267"/>
      <c r="DR597" s="267"/>
      <c r="DW597" s="267"/>
      <c r="EB597" s="267"/>
      <c r="EG597" s="267"/>
      <c r="EL597" s="267"/>
      <c r="EQ597" s="267"/>
      <c r="EU597" s="270"/>
      <c r="EV597" s="267"/>
      <c r="FC597" s="267"/>
      <c r="FD597" s="267"/>
      <c r="FE597" s="267"/>
      <c r="FF597" s="267"/>
      <c r="FG597" s="267"/>
      <c r="FL597" s="267"/>
      <c r="FM597" s="267"/>
      <c r="FN597" s="267"/>
      <c r="FO597" s="267"/>
      <c r="FP597" s="267"/>
      <c r="FQ597" s="264"/>
      <c r="FR597" s="264"/>
      <c r="FS597" s="264"/>
      <c r="FT597" s="264"/>
      <c r="FU597" s="267"/>
      <c r="FV597" s="267"/>
      <c r="FW597" s="267"/>
      <c r="FX597" s="267"/>
      <c r="FY597" s="267"/>
      <c r="GD597" s="267"/>
      <c r="GE597" s="267"/>
      <c r="GF597" s="267"/>
      <c r="GG597" s="267"/>
      <c r="GH597" s="267"/>
      <c r="GI597" s="264"/>
      <c r="GJ597" s="264"/>
      <c r="GK597" s="264"/>
      <c r="GL597" s="264"/>
      <c r="HD597" s="267"/>
      <c r="HE597" s="267"/>
      <c r="HF597" s="267"/>
      <c r="HG597" s="267"/>
      <c r="HH597" s="267"/>
      <c r="HI597" s="267"/>
      <c r="HJ597" s="267"/>
      <c r="HK597" s="267"/>
      <c r="HL597" s="267"/>
      <c r="HM597" s="267"/>
      <c r="HN597" s="267"/>
      <c r="HO597" s="267"/>
      <c r="HP597" s="267"/>
      <c r="HQ597" s="267"/>
      <c r="HR597" s="267"/>
      <c r="HS597" s="267"/>
      <c r="HT597" s="267"/>
      <c r="HU597" s="267"/>
      <c r="IH597" s="267"/>
      <c r="IK597" s="267"/>
      <c r="IN597" s="267"/>
      <c r="IQ597" s="267"/>
      <c r="IR597" s="267"/>
      <c r="IS597" s="267"/>
    </row>
    <row r="598" spans="10:253">
      <c r="J598" s="267"/>
      <c r="K598" s="267"/>
      <c r="L598" s="267"/>
      <c r="M598" s="267"/>
      <c r="N598" s="267"/>
      <c r="O598" s="267"/>
      <c r="P598" s="267"/>
      <c r="Q598" s="267"/>
      <c r="S598" s="267"/>
      <c r="T598" s="267"/>
      <c r="U598" s="267"/>
      <c r="V598" s="267"/>
      <c r="W598" s="264"/>
      <c r="Y598" s="267"/>
      <c r="Z598" s="267"/>
      <c r="AA598" s="267"/>
      <c r="AB598" s="267"/>
      <c r="AE598" s="267"/>
      <c r="AF598" s="267"/>
      <c r="AG598" s="267"/>
      <c r="AH598" s="267"/>
      <c r="AK598" s="267"/>
      <c r="AL598" s="267"/>
      <c r="AM598" s="267"/>
      <c r="AN598" s="267"/>
      <c r="AQ598" s="267"/>
      <c r="AR598" s="267"/>
      <c r="AS598" s="267"/>
      <c r="AT598" s="267"/>
      <c r="AW598" s="267"/>
      <c r="AX598" s="267"/>
      <c r="AY598" s="267"/>
      <c r="AZ598" s="267"/>
      <c r="BG598" s="269"/>
      <c r="BM598" s="269"/>
      <c r="BS598" s="269"/>
      <c r="BU598" s="267"/>
      <c r="BY598" s="267"/>
      <c r="CC598" s="267"/>
      <c r="CG598" s="267"/>
      <c r="CS598" s="267"/>
      <c r="CW598" s="270"/>
      <c r="CX598" s="267"/>
      <c r="DC598" s="267"/>
      <c r="DH598" s="267"/>
      <c r="DM598" s="267"/>
      <c r="DR598" s="267"/>
      <c r="DW598" s="267"/>
      <c r="EB598" s="267"/>
      <c r="EG598" s="267"/>
      <c r="EL598" s="267"/>
      <c r="EQ598" s="267"/>
      <c r="EU598" s="270"/>
      <c r="EV598" s="267"/>
      <c r="FC598" s="267"/>
      <c r="FD598" s="267"/>
      <c r="FE598" s="267"/>
      <c r="FF598" s="267"/>
      <c r="FG598" s="267"/>
      <c r="FL598" s="267"/>
      <c r="FM598" s="267"/>
      <c r="FN598" s="267"/>
      <c r="FO598" s="267"/>
      <c r="FP598" s="267"/>
      <c r="FQ598" s="264"/>
      <c r="FR598" s="264"/>
      <c r="FS598" s="264"/>
      <c r="FT598" s="264"/>
      <c r="FU598" s="267"/>
      <c r="FV598" s="267"/>
      <c r="FW598" s="267"/>
      <c r="FX598" s="267"/>
      <c r="FY598" s="267"/>
      <c r="GD598" s="267"/>
      <c r="GE598" s="267"/>
      <c r="GF598" s="267"/>
      <c r="GG598" s="267"/>
      <c r="GH598" s="267"/>
      <c r="GI598" s="264"/>
      <c r="GJ598" s="264"/>
      <c r="GK598" s="264"/>
      <c r="GL598" s="264"/>
      <c r="HD598" s="267"/>
      <c r="HE598" s="267"/>
      <c r="HF598" s="267"/>
      <c r="HG598" s="267"/>
      <c r="HH598" s="267"/>
      <c r="HI598" s="267"/>
      <c r="HJ598" s="267"/>
      <c r="HK598" s="267"/>
      <c r="HL598" s="267"/>
      <c r="HM598" s="267"/>
      <c r="HN598" s="267"/>
      <c r="HO598" s="267"/>
      <c r="HP598" s="267"/>
      <c r="HQ598" s="267"/>
      <c r="HR598" s="267"/>
      <c r="HS598" s="267"/>
      <c r="HT598" s="267"/>
      <c r="HU598" s="267"/>
      <c r="IH598" s="267"/>
      <c r="IK598" s="267"/>
      <c r="IN598" s="267"/>
      <c r="IQ598" s="267"/>
      <c r="IR598" s="267"/>
      <c r="IS598" s="267"/>
    </row>
    <row r="599" spans="10:253">
      <c r="J599" s="267"/>
      <c r="K599" s="267"/>
      <c r="L599" s="267"/>
      <c r="M599" s="267"/>
      <c r="N599" s="267"/>
      <c r="O599" s="267"/>
      <c r="P599" s="267"/>
      <c r="Q599" s="267"/>
      <c r="S599" s="267"/>
      <c r="T599" s="267"/>
      <c r="U599" s="267"/>
      <c r="V599" s="267"/>
      <c r="W599" s="264"/>
      <c r="Y599" s="267"/>
      <c r="Z599" s="267"/>
      <c r="AA599" s="267"/>
      <c r="AB599" s="267"/>
      <c r="AE599" s="267"/>
      <c r="AF599" s="267"/>
      <c r="AG599" s="267"/>
      <c r="AH599" s="267"/>
      <c r="AK599" s="267"/>
      <c r="AL599" s="267"/>
      <c r="AM599" s="267"/>
      <c r="AN599" s="267"/>
      <c r="AQ599" s="267"/>
      <c r="AR599" s="267"/>
      <c r="AS599" s="267"/>
      <c r="AT599" s="267"/>
      <c r="AW599" s="267"/>
      <c r="AX599" s="267"/>
      <c r="AY599" s="267"/>
      <c r="AZ599" s="267"/>
      <c r="BG599" s="269"/>
      <c r="BM599" s="269"/>
      <c r="BS599" s="269"/>
      <c r="BU599" s="267"/>
      <c r="BY599" s="267"/>
      <c r="CC599" s="267"/>
      <c r="CG599" s="267"/>
      <c r="CS599" s="267"/>
      <c r="CW599" s="270"/>
      <c r="CX599" s="267"/>
      <c r="DC599" s="267"/>
      <c r="DH599" s="267"/>
      <c r="DM599" s="267"/>
      <c r="DR599" s="267"/>
      <c r="DW599" s="267"/>
      <c r="EB599" s="267"/>
      <c r="EG599" s="267"/>
      <c r="EL599" s="267"/>
      <c r="EQ599" s="267"/>
      <c r="EU599" s="270"/>
      <c r="EV599" s="267"/>
      <c r="FC599" s="267"/>
      <c r="FD599" s="267"/>
      <c r="FE599" s="267"/>
      <c r="FF599" s="267"/>
      <c r="FG599" s="267"/>
      <c r="FL599" s="267"/>
      <c r="FM599" s="267"/>
      <c r="FN599" s="267"/>
      <c r="FO599" s="267"/>
      <c r="FP599" s="267"/>
      <c r="FQ599" s="264"/>
      <c r="FR599" s="264"/>
      <c r="FS599" s="264"/>
      <c r="FT599" s="264"/>
      <c r="FU599" s="267"/>
      <c r="FV599" s="267"/>
      <c r="FW599" s="267"/>
      <c r="FX599" s="267"/>
      <c r="FY599" s="267"/>
      <c r="GD599" s="267"/>
      <c r="GE599" s="267"/>
      <c r="GF599" s="267"/>
      <c r="GG599" s="267"/>
      <c r="GH599" s="267"/>
      <c r="GI599" s="264"/>
      <c r="GJ599" s="264"/>
      <c r="GK599" s="264"/>
      <c r="GL599" s="264"/>
      <c r="HD599" s="267"/>
      <c r="HE599" s="267"/>
      <c r="HF599" s="267"/>
      <c r="HG599" s="267"/>
      <c r="HH599" s="267"/>
      <c r="HI599" s="267"/>
      <c r="HJ599" s="267"/>
      <c r="HK599" s="267"/>
      <c r="HL599" s="267"/>
      <c r="HM599" s="267"/>
      <c r="HN599" s="267"/>
      <c r="HO599" s="267"/>
      <c r="HP599" s="267"/>
      <c r="HQ599" s="267"/>
      <c r="HR599" s="267"/>
      <c r="HS599" s="267"/>
      <c r="HT599" s="267"/>
      <c r="HU599" s="267"/>
      <c r="IH599" s="267"/>
      <c r="IK599" s="267"/>
      <c r="IN599" s="267"/>
      <c r="IQ599" s="267"/>
      <c r="IR599" s="267"/>
      <c r="IS599" s="267"/>
    </row>
    <row r="600" spans="10:253">
      <c r="J600" s="267"/>
      <c r="K600" s="267"/>
      <c r="L600" s="267"/>
      <c r="M600" s="267"/>
      <c r="N600" s="267"/>
      <c r="O600" s="267"/>
      <c r="P600" s="267"/>
      <c r="Q600" s="267"/>
      <c r="S600" s="267"/>
      <c r="T600" s="267"/>
      <c r="U600" s="267"/>
      <c r="V600" s="267"/>
      <c r="W600" s="264"/>
      <c r="Y600" s="267"/>
      <c r="Z600" s="267"/>
      <c r="AA600" s="267"/>
      <c r="AB600" s="267"/>
      <c r="AE600" s="267"/>
      <c r="AF600" s="267"/>
      <c r="AG600" s="267"/>
      <c r="AH600" s="267"/>
      <c r="AK600" s="267"/>
      <c r="AL600" s="267"/>
      <c r="AM600" s="267"/>
      <c r="AN600" s="267"/>
      <c r="AQ600" s="267"/>
      <c r="AR600" s="267"/>
      <c r="AS600" s="267"/>
      <c r="AT600" s="267"/>
      <c r="AW600" s="267"/>
      <c r="AX600" s="267"/>
      <c r="AY600" s="267"/>
      <c r="AZ600" s="267"/>
      <c r="BG600" s="269"/>
      <c r="BM600" s="269"/>
      <c r="BS600" s="269"/>
      <c r="BU600" s="267"/>
      <c r="BY600" s="267"/>
      <c r="CC600" s="267"/>
      <c r="CG600" s="267"/>
      <c r="CS600" s="267"/>
      <c r="CW600" s="270"/>
      <c r="CX600" s="267"/>
      <c r="DC600" s="267"/>
      <c r="DH600" s="267"/>
      <c r="DM600" s="267"/>
      <c r="DR600" s="267"/>
      <c r="DW600" s="267"/>
      <c r="EB600" s="267"/>
      <c r="EG600" s="267"/>
      <c r="EL600" s="267"/>
      <c r="EQ600" s="267"/>
      <c r="EU600" s="270"/>
      <c r="EV600" s="267"/>
      <c r="FC600" s="267"/>
      <c r="FD600" s="267"/>
      <c r="FE600" s="267"/>
      <c r="FF600" s="267"/>
      <c r="FG600" s="267"/>
      <c r="FL600" s="267"/>
      <c r="FM600" s="267"/>
      <c r="FN600" s="267"/>
      <c r="FO600" s="267"/>
      <c r="FP600" s="267"/>
      <c r="FQ600" s="264"/>
      <c r="FR600" s="264"/>
      <c r="FS600" s="264"/>
      <c r="FT600" s="264"/>
      <c r="FU600" s="267"/>
      <c r="FV600" s="267"/>
      <c r="FW600" s="267"/>
      <c r="FX600" s="267"/>
      <c r="FY600" s="267"/>
      <c r="GD600" s="267"/>
      <c r="GE600" s="267"/>
      <c r="GF600" s="267"/>
      <c r="GG600" s="267"/>
      <c r="GH600" s="267"/>
      <c r="GI600" s="264"/>
      <c r="GJ600" s="264"/>
      <c r="GK600" s="264"/>
      <c r="GL600" s="264"/>
      <c r="HD600" s="267"/>
      <c r="HE600" s="267"/>
      <c r="HF600" s="267"/>
      <c r="HG600" s="267"/>
      <c r="HH600" s="267"/>
      <c r="HI600" s="267"/>
      <c r="HJ600" s="267"/>
      <c r="HK600" s="267"/>
      <c r="HL600" s="267"/>
      <c r="HM600" s="267"/>
      <c r="HN600" s="267"/>
      <c r="HO600" s="267"/>
      <c r="HP600" s="267"/>
      <c r="HQ600" s="267"/>
      <c r="HR600" s="267"/>
      <c r="HS600" s="267"/>
      <c r="HT600" s="267"/>
      <c r="HU600" s="267"/>
      <c r="IH600" s="267"/>
      <c r="IK600" s="267"/>
      <c r="IN600" s="267"/>
      <c r="IQ600" s="267"/>
      <c r="IR600" s="267"/>
      <c r="IS600" s="267"/>
    </row>
    <row r="601" spans="10:253">
      <c r="J601" s="267"/>
      <c r="K601" s="267"/>
      <c r="L601" s="267"/>
      <c r="M601" s="267"/>
      <c r="N601" s="267"/>
      <c r="O601" s="267"/>
      <c r="P601" s="267"/>
      <c r="Q601" s="267"/>
      <c r="S601" s="267"/>
      <c r="T601" s="267"/>
      <c r="U601" s="267"/>
      <c r="V601" s="267"/>
      <c r="W601" s="264"/>
      <c r="Y601" s="267"/>
      <c r="Z601" s="267"/>
      <c r="AA601" s="267"/>
      <c r="AB601" s="267"/>
      <c r="AE601" s="267"/>
      <c r="AF601" s="267"/>
      <c r="AG601" s="267"/>
      <c r="AH601" s="267"/>
      <c r="AK601" s="267"/>
      <c r="AL601" s="267"/>
      <c r="AM601" s="267"/>
      <c r="AN601" s="267"/>
      <c r="AQ601" s="267"/>
      <c r="AR601" s="267"/>
      <c r="AS601" s="267"/>
      <c r="AT601" s="267"/>
      <c r="AW601" s="267"/>
      <c r="AX601" s="267"/>
      <c r="AY601" s="267"/>
      <c r="AZ601" s="267"/>
      <c r="BG601" s="269"/>
      <c r="BM601" s="269"/>
      <c r="BS601" s="269"/>
      <c r="BU601" s="267"/>
      <c r="BY601" s="267"/>
      <c r="CC601" s="267"/>
      <c r="CG601" s="267"/>
      <c r="CS601" s="267"/>
      <c r="CW601" s="270"/>
      <c r="CX601" s="267"/>
      <c r="DC601" s="267"/>
      <c r="DH601" s="267"/>
      <c r="DM601" s="267"/>
      <c r="DR601" s="267"/>
      <c r="DW601" s="267"/>
      <c r="EB601" s="267"/>
      <c r="EG601" s="267"/>
      <c r="EL601" s="267"/>
      <c r="EQ601" s="267"/>
      <c r="EU601" s="270"/>
      <c r="EV601" s="267"/>
      <c r="FC601" s="267"/>
      <c r="FD601" s="267"/>
      <c r="FE601" s="267"/>
      <c r="FF601" s="267"/>
      <c r="FG601" s="267"/>
      <c r="FL601" s="267"/>
      <c r="FM601" s="267"/>
      <c r="FN601" s="267"/>
      <c r="FO601" s="267"/>
      <c r="FP601" s="267"/>
      <c r="FQ601" s="264"/>
      <c r="FR601" s="264"/>
      <c r="FS601" s="264"/>
      <c r="FT601" s="264"/>
      <c r="FU601" s="267"/>
      <c r="FV601" s="267"/>
      <c r="FW601" s="267"/>
      <c r="FX601" s="267"/>
      <c r="FY601" s="267"/>
      <c r="GD601" s="267"/>
      <c r="GE601" s="267"/>
      <c r="GF601" s="267"/>
      <c r="GG601" s="267"/>
      <c r="GH601" s="267"/>
      <c r="GI601" s="264"/>
      <c r="GJ601" s="264"/>
      <c r="GK601" s="264"/>
      <c r="GL601" s="264"/>
      <c r="HD601" s="267"/>
      <c r="HE601" s="267"/>
      <c r="HF601" s="267"/>
      <c r="HG601" s="267"/>
      <c r="HH601" s="267"/>
      <c r="HI601" s="267"/>
      <c r="HJ601" s="267"/>
      <c r="HK601" s="267"/>
      <c r="HL601" s="267"/>
      <c r="HM601" s="267"/>
      <c r="HN601" s="267"/>
      <c r="HO601" s="267"/>
      <c r="HP601" s="267"/>
      <c r="HQ601" s="267"/>
      <c r="HR601" s="267"/>
      <c r="HS601" s="267"/>
      <c r="HT601" s="267"/>
      <c r="HU601" s="267"/>
      <c r="IH601" s="267"/>
      <c r="IK601" s="267"/>
      <c r="IN601" s="267"/>
      <c r="IQ601" s="267"/>
      <c r="IR601" s="267"/>
      <c r="IS601" s="267"/>
    </row>
    <row r="602" spans="10:253">
      <c r="J602" s="267"/>
      <c r="K602" s="267"/>
      <c r="L602" s="267"/>
      <c r="M602" s="267"/>
      <c r="N602" s="267"/>
      <c r="O602" s="267"/>
      <c r="P602" s="267"/>
      <c r="Q602" s="267"/>
      <c r="S602" s="267"/>
      <c r="T602" s="267"/>
      <c r="U602" s="267"/>
      <c r="V602" s="267"/>
      <c r="W602" s="264"/>
      <c r="Y602" s="267"/>
      <c r="Z602" s="267"/>
      <c r="AA602" s="267"/>
      <c r="AB602" s="267"/>
      <c r="AE602" s="267"/>
      <c r="AF602" s="267"/>
      <c r="AG602" s="267"/>
      <c r="AH602" s="267"/>
      <c r="AK602" s="267"/>
      <c r="AL602" s="267"/>
      <c r="AM602" s="267"/>
      <c r="AN602" s="267"/>
      <c r="AQ602" s="267"/>
      <c r="AR602" s="267"/>
      <c r="AS602" s="267"/>
      <c r="AT602" s="267"/>
      <c r="AW602" s="267"/>
      <c r="AX602" s="267"/>
      <c r="AY602" s="267"/>
      <c r="AZ602" s="267"/>
      <c r="BG602" s="269"/>
      <c r="BM602" s="269"/>
      <c r="BS602" s="269"/>
      <c r="BU602" s="267"/>
      <c r="BY602" s="267"/>
      <c r="CC602" s="267"/>
      <c r="CG602" s="267"/>
      <c r="CS602" s="267"/>
      <c r="CW602" s="270"/>
      <c r="CX602" s="267"/>
      <c r="DC602" s="267"/>
      <c r="DH602" s="267"/>
      <c r="DM602" s="267"/>
      <c r="DR602" s="267"/>
      <c r="DW602" s="267"/>
      <c r="EB602" s="267"/>
      <c r="EG602" s="267"/>
      <c r="EL602" s="267"/>
      <c r="EQ602" s="267"/>
      <c r="EU602" s="270"/>
      <c r="EV602" s="267"/>
      <c r="FC602" s="267"/>
      <c r="FD602" s="267"/>
      <c r="FE602" s="267"/>
      <c r="FF602" s="267"/>
      <c r="FG602" s="267"/>
      <c r="FL602" s="267"/>
      <c r="FM602" s="267"/>
      <c r="FN602" s="267"/>
      <c r="FO602" s="267"/>
      <c r="FP602" s="267"/>
      <c r="FQ602" s="264"/>
      <c r="FR602" s="264"/>
      <c r="FS602" s="264"/>
      <c r="FT602" s="264"/>
      <c r="FU602" s="267"/>
      <c r="FV602" s="267"/>
      <c r="FW602" s="267"/>
      <c r="FX602" s="267"/>
      <c r="FY602" s="267"/>
      <c r="GD602" s="267"/>
      <c r="GE602" s="267"/>
      <c r="GF602" s="267"/>
      <c r="GG602" s="267"/>
      <c r="GH602" s="267"/>
      <c r="GI602" s="264"/>
      <c r="GJ602" s="264"/>
      <c r="GK602" s="264"/>
      <c r="GL602" s="264"/>
      <c r="HD602" s="267"/>
      <c r="HE602" s="267"/>
      <c r="HF602" s="267"/>
      <c r="HG602" s="267"/>
      <c r="HH602" s="267"/>
      <c r="HI602" s="267"/>
      <c r="HJ602" s="267"/>
      <c r="HK602" s="267"/>
      <c r="HL602" s="267"/>
      <c r="HM602" s="267"/>
      <c r="HN602" s="267"/>
      <c r="HO602" s="267"/>
      <c r="HP602" s="267"/>
      <c r="HQ602" s="267"/>
      <c r="HR602" s="267"/>
      <c r="HS602" s="267"/>
      <c r="HT602" s="267"/>
      <c r="HU602" s="267"/>
      <c r="IH602" s="267"/>
      <c r="IK602" s="267"/>
      <c r="IN602" s="267"/>
      <c r="IQ602" s="267"/>
      <c r="IR602" s="267"/>
      <c r="IS602" s="267"/>
    </row>
    <row r="603" spans="10:253">
      <c r="J603" s="267"/>
      <c r="K603" s="267"/>
      <c r="L603" s="267"/>
      <c r="M603" s="267"/>
      <c r="N603" s="267"/>
      <c r="O603" s="267"/>
      <c r="P603" s="267"/>
      <c r="Q603" s="267"/>
      <c r="S603" s="267"/>
      <c r="T603" s="267"/>
      <c r="U603" s="267"/>
      <c r="V603" s="267"/>
      <c r="W603" s="264"/>
      <c r="Y603" s="267"/>
      <c r="Z603" s="267"/>
      <c r="AA603" s="267"/>
      <c r="AB603" s="267"/>
      <c r="AE603" s="267"/>
      <c r="AF603" s="267"/>
      <c r="AG603" s="267"/>
      <c r="AH603" s="267"/>
      <c r="AK603" s="267"/>
      <c r="AL603" s="267"/>
      <c r="AM603" s="267"/>
      <c r="AN603" s="267"/>
      <c r="AQ603" s="267"/>
      <c r="AR603" s="267"/>
      <c r="AS603" s="267"/>
      <c r="AT603" s="267"/>
      <c r="AW603" s="267"/>
      <c r="AX603" s="267"/>
      <c r="AY603" s="267"/>
      <c r="AZ603" s="267"/>
      <c r="BG603" s="269"/>
      <c r="BM603" s="269"/>
      <c r="BS603" s="269"/>
      <c r="BU603" s="267"/>
      <c r="BY603" s="267"/>
      <c r="CC603" s="267"/>
      <c r="CG603" s="267"/>
      <c r="CS603" s="267"/>
      <c r="CW603" s="270"/>
      <c r="CX603" s="267"/>
      <c r="DC603" s="267"/>
      <c r="DH603" s="267"/>
      <c r="DM603" s="267"/>
      <c r="DR603" s="267"/>
      <c r="DW603" s="267"/>
      <c r="EB603" s="267"/>
      <c r="EG603" s="267"/>
      <c r="EL603" s="267"/>
      <c r="EQ603" s="267"/>
      <c r="EU603" s="270"/>
      <c r="EV603" s="267"/>
      <c r="FC603" s="267"/>
      <c r="FD603" s="267"/>
      <c r="FE603" s="267"/>
      <c r="FF603" s="267"/>
      <c r="FG603" s="267"/>
      <c r="FL603" s="267"/>
      <c r="FM603" s="267"/>
      <c r="FN603" s="267"/>
      <c r="FO603" s="267"/>
      <c r="FP603" s="267"/>
      <c r="FQ603" s="264"/>
      <c r="FR603" s="264"/>
      <c r="FS603" s="264"/>
      <c r="FT603" s="264"/>
      <c r="FU603" s="267"/>
      <c r="FV603" s="267"/>
      <c r="FW603" s="267"/>
      <c r="FX603" s="267"/>
      <c r="FY603" s="267"/>
      <c r="GD603" s="267"/>
      <c r="GE603" s="267"/>
      <c r="GF603" s="267"/>
      <c r="GG603" s="267"/>
      <c r="GH603" s="267"/>
      <c r="GI603" s="264"/>
      <c r="GJ603" s="264"/>
      <c r="GK603" s="264"/>
      <c r="GL603" s="264"/>
      <c r="HD603" s="267"/>
      <c r="HE603" s="267"/>
      <c r="HF603" s="267"/>
      <c r="HG603" s="267"/>
      <c r="HH603" s="267"/>
      <c r="HI603" s="267"/>
      <c r="HJ603" s="267"/>
      <c r="HK603" s="267"/>
      <c r="HL603" s="267"/>
      <c r="HM603" s="267"/>
      <c r="HN603" s="267"/>
      <c r="HO603" s="267"/>
      <c r="HP603" s="267"/>
      <c r="HQ603" s="267"/>
      <c r="HR603" s="267"/>
      <c r="HS603" s="267"/>
      <c r="HT603" s="267"/>
      <c r="HU603" s="267"/>
      <c r="IH603" s="267"/>
      <c r="IK603" s="267"/>
      <c r="IN603" s="267"/>
      <c r="IQ603" s="267"/>
      <c r="IR603" s="267"/>
      <c r="IS603" s="267"/>
    </row>
    <row r="604" spans="10:253">
      <c r="J604" s="267"/>
      <c r="K604" s="267"/>
      <c r="L604" s="267"/>
      <c r="M604" s="267"/>
      <c r="N604" s="267"/>
      <c r="O604" s="267"/>
      <c r="P604" s="267"/>
      <c r="Q604" s="267"/>
      <c r="S604" s="267"/>
      <c r="T604" s="267"/>
      <c r="U604" s="267"/>
      <c r="V604" s="267"/>
      <c r="W604" s="264"/>
      <c r="Y604" s="267"/>
      <c r="Z604" s="267"/>
      <c r="AA604" s="267"/>
      <c r="AB604" s="267"/>
      <c r="AE604" s="267"/>
      <c r="AF604" s="267"/>
      <c r="AG604" s="267"/>
      <c r="AH604" s="267"/>
      <c r="AK604" s="267"/>
      <c r="AL604" s="267"/>
      <c r="AM604" s="267"/>
      <c r="AN604" s="267"/>
      <c r="AQ604" s="267"/>
      <c r="AR604" s="267"/>
      <c r="AS604" s="267"/>
      <c r="AT604" s="267"/>
      <c r="AW604" s="267"/>
      <c r="AX604" s="267"/>
      <c r="AY604" s="267"/>
      <c r="AZ604" s="267"/>
      <c r="BG604" s="269"/>
      <c r="BM604" s="269"/>
      <c r="BS604" s="269"/>
      <c r="BU604" s="267"/>
      <c r="BY604" s="267"/>
      <c r="CC604" s="267"/>
      <c r="CG604" s="267"/>
      <c r="CS604" s="267"/>
      <c r="CW604" s="270"/>
      <c r="CX604" s="267"/>
      <c r="DC604" s="267"/>
      <c r="DH604" s="267"/>
      <c r="DM604" s="267"/>
      <c r="DR604" s="267"/>
      <c r="DW604" s="267"/>
      <c r="EB604" s="267"/>
      <c r="EG604" s="267"/>
      <c r="EL604" s="267"/>
      <c r="EQ604" s="267"/>
      <c r="EU604" s="270"/>
      <c r="EV604" s="267"/>
      <c r="FC604" s="267"/>
      <c r="FD604" s="267"/>
      <c r="FE604" s="267"/>
      <c r="FF604" s="267"/>
      <c r="FG604" s="267"/>
      <c r="FL604" s="267"/>
      <c r="FM604" s="267"/>
      <c r="FN604" s="267"/>
      <c r="FO604" s="267"/>
      <c r="FP604" s="267"/>
      <c r="FQ604" s="264"/>
      <c r="FR604" s="264"/>
      <c r="FS604" s="264"/>
      <c r="FT604" s="264"/>
      <c r="FU604" s="267"/>
      <c r="FV604" s="267"/>
      <c r="FW604" s="267"/>
      <c r="FX604" s="267"/>
      <c r="FY604" s="267"/>
      <c r="GD604" s="267"/>
      <c r="GE604" s="267"/>
      <c r="GF604" s="267"/>
      <c r="GG604" s="267"/>
      <c r="GH604" s="267"/>
      <c r="GI604" s="264"/>
      <c r="GJ604" s="264"/>
      <c r="GK604" s="264"/>
      <c r="GL604" s="264"/>
      <c r="HD604" s="267"/>
      <c r="HE604" s="267"/>
      <c r="HF604" s="267"/>
      <c r="HG604" s="267"/>
      <c r="HH604" s="267"/>
      <c r="HI604" s="267"/>
      <c r="HJ604" s="267"/>
      <c r="HK604" s="267"/>
      <c r="HL604" s="267"/>
      <c r="HM604" s="267"/>
      <c r="HN604" s="267"/>
      <c r="HO604" s="267"/>
      <c r="HP604" s="267"/>
      <c r="HQ604" s="267"/>
      <c r="HR604" s="267"/>
      <c r="HS604" s="267"/>
      <c r="HT604" s="267"/>
      <c r="HU604" s="267"/>
      <c r="IH604" s="267"/>
      <c r="IK604" s="267"/>
      <c r="IN604" s="267"/>
      <c r="IQ604" s="267"/>
      <c r="IR604" s="267"/>
      <c r="IS604" s="267"/>
    </row>
    <row r="605" spans="10:253">
      <c r="J605" s="267"/>
      <c r="K605" s="267"/>
      <c r="L605" s="267"/>
      <c r="M605" s="267"/>
      <c r="N605" s="267"/>
      <c r="O605" s="267"/>
      <c r="P605" s="267"/>
      <c r="Q605" s="267"/>
      <c r="S605" s="267"/>
      <c r="T605" s="267"/>
      <c r="U605" s="267"/>
      <c r="V605" s="267"/>
      <c r="W605" s="264"/>
      <c r="Y605" s="267"/>
      <c r="Z605" s="267"/>
      <c r="AA605" s="267"/>
      <c r="AB605" s="267"/>
      <c r="AE605" s="267"/>
      <c r="AF605" s="267"/>
      <c r="AG605" s="267"/>
      <c r="AH605" s="267"/>
      <c r="AK605" s="267"/>
      <c r="AL605" s="267"/>
      <c r="AM605" s="267"/>
      <c r="AN605" s="267"/>
      <c r="AQ605" s="267"/>
      <c r="AR605" s="267"/>
      <c r="AS605" s="267"/>
      <c r="AT605" s="267"/>
      <c r="AW605" s="267"/>
      <c r="AX605" s="267"/>
      <c r="AY605" s="267"/>
      <c r="AZ605" s="267"/>
      <c r="BG605" s="269"/>
      <c r="BM605" s="269"/>
      <c r="BS605" s="269"/>
      <c r="BU605" s="267"/>
      <c r="BY605" s="267"/>
      <c r="CC605" s="267"/>
      <c r="CG605" s="267"/>
      <c r="CS605" s="267"/>
      <c r="CW605" s="270"/>
      <c r="CX605" s="267"/>
      <c r="DC605" s="267"/>
      <c r="DH605" s="267"/>
      <c r="DM605" s="267"/>
      <c r="DR605" s="267"/>
      <c r="DW605" s="267"/>
      <c r="EB605" s="267"/>
      <c r="EG605" s="267"/>
      <c r="EL605" s="267"/>
      <c r="EQ605" s="267"/>
      <c r="EU605" s="270"/>
      <c r="EV605" s="267"/>
      <c r="FC605" s="267"/>
      <c r="FD605" s="267"/>
      <c r="FE605" s="267"/>
      <c r="FF605" s="267"/>
      <c r="FG605" s="267"/>
      <c r="FL605" s="267"/>
      <c r="FM605" s="267"/>
      <c r="FN605" s="267"/>
      <c r="FO605" s="267"/>
      <c r="FP605" s="267"/>
      <c r="FQ605" s="264"/>
      <c r="FR605" s="264"/>
      <c r="FS605" s="264"/>
      <c r="FT605" s="264"/>
      <c r="FU605" s="267"/>
      <c r="FV605" s="267"/>
      <c r="FW605" s="267"/>
      <c r="FX605" s="267"/>
      <c r="FY605" s="267"/>
      <c r="GD605" s="267"/>
      <c r="GE605" s="267"/>
      <c r="GF605" s="267"/>
      <c r="GG605" s="267"/>
      <c r="GH605" s="267"/>
      <c r="GI605" s="264"/>
      <c r="GJ605" s="264"/>
      <c r="GK605" s="264"/>
      <c r="GL605" s="264"/>
      <c r="HD605" s="267"/>
      <c r="HE605" s="267"/>
      <c r="HF605" s="267"/>
      <c r="HG605" s="267"/>
      <c r="HH605" s="267"/>
      <c r="HI605" s="267"/>
      <c r="HJ605" s="267"/>
      <c r="HK605" s="267"/>
      <c r="HL605" s="267"/>
      <c r="HM605" s="267"/>
      <c r="HN605" s="267"/>
      <c r="HO605" s="267"/>
      <c r="HP605" s="267"/>
      <c r="HQ605" s="267"/>
      <c r="HR605" s="267"/>
      <c r="HS605" s="267"/>
      <c r="HT605" s="267"/>
      <c r="HU605" s="267"/>
      <c r="IH605" s="267"/>
      <c r="IK605" s="267"/>
      <c r="IN605" s="267"/>
      <c r="IQ605" s="267"/>
      <c r="IR605" s="267"/>
      <c r="IS605" s="267"/>
    </row>
    <row r="606" spans="10:253">
      <c r="J606" s="267"/>
      <c r="K606" s="267"/>
      <c r="L606" s="267"/>
      <c r="M606" s="267"/>
      <c r="N606" s="267"/>
      <c r="O606" s="267"/>
      <c r="P606" s="267"/>
      <c r="Q606" s="267"/>
      <c r="S606" s="267"/>
      <c r="T606" s="267"/>
      <c r="U606" s="267"/>
      <c r="V606" s="267"/>
      <c r="W606" s="264"/>
      <c r="Y606" s="267"/>
      <c r="Z606" s="267"/>
      <c r="AA606" s="267"/>
      <c r="AB606" s="267"/>
      <c r="AE606" s="267"/>
      <c r="AF606" s="267"/>
      <c r="AG606" s="267"/>
      <c r="AH606" s="267"/>
      <c r="AK606" s="267"/>
      <c r="AL606" s="267"/>
      <c r="AM606" s="267"/>
      <c r="AN606" s="267"/>
      <c r="AQ606" s="267"/>
      <c r="AR606" s="267"/>
      <c r="AS606" s="267"/>
      <c r="AT606" s="267"/>
      <c r="AW606" s="267"/>
      <c r="AX606" s="267"/>
      <c r="AY606" s="267"/>
      <c r="AZ606" s="267"/>
      <c r="BG606" s="269"/>
      <c r="BM606" s="269"/>
      <c r="BS606" s="269"/>
      <c r="BU606" s="267"/>
      <c r="BY606" s="267"/>
      <c r="CC606" s="267"/>
      <c r="CG606" s="267"/>
      <c r="CS606" s="267"/>
      <c r="CW606" s="270"/>
      <c r="CX606" s="267"/>
      <c r="DC606" s="267"/>
      <c r="DH606" s="267"/>
      <c r="DM606" s="267"/>
      <c r="DR606" s="267"/>
      <c r="DW606" s="267"/>
      <c r="EB606" s="267"/>
      <c r="EG606" s="267"/>
      <c r="EL606" s="267"/>
      <c r="EQ606" s="267"/>
      <c r="EU606" s="270"/>
      <c r="EV606" s="267"/>
      <c r="FC606" s="267"/>
      <c r="FD606" s="267"/>
      <c r="FE606" s="267"/>
      <c r="FF606" s="267"/>
      <c r="FG606" s="267"/>
      <c r="FL606" s="267"/>
      <c r="FM606" s="267"/>
      <c r="FN606" s="267"/>
      <c r="FO606" s="267"/>
      <c r="FP606" s="267"/>
      <c r="FQ606" s="264"/>
      <c r="FR606" s="264"/>
      <c r="FS606" s="264"/>
      <c r="FT606" s="264"/>
      <c r="FU606" s="267"/>
      <c r="FV606" s="267"/>
      <c r="FW606" s="267"/>
      <c r="FX606" s="267"/>
      <c r="FY606" s="267"/>
      <c r="GD606" s="267"/>
      <c r="GE606" s="267"/>
      <c r="GF606" s="267"/>
      <c r="GG606" s="267"/>
      <c r="GH606" s="267"/>
      <c r="GI606" s="264"/>
      <c r="GJ606" s="264"/>
      <c r="GK606" s="264"/>
      <c r="GL606" s="264"/>
      <c r="HD606" s="267"/>
      <c r="HE606" s="267"/>
      <c r="HF606" s="267"/>
      <c r="HG606" s="267"/>
      <c r="HH606" s="267"/>
      <c r="HI606" s="267"/>
      <c r="HJ606" s="267"/>
      <c r="HK606" s="267"/>
      <c r="HL606" s="267"/>
      <c r="HM606" s="267"/>
      <c r="HN606" s="267"/>
      <c r="HO606" s="267"/>
      <c r="HP606" s="267"/>
      <c r="HQ606" s="267"/>
      <c r="HR606" s="267"/>
      <c r="HS606" s="267"/>
      <c r="HT606" s="267"/>
      <c r="HU606" s="267"/>
      <c r="IH606" s="267"/>
      <c r="IK606" s="267"/>
      <c r="IN606" s="267"/>
      <c r="IQ606" s="267"/>
      <c r="IR606" s="267"/>
      <c r="IS606" s="267"/>
    </row>
    <row r="607" spans="10:253">
      <c r="J607" s="267"/>
      <c r="K607" s="267"/>
      <c r="L607" s="267"/>
      <c r="M607" s="267"/>
      <c r="N607" s="267"/>
      <c r="O607" s="267"/>
      <c r="P607" s="267"/>
      <c r="Q607" s="267"/>
      <c r="S607" s="267"/>
      <c r="T607" s="267"/>
      <c r="U607" s="267"/>
      <c r="V607" s="267"/>
      <c r="W607" s="264"/>
      <c r="Y607" s="267"/>
      <c r="Z607" s="267"/>
      <c r="AA607" s="267"/>
      <c r="AB607" s="267"/>
      <c r="AE607" s="267"/>
      <c r="AF607" s="267"/>
      <c r="AG607" s="267"/>
      <c r="AH607" s="267"/>
      <c r="AK607" s="267"/>
      <c r="AL607" s="267"/>
      <c r="AM607" s="267"/>
      <c r="AN607" s="267"/>
      <c r="AQ607" s="267"/>
      <c r="AR607" s="267"/>
      <c r="AS607" s="267"/>
      <c r="AT607" s="267"/>
      <c r="AW607" s="267"/>
      <c r="AX607" s="267"/>
      <c r="AY607" s="267"/>
      <c r="AZ607" s="267"/>
      <c r="BG607" s="269"/>
      <c r="BM607" s="269"/>
      <c r="BS607" s="269"/>
      <c r="BU607" s="267"/>
      <c r="BY607" s="267"/>
      <c r="CC607" s="267"/>
      <c r="CG607" s="267"/>
      <c r="CS607" s="267"/>
      <c r="CW607" s="270"/>
      <c r="CX607" s="267"/>
      <c r="DC607" s="267"/>
      <c r="DH607" s="267"/>
      <c r="DM607" s="267"/>
      <c r="DR607" s="267"/>
      <c r="DW607" s="267"/>
      <c r="EB607" s="267"/>
      <c r="EG607" s="267"/>
      <c r="EL607" s="267"/>
      <c r="EQ607" s="267"/>
      <c r="EU607" s="270"/>
      <c r="EV607" s="267"/>
      <c r="FC607" s="267"/>
      <c r="FD607" s="267"/>
      <c r="FE607" s="267"/>
      <c r="FF607" s="267"/>
      <c r="FG607" s="267"/>
      <c r="FL607" s="267"/>
      <c r="FM607" s="267"/>
      <c r="FN607" s="267"/>
      <c r="FO607" s="267"/>
      <c r="FP607" s="267"/>
      <c r="FQ607" s="264"/>
      <c r="FR607" s="264"/>
      <c r="FS607" s="264"/>
      <c r="FT607" s="264"/>
      <c r="FU607" s="267"/>
      <c r="FV607" s="267"/>
      <c r="FW607" s="267"/>
      <c r="FX607" s="267"/>
      <c r="FY607" s="267"/>
      <c r="GD607" s="267"/>
      <c r="GE607" s="267"/>
      <c r="GF607" s="267"/>
      <c r="GG607" s="267"/>
      <c r="GH607" s="267"/>
      <c r="GI607" s="264"/>
      <c r="GJ607" s="264"/>
      <c r="GK607" s="264"/>
      <c r="GL607" s="264"/>
      <c r="HD607" s="267"/>
      <c r="HE607" s="267"/>
      <c r="HF607" s="267"/>
      <c r="HG607" s="267"/>
      <c r="HH607" s="267"/>
      <c r="HI607" s="267"/>
      <c r="HJ607" s="267"/>
      <c r="HK607" s="267"/>
      <c r="HL607" s="267"/>
      <c r="HM607" s="267"/>
      <c r="HN607" s="267"/>
      <c r="HO607" s="267"/>
      <c r="HP607" s="267"/>
      <c r="HQ607" s="267"/>
      <c r="HR607" s="267"/>
      <c r="HS607" s="267"/>
      <c r="HT607" s="267"/>
      <c r="HU607" s="267"/>
      <c r="IH607" s="267"/>
      <c r="IK607" s="267"/>
      <c r="IN607" s="267"/>
      <c r="IQ607" s="267"/>
      <c r="IR607" s="267"/>
      <c r="IS607" s="267"/>
    </row>
    <row r="608" spans="10:253">
      <c r="J608" s="267"/>
      <c r="K608" s="267"/>
      <c r="L608" s="267"/>
      <c r="M608" s="267"/>
      <c r="N608" s="267"/>
      <c r="O608" s="267"/>
      <c r="P608" s="267"/>
      <c r="Q608" s="267"/>
      <c r="S608" s="267"/>
      <c r="T608" s="267"/>
      <c r="U608" s="267"/>
      <c r="V608" s="267"/>
      <c r="W608" s="264"/>
      <c r="Y608" s="267"/>
      <c r="Z608" s="267"/>
      <c r="AA608" s="267"/>
      <c r="AB608" s="267"/>
      <c r="AE608" s="267"/>
      <c r="AF608" s="267"/>
      <c r="AG608" s="267"/>
      <c r="AH608" s="267"/>
      <c r="AK608" s="267"/>
      <c r="AL608" s="267"/>
      <c r="AM608" s="267"/>
      <c r="AN608" s="267"/>
      <c r="AQ608" s="267"/>
      <c r="AR608" s="267"/>
      <c r="AS608" s="267"/>
      <c r="AT608" s="267"/>
      <c r="AW608" s="267"/>
      <c r="AX608" s="267"/>
      <c r="AY608" s="267"/>
      <c r="AZ608" s="267"/>
      <c r="BG608" s="269"/>
      <c r="BM608" s="269"/>
      <c r="BS608" s="269"/>
      <c r="BU608" s="267"/>
      <c r="BY608" s="267"/>
      <c r="CC608" s="267"/>
      <c r="CG608" s="267"/>
      <c r="CS608" s="267"/>
      <c r="CW608" s="270"/>
      <c r="CX608" s="267"/>
      <c r="DC608" s="267"/>
      <c r="DH608" s="267"/>
      <c r="DM608" s="267"/>
      <c r="DR608" s="267"/>
      <c r="DW608" s="267"/>
      <c r="EB608" s="267"/>
      <c r="EG608" s="267"/>
      <c r="EL608" s="267"/>
      <c r="EQ608" s="267"/>
      <c r="EU608" s="270"/>
      <c r="EV608" s="267"/>
      <c r="FC608" s="267"/>
      <c r="FD608" s="267"/>
      <c r="FE608" s="267"/>
      <c r="FF608" s="267"/>
      <c r="FG608" s="267"/>
      <c r="FL608" s="267"/>
      <c r="FM608" s="267"/>
      <c r="FN608" s="267"/>
      <c r="FO608" s="267"/>
      <c r="FP608" s="267"/>
      <c r="FQ608" s="264"/>
      <c r="FR608" s="264"/>
      <c r="FS608" s="264"/>
      <c r="FT608" s="264"/>
      <c r="FU608" s="267"/>
      <c r="FV608" s="267"/>
      <c r="FW608" s="267"/>
      <c r="FX608" s="267"/>
      <c r="FY608" s="267"/>
      <c r="GD608" s="267"/>
      <c r="GE608" s="267"/>
      <c r="GF608" s="267"/>
      <c r="GG608" s="267"/>
      <c r="GH608" s="267"/>
      <c r="GI608" s="264"/>
      <c r="GJ608" s="264"/>
      <c r="GK608" s="264"/>
      <c r="GL608" s="264"/>
      <c r="HD608" s="267"/>
      <c r="HE608" s="267"/>
      <c r="HF608" s="267"/>
      <c r="HG608" s="267"/>
      <c r="HH608" s="267"/>
      <c r="HI608" s="267"/>
      <c r="HJ608" s="267"/>
      <c r="HK608" s="267"/>
      <c r="HL608" s="267"/>
      <c r="HM608" s="267"/>
      <c r="HN608" s="267"/>
      <c r="HO608" s="267"/>
      <c r="HP608" s="267"/>
      <c r="HQ608" s="267"/>
      <c r="HR608" s="267"/>
      <c r="HS608" s="267"/>
      <c r="HT608" s="267"/>
      <c r="HU608" s="267"/>
      <c r="IH608" s="267"/>
      <c r="IK608" s="267"/>
      <c r="IN608" s="267"/>
      <c r="IQ608" s="267"/>
      <c r="IR608" s="267"/>
      <c r="IS608" s="267"/>
    </row>
    <row r="609" spans="10:253">
      <c r="J609" s="267"/>
      <c r="K609" s="267"/>
      <c r="L609" s="267"/>
      <c r="M609" s="267"/>
      <c r="N609" s="267"/>
      <c r="O609" s="267"/>
      <c r="P609" s="267"/>
      <c r="Q609" s="267"/>
      <c r="S609" s="267"/>
      <c r="T609" s="267"/>
      <c r="U609" s="267"/>
      <c r="V609" s="267"/>
      <c r="W609" s="264"/>
      <c r="Y609" s="267"/>
      <c r="Z609" s="267"/>
      <c r="AA609" s="267"/>
      <c r="AB609" s="267"/>
      <c r="AE609" s="267"/>
      <c r="AF609" s="267"/>
      <c r="AG609" s="267"/>
      <c r="AH609" s="267"/>
      <c r="AK609" s="267"/>
      <c r="AL609" s="267"/>
      <c r="AM609" s="267"/>
      <c r="AN609" s="267"/>
      <c r="AQ609" s="267"/>
      <c r="AR609" s="267"/>
      <c r="AS609" s="267"/>
      <c r="AT609" s="267"/>
      <c r="AW609" s="267"/>
      <c r="AX609" s="267"/>
      <c r="AY609" s="267"/>
      <c r="AZ609" s="267"/>
      <c r="BG609" s="269"/>
      <c r="BM609" s="269"/>
      <c r="BS609" s="269"/>
      <c r="BU609" s="267"/>
      <c r="BY609" s="267"/>
      <c r="CC609" s="267"/>
      <c r="CG609" s="267"/>
      <c r="CS609" s="267"/>
      <c r="CW609" s="270"/>
      <c r="CX609" s="267"/>
      <c r="DC609" s="267"/>
      <c r="DH609" s="267"/>
      <c r="DM609" s="267"/>
      <c r="DR609" s="267"/>
      <c r="DW609" s="267"/>
      <c r="EB609" s="267"/>
      <c r="EG609" s="267"/>
      <c r="EL609" s="267"/>
      <c r="EQ609" s="267"/>
      <c r="EU609" s="270"/>
      <c r="EV609" s="267"/>
      <c r="FC609" s="267"/>
      <c r="FD609" s="267"/>
      <c r="FE609" s="267"/>
      <c r="FF609" s="267"/>
      <c r="FG609" s="267"/>
      <c r="FL609" s="267"/>
      <c r="FM609" s="267"/>
      <c r="FN609" s="267"/>
      <c r="FO609" s="267"/>
      <c r="FP609" s="267"/>
      <c r="FQ609" s="264"/>
      <c r="FR609" s="264"/>
      <c r="FS609" s="264"/>
      <c r="FT609" s="264"/>
      <c r="FU609" s="267"/>
      <c r="FV609" s="267"/>
      <c r="FW609" s="267"/>
      <c r="FX609" s="267"/>
      <c r="FY609" s="267"/>
      <c r="GD609" s="267"/>
      <c r="GE609" s="267"/>
      <c r="GF609" s="267"/>
      <c r="GG609" s="267"/>
      <c r="GH609" s="267"/>
      <c r="GI609" s="264"/>
      <c r="GJ609" s="264"/>
      <c r="GK609" s="264"/>
      <c r="GL609" s="264"/>
      <c r="HD609" s="267"/>
      <c r="HE609" s="267"/>
      <c r="HF609" s="267"/>
      <c r="HG609" s="267"/>
      <c r="HH609" s="267"/>
      <c r="HI609" s="267"/>
      <c r="HJ609" s="267"/>
      <c r="HK609" s="267"/>
      <c r="HL609" s="267"/>
      <c r="HM609" s="267"/>
      <c r="HN609" s="267"/>
      <c r="HO609" s="267"/>
      <c r="HP609" s="267"/>
      <c r="HQ609" s="267"/>
      <c r="HR609" s="267"/>
      <c r="HS609" s="267"/>
      <c r="HT609" s="267"/>
      <c r="HU609" s="267"/>
      <c r="IH609" s="267"/>
      <c r="IK609" s="267"/>
      <c r="IN609" s="267"/>
      <c r="IQ609" s="267"/>
      <c r="IR609" s="267"/>
      <c r="IS609" s="267"/>
    </row>
    <row r="610" spans="10:253">
      <c r="J610" s="267"/>
      <c r="K610" s="267"/>
      <c r="L610" s="267"/>
      <c r="M610" s="267"/>
      <c r="N610" s="267"/>
      <c r="O610" s="267"/>
      <c r="P610" s="267"/>
      <c r="Q610" s="267"/>
      <c r="S610" s="267"/>
      <c r="T610" s="267"/>
      <c r="U610" s="267"/>
      <c r="V610" s="267"/>
      <c r="W610" s="264"/>
      <c r="Y610" s="267"/>
      <c r="Z610" s="267"/>
      <c r="AA610" s="267"/>
      <c r="AB610" s="267"/>
      <c r="AE610" s="267"/>
      <c r="AF610" s="267"/>
      <c r="AG610" s="267"/>
      <c r="AH610" s="267"/>
      <c r="AK610" s="267"/>
      <c r="AL610" s="267"/>
      <c r="AM610" s="267"/>
      <c r="AN610" s="267"/>
      <c r="AQ610" s="267"/>
      <c r="AR610" s="267"/>
      <c r="AS610" s="267"/>
      <c r="AT610" s="267"/>
      <c r="AW610" s="267"/>
      <c r="AX610" s="267"/>
      <c r="AY610" s="267"/>
      <c r="AZ610" s="267"/>
      <c r="BG610" s="269"/>
      <c r="BM610" s="269"/>
      <c r="BS610" s="269"/>
      <c r="BU610" s="267"/>
      <c r="BY610" s="267"/>
      <c r="CC610" s="267"/>
      <c r="CG610" s="267"/>
      <c r="CS610" s="267"/>
      <c r="CW610" s="270"/>
      <c r="CX610" s="267"/>
      <c r="DC610" s="267"/>
      <c r="DH610" s="267"/>
      <c r="DM610" s="267"/>
      <c r="DR610" s="267"/>
      <c r="DW610" s="267"/>
      <c r="EB610" s="267"/>
      <c r="EG610" s="267"/>
      <c r="EL610" s="267"/>
      <c r="EQ610" s="267"/>
      <c r="EU610" s="270"/>
      <c r="EV610" s="267"/>
      <c r="FC610" s="267"/>
      <c r="FD610" s="267"/>
      <c r="FE610" s="267"/>
      <c r="FF610" s="267"/>
      <c r="FG610" s="267"/>
      <c r="FL610" s="267"/>
      <c r="FM610" s="267"/>
      <c r="FN610" s="267"/>
      <c r="FO610" s="267"/>
      <c r="FP610" s="267"/>
      <c r="FQ610" s="264"/>
      <c r="FR610" s="264"/>
      <c r="FS610" s="264"/>
      <c r="FT610" s="264"/>
      <c r="FU610" s="267"/>
      <c r="FV610" s="267"/>
      <c r="FW610" s="267"/>
      <c r="FX610" s="267"/>
      <c r="FY610" s="267"/>
      <c r="GD610" s="267"/>
      <c r="GE610" s="267"/>
      <c r="GF610" s="267"/>
      <c r="GG610" s="267"/>
      <c r="GH610" s="267"/>
      <c r="GI610" s="264"/>
      <c r="GJ610" s="264"/>
      <c r="GK610" s="264"/>
      <c r="GL610" s="264"/>
      <c r="HD610" s="267"/>
      <c r="HE610" s="267"/>
      <c r="HF610" s="267"/>
      <c r="HG610" s="267"/>
      <c r="HH610" s="267"/>
      <c r="HI610" s="267"/>
      <c r="HJ610" s="267"/>
      <c r="HK610" s="267"/>
      <c r="HL610" s="267"/>
      <c r="HM610" s="267"/>
      <c r="HN610" s="267"/>
      <c r="HO610" s="267"/>
      <c r="HP610" s="267"/>
      <c r="HQ610" s="267"/>
      <c r="HR610" s="267"/>
      <c r="HS610" s="267"/>
      <c r="HT610" s="267"/>
      <c r="HU610" s="267"/>
      <c r="IH610" s="267"/>
      <c r="IK610" s="267"/>
      <c r="IN610" s="267"/>
      <c r="IQ610" s="267"/>
      <c r="IR610" s="267"/>
      <c r="IS610" s="267"/>
    </row>
    <row r="611" spans="10:253">
      <c r="J611" s="267"/>
      <c r="K611" s="267"/>
      <c r="L611" s="267"/>
      <c r="M611" s="267"/>
      <c r="N611" s="267"/>
      <c r="O611" s="267"/>
      <c r="P611" s="267"/>
      <c r="Q611" s="267"/>
      <c r="S611" s="267"/>
      <c r="T611" s="267"/>
      <c r="U611" s="267"/>
      <c r="V611" s="267"/>
      <c r="W611" s="264"/>
      <c r="Y611" s="267"/>
      <c r="Z611" s="267"/>
      <c r="AA611" s="267"/>
      <c r="AB611" s="267"/>
      <c r="AE611" s="267"/>
      <c r="AF611" s="267"/>
      <c r="AG611" s="267"/>
      <c r="AH611" s="267"/>
      <c r="AK611" s="267"/>
      <c r="AL611" s="267"/>
      <c r="AM611" s="267"/>
      <c r="AN611" s="267"/>
      <c r="AQ611" s="267"/>
      <c r="AR611" s="267"/>
      <c r="AS611" s="267"/>
      <c r="AT611" s="267"/>
      <c r="AW611" s="267"/>
      <c r="AX611" s="267"/>
      <c r="AY611" s="267"/>
      <c r="AZ611" s="267"/>
      <c r="BG611" s="269"/>
      <c r="BM611" s="269"/>
      <c r="BS611" s="269"/>
      <c r="BU611" s="267"/>
      <c r="BY611" s="267"/>
      <c r="CC611" s="267"/>
      <c r="CG611" s="267"/>
      <c r="CS611" s="267"/>
      <c r="CW611" s="270"/>
      <c r="CX611" s="267"/>
      <c r="DC611" s="267"/>
      <c r="DH611" s="267"/>
      <c r="DM611" s="267"/>
      <c r="DR611" s="267"/>
      <c r="DW611" s="267"/>
      <c r="EB611" s="267"/>
      <c r="EG611" s="267"/>
      <c r="EL611" s="267"/>
      <c r="EQ611" s="267"/>
      <c r="EU611" s="270"/>
      <c r="EV611" s="267"/>
      <c r="FC611" s="267"/>
      <c r="FD611" s="267"/>
      <c r="FE611" s="267"/>
      <c r="FF611" s="267"/>
      <c r="FG611" s="267"/>
      <c r="FL611" s="267"/>
      <c r="FM611" s="267"/>
      <c r="FN611" s="267"/>
      <c r="FO611" s="267"/>
      <c r="FP611" s="267"/>
      <c r="FQ611" s="264"/>
      <c r="FR611" s="264"/>
      <c r="FS611" s="264"/>
      <c r="FT611" s="264"/>
      <c r="FU611" s="267"/>
      <c r="FV611" s="267"/>
      <c r="FW611" s="267"/>
      <c r="FX611" s="267"/>
      <c r="FY611" s="267"/>
      <c r="GD611" s="267"/>
      <c r="GE611" s="267"/>
      <c r="GF611" s="267"/>
      <c r="GG611" s="267"/>
      <c r="GH611" s="267"/>
      <c r="GI611" s="264"/>
      <c r="GJ611" s="264"/>
      <c r="GK611" s="264"/>
      <c r="GL611" s="264"/>
      <c r="HD611" s="267"/>
      <c r="HE611" s="267"/>
      <c r="HF611" s="267"/>
      <c r="HG611" s="267"/>
      <c r="HH611" s="267"/>
      <c r="HI611" s="267"/>
      <c r="HJ611" s="267"/>
      <c r="HK611" s="267"/>
      <c r="HL611" s="267"/>
      <c r="HM611" s="267"/>
      <c r="HN611" s="267"/>
      <c r="HO611" s="267"/>
      <c r="HP611" s="267"/>
      <c r="HQ611" s="267"/>
      <c r="HR611" s="267"/>
      <c r="HS611" s="267"/>
      <c r="HT611" s="267"/>
      <c r="HU611" s="267"/>
      <c r="IH611" s="267"/>
      <c r="IK611" s="267"/>
      <c r="IN611" s="267"/>
      <c r="IQ611" s="267"/>
      <c r="IR611" s="267"/>
      <c r="IS611" s="267"/>
    </row>
    <row r="612" spans="10:253">
      <c r="J612" s="267"/>
      <c r="K612" s="267"/>
      <c r="L612" s="267"/>
      <c r="M612" s="267"/>
      <c r="N612" s="267"/>
      <c r="O612" s="267"/>
      <c r="P612" s="267"/>
      <c r="Q612" s="267"/>
      <c r="S612" s="267"/>
      <c r="T612" s="267"/>
      <c r="U612" s="267"/>
      <c r="V612" s="267"/>
      <c r="W612" s="264"/>
      <c r="Y612" s="267"/>
      <c r="Z612" s="267"/>
      <c r="AA612" s="267"/>
      <c r="AB612" s="267"/>
      <c r="AE612" s="267"/>
      <c r="AF612" s="267"/>
      <c r="AG612" s="267"/>
      <c r="AH612" s="267"/>
      <c r="AK612" s="267"/>
      <c r="AL612" s="267"/>
      <c r="AM612" s="267"/>
      <c r="AN612" s="267"/>
      <c r="AQ612" s="267"/>
      <c r="AR612" s="267"/>
      <c r="AS612" s="267"/>
      <c r="AT612" s="267"/>
      <c r="AW612" s="267"/>
      <c r="AX612" s="267"/>
      <c r="AY612" s="267"/>
      <c r="AZ612" s="267"/>
      <c r="BG612" s="269"/>
      <c r="BM612" s="269"/>
      <c r="BS612" s="269"/>
      <c r="BU612" s="267"/>
      <c r="BY612" s="267"/>
      <c r="CC612" s="267"/>
      <c r="CG612" s="267"/>
      <c r="CS612" s="267"/>
      <c r="CW612" s="270"/>
      <c r="CX612" s="267"/>
      <c r="DC612" s="267"/>
      <c r="DH612" s="267"/>
      <c r="DM612" s="267"/>
      <c r="DR612" s="267"/>
      <c r="DW612" s="267"/>
      <c r="EB612" s="267"/>
      <c r="EG612" s="267"/>
      <c r="EL612" s="267"/>
      <c r="EQ612" s="267"/>
      <c r="EU612" s="270"/>
      <c r="EV612" s="267"/>
      <c r="FC612" s="267"/>
      <c r="FD612" s="267"/>
      <c r="FE612" s="267"/>
      <c r="FF612" s="267"/>
      <c r="FG612" s="267"/>
      <c r="FL612" s="267"/>
      <c r="FM612" s="267"/>
      <c r="FN612" s="267"/>
      <c r="FO612" s="267"/>
      <c r="FP612" s="267"/>
      <c r="FQ612" s="264"/>
      <c r="FR612" s="264"/>
      <c r="FS612" s="264"/>
      <c r="FT612" s="264"/>
      <c r="FU612" s="267"/>
      <c r="FV612" s="267"/>
      <c r="FW612" s="267"/>
      <c r="FX612" s="267"/>
      <c r="FY612" s="267"/>
      <c r="GD612" s="267"/>
      <c r="GE612" s="267"/>
      <c r="GF612" s="267"/>
      <c r="GG612" s="267"/>
      <c r="GH612" s="267"/>
      <c r="GI612" s="264"/>
      <c r="GJ612" s="264"/>
      <c r="GK612" s="264"/>
      <c r="GL612" s="264"/>
      <c r="HD612" s="267"/>
      <c r="HE612" s="267"/>
      <c r="HF612" s="267"/>
      <c r="HG612" s="267"/>
      <c r="HH612" s="267"/>
      <c r="HI612" s="267"/>
      <c r="HJ612" s="267"/>
      <c r="HK612" s="267"/>
      <c r="HL612" s="267"/>
      <c r="HM612" s="267"/>
      <c r="HN612" s="267"/>
      <c r="HO612" s="267"/>
      <c r="HP612" s="267"/>
      <c r="HQ612" s="267"/>
      <c r="HR612" s="267"/>
      <c r="HS612" s="267"/>
      <c r="HT612" s="267"/>
      <c r="HU612" s="267"/>
      <c r="IH612" s="267"/>
      <c r="IK612" s="267"/>
      <c r="IN612" s="267"/>
      <c r="IQ612" s="267"/>
      <c r="IR612" s="267"/>
      <c r="IS612" s="267"/>
    </row>
    <row r="613" spans="10:253">
      <c r="J613" s="267"/>
      <c r="K613" s="267"/>
      <c r="L613" s="267"/>
      <c r="M613" s="267"/>
      <c r="N613" s="267"/>
      <c r="O613" s="267"/>
      <c r="P613" s="267"/>
      <c r="Q613" s="267"/>
      <c r="S613" s="267"/>
      <c r="T613" s="267"/>
      <c r="U613" s="267"/>
      <c r="V613" s="267"/>
      <c r="W613" s="264"/>
      <c r="Y613" s="267"/>
      <c r="Z613" s="267"/>
      <c r="AA613" s="267"/>
      <c r="AB613" s="267"/>
      <c r="AE613" s="267"/>
      <c r="AF613" s="267"/>
      <c r="AG613" s="267"/>
      <c r="AH613" s="267"/>
      <c r="AK613" s="267"/>
      <c r="AL613" s="267"/>
      <c r="AM613" s="267"/>
      <c r="AN613" s="267"/>
      <c r="AQ613" s="267"/>
      <c r="AR613" s="267"/>
      <c r="AS613" s="267"/>
      <c r="AT613" s="267"/>
      <c r="AW613" s="267"/>
      <c r="AX613" s="267"/>
      <c r="AY613" s="267"/>
      <c r="AZ613" s="267"/>
      <c r="BG613" s="269"/>
      <c r="BM613" s="269"/>
      <c r="BS613" s="269"/>
      <c r="BU613" s="267"/>
      <c r="BY613" s="267"/>
      <c r="CC613" s="267"/>
      <c r="CG613" s="267"/>
      <c r="CS613" s="267"/>
      <c r="CW613" s="270"/>
      <c r="CX613" s="267"/>
      <c r="DC613" s="267"/>
      <c r="DH613" s="267"/>
      <c r="DM613" s="267"/>
      <c r="DR613" s="267"/>
      <c r="DW613" s="267"/>
      <c r="EB613" s="267"/>
      <c r="EG613" s="267"/>
      <c r="EL613" s="267"/>
      <c r="EQ613" s="267"/>
      <c r="EU613" s="270"/>
      <c r="EV613" s="267"/>
      <c r="FC613" s="267"/>
      <c r="FD613" s="267"/>
      <c r="FE613" s="267"/>
      <c r="FF613" s="267"/>
      <c r="FG613" s="267"/>
      <c r="FL613" s="267"/>
      <c r="FM613" s="267"/>
      <c r="FN613" s="267"/>
      <c r="FO613" s="267"/>
      <c r="FP613" s="267"/>
      <c r="FQ613" s="264"/>
      <c r="FR613" s="264"/>
      <c r="FS613" s="264"/>
      <c r="FT613" s="264"/>
      <c r="FU613" s="267"/>
      <c r="FV613" s="267"/>
      <c r="FW613" s="267"/>
      <c r="FX613" s="267"/>
      <c r="FY613" s="267"/>
      <c r="GD613" s="267"/>
      <c r="GE613" s="267"/>
      <c r="GF613" s="267"/>
      <c r="GG613" s="267"/>
      <c r="GH613" s="267"/>
      <c r="GI613" s="264"/>
      <c r="GJ613" s="264"/>
      <c r="GK613" s="264"/>
      <c r="GL613" s="264"/>
      <c r="HD613" s="267"/>
      <c r="HE613" s="267"/>
      <c r="HF613" s="267"/>
      <c r="HG613" s="267"/>
      <c r="HH613" s="267"/>
      <c r="HI613" s="267"/>
      <c r="HJ613" s="267"/>
      <c r="HK613" s="267"/>
      <c r="HL613" s="267"/>
      <c r="HM613" s="267"/>
      <c r="HN613" s="267"/>
      <c r="HO613" s="267"/>
      <c r="HP613" s="267"/>
      <c r="HQ613" s="267"/>
      <c r="HR613" s="267"/>
      <c r="HS613" s="267"/>
      <c r="HT613" s="267"/>
      <c r="HU613" s="267"/>
      <c r="IH613" s="267"/>
      <c r="IK613" s="267"/>
      <c r="IN613" s="267"/>
      <c r="IQ613" s="267"/>
      <c r="IR613" s="267"/>
      <c r="IS613" s="267"/>
    </row>
    <row r="614" spans="10:253">
      <c r="J614" s="267"/>
      <c r="K614" s="267"/>
      <c r="L614" s="267"/>
      <c r="M614" s="267"/>
      <c r="N614" s="267"/>
      <c r="O614" s="267"/>
      <c r="P614" s="267"/>
      <c r="Q614" s="267"/>
      <c r="S614" s="267"/>
      <c r="T614" s="267"/>
      <c r="U614" s="267"/>
      <c r="V614" s="267"/>
      <c r="W614" s="264"/>
      <c r="Y614" s="267"/>
      <c r="Z614" s="267"/>
      <c r="AA614" s="267"/>
      <c r="AB614" s="267"/>
      <c r="AE614" s="267"/>
      <c r="AF614" s="267"/>
      <c r="AG614" s="267"/>
      <c r="AH614" s="267"/>
      <c r="AK614" s="267"/>
      <c r="AL614" s="267"/>
      <c r="AM614" s="267"/>
      <c r="AN614" s="267"/>
      <c r="AQ614" s="267"/>
      <c r="AR614" s="267"/>
      <c r="AS614" s="267"/>
      <c r="AT614" s="267"/>
      <c r="AW614" s="267"/>
      <c r="AX614" s="267"/>
      <c r="AY614" s="267"/>
      <c r="AZ614" s="267"/>
      <c r="BG614" s="269"/>
      <c r="BM614" s="269"/>
      <c r="BS614" s="269"/>
      <c r="BU614" s="267"/>
      <c r="BY614" s="267"/>
      <c r="CC614" s="267"/>
      <c r="CG614" s="267"/>
      <c r="CS614" s="267"/>
      <c r="CW614" s="270"/>
      <c r="CX614" s="267"/>
      <c r="DC614" s="267"/>
      <c r="DH614" s="267"/>
      <c r="DM614" s="267"/>
      <c r="DR614" s="267"/>
      <c r="DW614" s="267"/>
      <c r="EB614" s="267"/>
      <c r="EG614" s="267"/>
      <c r="EL614" s="267"/>
      <c r="EQ614" s="267"/>
      <c r="EU614" s="270"/>
      <c r="EV614" s="267"/>
      <c r="FC614" s="267"/>
      <c r="FD614" s="267"/>
      <c r="FE614" s="267"/>
      <c r="FF614" s="267"/>
      <c r="FG614" s="267"/>
      <c r="FL614" s="267"/>
      <c r="FM614" s="267"/>
      <c r="FN614" s="267"/>
      <c r="FO614" s="267"/>
      <c r="FP614" s="267"/>
      <c r="FQ614" s="264"/>
      <c r="FR614" s="264"/>
      <c r="FS614" s="264"/>
      <c r="FT614" s="264"/>
      <c r="FU614" s="267"/>
      <c r="FV614" s="267"/>
      <c r="FW614" s="267"/>
      <c r="FX614" s="267"/>
      <c r="FY614" s="267"/>
      <c r="GD614" s="267"/>
      <c r="GE614" s="267"/>
      <c r="GF614" s="267"/>
      <c r="GG614" s="267"/>
      <c r="GH614" s="267"/>
      <c r="GI614" s="264"/>
      <c r="GJ614" s="264"/>
      <c r="GK614" s="264"/>
      <c r="GL614" s="264"/>
      <c r="HD614" s="267"/>
      <c r="HE614" s="267"/>
      <c r="HF614" s="267"/>
      <c r="HG614" s="267"/>
      <c r="HH614" s="267"/>
      <c r="HI614" s="267"/>
      <c r="HJ614" s="267"/>
      <c r="HK614" s="267"/>
      <c r="HL614" s="267"/>
      <c r="HM614" s="267"/>
      <c r="HN614" s="267"/>
      <c r="HO614" s="267"/>
      <c r="HP614" s="267"/>
      <c r="HQ614" s="267"/>
      <c r="HR614" s="267"/>
      <c r="HS614" s="267"/>
      <c r="HT614" s="267"/>
      <c r="HU614" s="267"/>
      <c r="IH614" s="267"/>
      <c r="IK614" s="267"/>
      <c r="IN614" s="267"/>
      <c r="IQ614" s="267"/>
      <c r="IR614" s="267"/>
      <c r="IS614" s="267"/>
    </row>
    <row r="615" spans="10:253">
      <c r="J615" s="267"/>
      <c r="K615" s="267"/>
      <c r="L615" s="267"/>
      <c r="M615" s="267"/>
      <c r="N615" s="267"/>
      <c r="O615" s="267"/>
      <c r="P615" s="267"/>
      <c r="Q615" s="267"/>
      <c r="S615" s="267"/>
      <c r="T615" s="267"/>
      <c r="U615" s="267"/>
      <c r="V615" s="267"/>
      <c r="W615" s="264"/>
      <c r="Y615" s="267"/>
      <c r="Z615" s="267"/>
      <c r="AA615" s="267"/>
      <c r="AB615" s="267"/>
      <c r="AE615" s="267"/>
      <c r="AF615" s="267"/>
      <c r="AG615" s="267"/>
      <c r="AH615" s="267"/>
      <c r="AK615" s="267"/>
      <c r="AL615" s="267"/>
      <c r="AM615" s="267"/>
      <c r="AN615" s="267"/>
      <c r="AQ615" s="267"/>
      <c r="AR615" s="267"/>
      <c r="AS615" s="267"/>
      <c r="AT615" s="267"/>
      <c r="AW615" s="267"/>
      <c r="AX615" s="267"/>
      <c r="AY615" s="267"/>
      <c r="AZ615" s="267"/>
      <c r="BG615" s="269"/>
      <c r="BM615" s="269"/>
      <c r="BS615" s="269"/>
      <c r="BU615" s="267"/>
      <c r="BY615" s="267"/>
      <c r="CC615" s="267"/>
      <c r="CG615" s="267"/>
      <c r="CS615" s="267"/>
      <c r="CW615" s="270"/>
      <c r="CX615" s="267"/>
      <c r="DC615" s="267"/>
      <c r="DH615" s="267"/>
      <c r="DM615" s="267"/>
      <c r="DR615" s="267"/>
      <c r="DW615" s="267"/>
      <c r="EB615" s="267"/>
      <c r="EG615" s="267"/>
      <c r="EL615" s="267"/>
      <c r="EQ615" s="267"/>
      <c r="EU615" s="270"/>
      <c r="EV615" s="267"/>
      <c r="FC615" s="267"/>
      <c r="FD615" s="267"/>
      <c r="FE615" s="267"/>
      <c r="FF615" s="267"/>
      <c r="FG615" s="267"/>
      <c r="FL615" s="267"/>
      <c r="FM615" s="267"/>
      <c r="FN615" s="267"/>
      <c r="FO615" s="267"/>
      <c r="FP615" s="267"/>
      <c r="FQ615" s="264"/>
      <c r="FR615" s="264"/>
      <c r="FS615" s="264"/>
      <c r="FT615" s="264"/>
      <c r="FU615" s="267"/>
      <c r="FV615" s="267"/>
      <c r="FW615" s="267"/>
      <c r="FX615" s="267"/>
      <c r="FY615" s="267"/>
      <c r="GD615" s="267"/>
      <c r="GE615" s="267"/>
      <c r="GF615" s="267"/>
      <c r="GG615" s="267"/>
      <c r="GH615" s="267"/>
      <c r="GI615" s="264"/>
      <c r="GJ615" s="264"/>
      <c r="GK615" s="264"/>
      <c r="GL615" s="264"/>
      <c r="HD615" s="267"/>
      <c r="HE615" s="267"/>
      <c r="HF615" s="267"/>
      <c r="HG615" s="267"/>
      <c r="HH615" s="267"/>
      <c r="HI615" s="267"/>
      <c r="HJ615" s="267"/>
      <c r="HK615" s="267"/>
      <c r="HL615" s="267"/>
      <c r="HM615" s="267"/>
      <c r="HN615" s="267"/>
      <c r="HO615" s="267"/>
      <c r="HP615" s="267"/>
      <c r="HQ615" s="267"/>
      <c r="HR615" s="267"/>
      <c r="HS615" s="267"/>
      <c r="HT615" s="267"/>
      <c r="HU615" s="267"/>
      <c r="IH615" s="267"/>
      <c r="IK615" s="267"/>
      <c r="IN615" s="267"/>
      <c r="IQ615" s="267"/>
      <c r="IR615" s="267"/>
      <c r="IS615" s="267"/>
    </row>
    <row r="616" spans="10:253">
      <c r="J616" s="267"/>
      <c r="K616" s="267"/>
      <c r="L616" s="267"/>
      <c r="M616" s="267"/>
      <c r="N616" s="267"/>
      <c r="O616" s="267"/>
      <c r="P616" s="267"/>
      <c r="Q616" s="267"/>
      <c r="S616" s="267"/>
      <c r="T616" s="267"/>
      <c r="U616" s="267"/>
      <c r="V616" s="267"/>
      <c r="W616" s="264"/>
      <c r="Y616" s="267"/>
      <c r="Z616" s="267"/>
      <c r="AA616" s="267"/>
      <c r="AB616" s="267"/>
      <c r="AE616" s="267"/>
      <c r="AF616" s="267"/>
      <c r="AG616" s="267"/>
      <c r="AH616" s="267"/>
      <c r="AK616" s="267"/>
      <c r="AL616" s="267"/>
      <c r="AM616" s="267"/>
      <c r="AN616" s="267"/>
      <c r="AQ616" s="267"/>
      <c r="AR616" s="267"/>
      <c r="AS616" s="267"/>
      <c r="AT616" s="267"/>
      <c r="AW616" s="267"/>
      <c r="AX616" s="267"/>
      <c r="AY616" s="267"/>
      <c r="AZ616" s="267"/>
      <c r="BG616" s="269"/>
      <c r="BM616" s="269"/>
      <c r="BS616" s="269"/>
      <c r="BU616" s="267"/>
      <c r="BY616" s="267"/>
      <c r="CC616" s="267"/>
      <c r="CG616" s="267"/>
      <c r="CS616" s="267"/>
      <c r="CW616" s="270"/>
      <c r="CX616" s="267"/>
      <c r="DC616" s="267"/>
      <c r="DH616" s="267"/>
      <c r="DM616" s="267"/>
      <c r="DR616" s="267"/>
      <c r="DW616" s="267"/>
      <c r="EB616" s="267"/>
      <c r="EG616" s="267"/>
      <c r="EL616" s="267"/>
      <c r="EQ616" s="267"/>
      <c r="EU616" s="270"/>
      <c r="EV616" s="267"/>
      <c r="FC616" s="267"/>
      <c r="FD616" s="267"/>
      <c r="FE616" s="267"/>
      <c r="FF616" s="267"/>
      <c r="FG616" s="267"/>
      <c r="FL616" s="267"/>
      <c r="FM616" s="267"/>
      <c r="FN616" s="267"/>
      <c r="FO616" s="267"/>
      <c r="FP616" s="267"/>
      <c r="FQ616" s="264"/>
      <c r="FR616" s="264"/>
      <c r="FS616" s="264"/>
      <c r="FT616" s="264"/>
      <c r="FU616" s="267"/>
      <c r="FV616" s="267"/>
      <c r="FW616" s="267"/>
      <c r="FX616" s="267"/>
      <c r="FY616" s="267"/>
      <c r="GD616" s="267"/>
      <c r="GE616" s="267"/>
      <c r="GF616" s="267"/>
      <c r="GG616" s="267"/>
      <c r="GH616" s="267"/>
      <c r="GI616" s="264"/>
      <c r="GJ616" s="264"/>
      <c r="GK616" s="264"/>
      <c r="GL616" s="264"/>
      <c r="HD616" s="267"/>
      <c r="HE616" s="267"/>
      <c r="HF616" s="267"/>
      <c r="HG616" s="267"/>
      <c r="HH616" s="267"/>
      <c r="HI616" s="267"/>
      <c r="HJ616" s="267"/>
      <c r="HK616" s="267"/>
      <c r="HL616" s="267"/>
      <c r="HM616" s="267"/>
      <c r="HN616" s="267"/>
      <c r="HO616" s="267"/>
      <c r="HP616" s="267"/>
      <c r="HQ616" s="267"/>
      <c r="HR616" s="267"/>
      <c r="HS616" s="267"/>
      <c r="HT616" s="267"/>
      <c r="HU616" s="267"/>
      <c r="IH616" s="267"/>
      <c r="IK616" s="267"/>
      <c r="IN616" s="267"/>
      <c r="IQ616" s="267"/>
      <c r="IR616" s="267"/>
      <c r="IS616" s="267"/>
    </row>
    <row r="617" spans="10:253">
      <c r="J617" s="267"/>
      <c r="K617" s="267"/>
      <c r="L617" s="267"/>
      <c r="M617" s="267"/>
      <c r="N617" s="267"/>
      <c r="O617" s="267"/>
      <c r="P617" s="267"/>
      <c r="Q617" s="267"/>
      <c r="S617" s="267"/>
      <c r="T617" s="267"/>
      <c r="U617" s="267"/>
      <c r="V617" s="267"/>
      <c r="W617" s="264"/>
      <c r="Y617" s="267"/>
      <c r="Z617" s="267"/>
      <c r="AA617" s="267"/>
      <c r="AB617" s="267"/>
      <c r="AE617" s="267"/>
      <c r="AF617" s="267"/>
      <c r="AG617" s="267"/>
      <c r="AH617" s="267"/>
      <c r="AK617" s="267"/>
      <c r="AL617" s="267"/>
      <c r="AM617" s="267"/>
      <c r="AN617" s="267"/>
      <c r="AQ617" s="267"/>
      <c r="AR617" s="267"/>
      <c r="AS617" s="267"/>
      <c r="AT617" s="267"/>
      <c r="AW617" s="267"/>
      <c r="AX617" s="267"/>
      <c r="AY617" s="267"/>
      <c r="AZ617" s="267"/>
      <c r="BG617" s="269"/>
      <c r="BM617" s="269"/>
      <c r="BS617" s="269"/>
      <c r="BU617" s="267"/>
      <c r="BY617" s="267"/>
      <c r="CC617" s="267"/>
      <c r="CG617" s="267"/>
      <c r="CS617" s="267"/>
      <c r="CW617" s="270"/>
      <c r="CX617" s="267"/>
      <c r="DC617" s="267"/>
      <c r="DH617" s="267"/>
      <c r="DM617" s="267"/>
      <c r="DR617" s="267"/>
      <c r="DW617" s="267"/>
      <c r="EB617" s="267"/>
      <c r="EG617" s="267"/>
      <c r="EL617" s="267"/>
      <c r="EQ617" s="267"/>
      <c r="EU617" s="270"/>
      <c r="EV617" s="267"/>
      <c r="FC617" s="267"/>
      <c r="FD617" s="267"/>
      <c r="FE617" s="267"/>
      <c r="FF617" s="267"/>
      <c r="FG617" s="267"/>
      <c r="FL617" s="267"/>
      <c r="FM617" s="267"/>
      <c r="FN617" s="267"/>
      <c r="FO617" s="267"/>
      <c r="FP617" s="267"/>
      <c r="FQ617" s="264"/>
      <c r="FR617" s="264"/>
      <c r="FS617" s="264"/>
      <c r="FT617" s="264"/>
      <c r="FU617" s="267"/>
      <c r="FV617" s="267"/>
      <c r="FW617" s="267"/>
      <c r="FX617" s="267"/>
      <c r="FY617" s="267"/>
      <c r="GD617" s="267"/>
      <c r="GE617" s="267"/>
      <c r="GF617" s="267"/>
      <c r="GG617" s="267"/>
      <c r="GH617" s="267"/>
      <c r="GI617" s="264"/>
      <c r="GJ617" s="264"/>
      <c r="GK617" s="264"/>
      <c r="GL617" s="264"/>
      <c r="HD617" s="267"/>
      <c r="HE617" s="267"/>
      <c r="HF617" s="267"/>
      <c r="HG617" s="267"/>
      <c r="HH617" s="267"/>
      <c r="HI617" s="267"/>
      <c r="HJ617" s="267"/>
      <c r="HK617" s="267"/>
      <c r="HL617" s="267"/>
      <c r="HM617" s="267"/>
      <c r="HN617" s="267"/>
      <c r="HO617" s="267"/>
      <c r="HP617" s="267"/>
      <c r="HQ617" s="267"/>
      <c r="HR617" s="267"/>
      <c r="HS617" s="267"/>
      <c r="HT617" s="267"/>
      <c r="HU617" s="267"/>
      <c r="IH617" s="267"/>
      <c r="IK617" s="267"/>
      <c r="IN617" s="267"/>
      <c r="IQ617" s="267"/>
      <c r="IR617" s="267"/>
      <c r="IS617" s="267"/>
    </row>
    <row r="618" spans="10:253">
      <c r="J618" s="267"/>
      <c r="K618" s="267"/>
      <c r="L618" s="267"/>
      <c r="M618" s="267"/>
      <c r="N618" s="267"/>
      <c r="O618" s="267"/>
      <c r="P618" s="267"/>
      <c r="Q618" s="267"/>
      <c r="S618" s="267"/>
      <c r="T618" s="267"/>
      <c r="U618" s="267"/>
      <c r="V618" s="267"/>
      <c r="W618" s="264"/>
      <c r="Y618" s="267"/>
      <c r="Z618" s="267"/>
      <c r="AA618" s="267"/>
      <c r="AB618" s="267"/>
      <c r="AE618" s="267"/>
      <c r="AF618" s="267"/>
      <c r="AG618" s="267"/>
      <c r="AH618" s="267"/>
      <c r="AK618" s="267"/>
      <c r="AL618" s="267"/>
      <c r="AM618" s="267"/>
      <c r="AN618" s="267"/>
      <c r="AQ618" s="267"/>
      <c r="AR618" s="267"/>
      <c r="AS618" s="267"/>
      <c r="AT618" s="267"/>
      <c r="AW618" s="267"/>
      <c r="AX618" s="267"/>
      <c r="AY618" s="267"/>
      <c r="AZ618" s="267"/>
      <c r="BG618" s="269"/>
      <c r="BM618" s="269"/>
      <c r="BS618" s="269"/>
      <c r="BU618" s="267"/>
      <c r="BY618" s="267"/>
      <c r="CC618" s="267"/>
      <c r="CG618" s="267"/>
      <c r="CS618" s="267"/>
      <c r="CW618" s="270"/>
      <c r="CX618" s="267"/>
      <c r="DC618" s="267"/>
      <c r="DH618" s="267"/>
      <c r="DM618" s="267"/>
      <c r="DR618" s="267"/>
      <c r="DW618" s="267"/>
      <c r="EB618" s="267"/>
      <c r="EG618" s="267"/>
      <c r="EL618" s="267"/>
      <c r="EQ618" s="267"/>
      <c r="EU618" s="270"/>
      <c r="EV618" s="267"/>
      <c r="FC618" s="267"/>
      <c r="FD618" s="267"/>
      <c r="FE618" s="267"/>
      <c r="FF618" s="267"/>
      <c r="FG618" s="267"/>
      <c r="FL618" s="267"/>
      <c r="FM618" s="267"/>
      <c r="FN618" s="267"/>
      <c r="FO618" s="267"/>
      <c r="FP618" s="267"/>
      <c r="FQ618" s="264"/>
      <c r="FR618" s="264"/>
      <c r="FS618" s="264"/>
      <c r="FT618" s="264"/>
      <c r="FU618" s="267"/>
      <c r="FV618" s="267"/>
      <c r="FW618" s="267"/>
      <c r="FX618" s="267"/>
      <c r="FY618" s="267"/>
      <c r="GD618" s="267"/>
      <c r="GE618" s="267"/>
      <c r="GF618" s="267"/>
      <c r="GG618" s="267"/>
      <c r="GH618" s="267"/>
      <c r="GI618" s="264"/>
      <c r="GJ618" s="264"/>
      <c r="GK618" s="264"/>
      <c r="GL618" s="264"/>
      <c r="HD618" s="267"/>
      <c r="HE618" s="267"/>
      <c r="HF618" s="267"/>
      <c r="HG618" s="267"/>
      <c r="HH618" s="267"/>
      <c r="HI618" s="267"/>
      <c r="HJ618" s="267"/>
      <c r="HK618" s="267"/>
      <c r="HL618" s="267"/>
      <c r="HM618" s="267"/>
      <c r="HN618" s="267"/>
      <c r="HO618" s="267"/>
      <c r="HP618" s="267"/>
      <c r="HQ618" s="267"/>
      <c r="HR618" s="267"/>
      <c r="HS618" s="267"/>
      <c r="HT618" s="267"/>
      <c r="HU618" s="267"/>
      <c r="IH618" s="267"/>
      <c r="IK618" s="267"/>
      <c r="IN618" s="267"/>
      <c r="IQ618" s="267"/>
      <c r="IR618" s="267"/>
      <c r="IS618" s="267"/>
    </row>
    <row r="619" spans="10:253">
      <c r="J619" s="267"/>
      <c r="K619" s="267"/>
      <c r="L619" s="267"/>
      <c r="M619" s="267"/>
      <c r="N619" s="267"/>
      <c r="O619" s="267"/>
      <c r="P619" s="267"/>
      <c r="Q619" s="267"/>
      <c r="S619" s="267"/>
      <c r="T619" s="267"/>
      <c r="U619" s="267"/>
      <c r="V619" s="267"/>
      <c r="W619" s="264"/>
      <c r="Y619" s="267"/>
      <c r="Z619" s="267"/>
      <c r="AA619" s="267"/>
      <c r="AB619" s="267"/>
      <c r="AE619" s="267"/>
      <c r="AF619" s="267"/>
      <c r="AG619" s="267"/>
      <c r="AH619" s="267"/>
      <c r="AK619" s="267"/>
      <c r="AL619" s="267"/>
      <c r="AM619" s="267"/>
      <c r="AN619" s="267"/>
      <c r="AQ619" s="267"/>
      <c r="AR619" s="267"/>
      <c r="AS619" s="267"/>
      <c r="AT619" s="267"/>
      <c r="AW619" s="267"/>
      <c r="AX619" s="267"/>
      <c r="AY619" s="267"/>
      <c r="AZ619" s="267"/>
      <c r="BG619" s="269"/>
      <c r="BM619" s="269"/>
      <c r="BS619" s="269"/>
      <c r="BU619" s="267"/>
      <c r="BY619" s="267"/>
      <c r="CC619" s="267"/>
      <c r="CG619" s="267"/>
      <c r="CS619" s="267"/>
      <c r="CW619" s="270"/>
      <c r="CX619" s="267"/>
      <c r="DC619" s="267"/>
      <c r="DH619" s="267"/>
      <c r="DM619" s="267"/>
      <c r="DR619" s="267"/>
      <c r="DW619" s="267"/>
      <c r="EB619" s="267"/>
      <c r="EG619" s="267"/>
      <c r="EL619" s="267"/>
      <c r="EQ619" s="267"/>
      <c r="EU619" s="270"/>
      <c r="EV619" s="267"/>
      <c r="FC619" s="267"/>
      <c r="FD619" s="267"/>
      <c r="FE619" s="267"/>
      <c r="FF619" s="267"/>
      <c r="FG619" s="267"/>
      <c r="FL619" s="267"/>
      <c r="FM619" s="267"/>
      <c r="FN619" s="267"/>
      <c r="FO619" s="267"/>
      <c r="FP619" s="267"/>
      <c r="FQ619" s="264"/>
      <c r="FR619" s="264"/>
      <c r="FS619" s="264"/>
      <c r="FT619" s="264"/>
      <c r="FU619" s="267"/>
      <c r="FV619" s="267"/>
      <c r="FW619" s="267"/>
      <c r="FX619" s="267"/>
      <c r="FY619" s="267"/>
      <c r="GD619" s="267"/>
      <c r="GE619" s="267"/>
      <c r="GF619" s="267"/>
      <c r="GG619" s="267"/>
      <c r="GH619" s="267"/>
      <c r="GI619" s="264"/>
      <c r="GJ619" s="264"/>
      <c r="GK619" s="264"/>
      <c r="GL619" s="264"/>
      <c r="HD619" s="267"/>
      <c r="HE619" s="267"/>
      <c r="HF619" s="267"/>
      <c r="HG619" s="267"/>
      <c r="HH619" s="267"/>
      <c r="HI619" s="267"/>
      <c r="HJ619" s="267"/>
      <c r="HK619" s="267"/>
      <c r="HL619" s="267"/>
      <c r="HM619" s="267"/>
      <c r="HN619" s="267"/>
      <c r="HO619" s="267"/>
      <c r="HP619" s="267"/>
      <c r="HQ619" s="267"/>
      <c r="HR619" s="267"/>
      <c r="HS619" s="267"/>
      <c r="HT619" s="267"/>
      <c r="HU619" s="267"/>
      <c r="IH619" s="267"/>
      <c r="IK619" s="267"/>
      <c r="IN619" s="267"/>
      <c r="IQ619" s="267"/>
      <c r="IR619" s="267"/>
      <c r="IS619" s="267"/>
    </row>
    <row r="620" spans="10:253">
      <c r="J620" s="267"/>
      <c r="K620" s="267"/>
      <c r="L620" s="267"/>
      <c r="M620" s="267"/>
      <c r="N620" s="267"/>
      <c r="O620" s="267"/>
      <c r="P620" s="267"/>
      <c r="Q620" s="267"/>
      <c r="S620" s="267"/>
      <c r="T620" s="267"/>
      <c r="U620" s="267"/>
      <c r="V620" s="267"/>
      <c r="W620" s="264"/>
      <c r="Y620" s="267"/>
      <c r="Z620" s="267"/>
      <c r="AA620" s="267"/>
      <c r="AB620" s="267"/>
      <c r="AE620" s="267"/>
      <c r="AF620" s="267"/>
      <c r="AG620" s="267"/>
      <c r="AH620" s="267"/>
      <c r="AK620" s="267"/>
      <c r="AL620" s="267"/>
      <c r="AM620" s="267"/>
      <c r="AN620" s="267"/>
      <c r="AQ620" s="267"/>
      <c r="AR620" s="267"/>
      <c r="AS620" s="267"/>
      <c r="AT620" s="267"/>
      <c r="AW620" s="267"/>
      <c r="AX620" s="267"/>
      <c r="AY620" s="267"/>
      <c r="AZ620" s="267"/>
      <c r="BG620" s="269"/>
      <c r="BM620" s="269"/>
      <c r="BS620" s="269"/>
      <c r="BU620" s="267"/>
      <c r="BY620" s="267"/>
      <c r="CC620" s="267"/>
      <c r="CG620" s="267"/>
      <c r="CS620" s="267"/>
      <c r="CW620" s="270"/>
      <c r="CX620" s="267"/>
      <c r="DC620" s="267"/>
      <c r="DH620" s="267"/>
      <c r="DM620" s="267"/>
      <c r="DR620" s="267"/>
      <c r="DW620" s="267"/>
      <c r="EB620" s="267"/>
      <c r="EG620" s="267"/>
      <c r="EL620" s="267"/>
      <c r="EQ620" s="267"/>
      <c r="EU620" s="270"/>
      <c r="EV620" s="267"/>
      <c r="FC620" s="267"/>
      <c r="FD620" s="267"/>
      <c r="FE620" s="267"/>
      <c r="FF620" s="267"/>
      <c r="FG620" s="267"/>
      <c r="FL620" s="267"/>
      <c r="FM620" s="267"/>
      <c r="FN620" s="267"/>
      <c r="FO620" s="267"/>
      <c r="FP620" s="267"/>
      <c r="FQ620" s="264"/>
      <c r="FR620" s="264"/>
      <c r="FS620" s="264"/>
      <c r="FT620" s="264"/>
      <c r="FU620" s="267"/>
      <c r="FV620" s="267"/>
      <c r="FW620" s="267"/>
      <c r="FX620" s="267"/>
      <c r="FY620" s="267"/>
      <c r="GD620" s="267"/>
      <c r="GE620" s="267"/>
      <c r="GF620" s="267"/>
      <c r="GG620" s="267"/>
      <c r="GH620" s="267"/>
      <c r="GI620" s="264"/>
      <c r="GJ620" s="264"/>
      <c r="GK620" s="264"/>
      <c r="GL620" s="264"/>
      <c r="HD620" s="267"/>
      <c r="HE620" s="267"/>
      <c r="HF620" s="267"/>
      <c r="HG620" s="267"/>
      <c r="HH620" s="267"/>
      <c r="HI620" s="267"/>
      <c r="HJ620" s="267"/>
      <c r="HK620" s="267"/>
      <c r="HL620" s="267"/>
      <c r="HM620" s="267"/>
      <c r="HN620" s="267"/>
      <c r="HO620" s="267"/>
      <c r="HP620" s="267"/>
      <c r="HQ620" s="267"/>
      <c r="HR620" s="267"/>
      <c r="HS620" s="267"/>
      <c r="HT620" s="267"/>
      <c r="HU620" s="267"/>
      <c r="IH620" s="267"/>
      <c r="IK620" s="267"/>
      <c r="IN620" s="267"/>
      <c r="IQ620" s="267"/>
      <c r="IR620" s="267"/>
      <c r="IS620" s="267"/>
    </row>
    <row r="621" spans="10:253">
      <c r="J621" s="267"/>
      <c r="K621" s="267"/>
      <c r="L621" s="267"/>
      <c r="M621" s="267"/>
      <c r="N621" s="267"/>
      <c r="O621" s="267"/>
      <c r="P621" s="267"/>
      <c r="Q621" s="267"/>
      <c r="S621" s="267"/>
      <c r="T621" s="267"/>
      <c r="U621" s="267"/>
      <c r="V621" s="267"/>
      <c r="W621" s="264"/>
      <c r="Y621" s="267"/>
      <c r="Z621" s="267"/>
      <c r="AA621" s="267"/>
      <c r="AB621" s="267"/>
      <c r="AE621" s="267"/>
      <c r="AF621" s="267"/>
      <c r="AG621" s="267"/>
      <c r="AH621" s="267"/>
      <c r="AK621" s="267"/>
      <c r="AL621" s="267"/>
      <c r="AM621" s="267"/>
      <c r="AN621" s="267"/>
      <c r="AQ621" s="267"/>
      <c r="AR621" s="267"/>
      <c r="AS621" s="267"/>
      <c r="AT621" s="267"/>
      <c r="AW621" s="267"/>
      <c r="AX621" s="267"/>
      <c r="AY621" s="267"/>
      <c r="AZ621" s="267"/>
      <c r="BG621" s="269"/>
      <c r="BM621" s="269"/>
      <c r="BS621" s="269"/>
      <c r="BU621" s="267"/>
      <c r="BY621" s="267"/>
      <c r="CC621" s="267"/>
      <c r="CG621" s="267"/>
      <c r="CS621" s="267"/>
      <c r="CW621" s="270"/>
      <c r="CX621" s="267"/>
      <c r="DC621" s="267"/>
      <c r="DH621" s="267"/>
      <c r="DM621" s="267"/>
      <c r="DR621" s="267"/>
      <c r="DW621" s="267"/>
      <c r="EB621" s="267"/>
      <c r="EG621" s="267"/>
      <c r="EL621" s="267"/>
      <c r="EQ621" s="267"/>
      <c r="EU621" s="270"/>
      <c r="EV621" s="267"/>
      <c r="FC621" s="267"/>
      <c r="FD621" s="267"/>
      <c r="FE621" s="267"/>
      <c r="FF621" s="267"/>
      <c r="FG621" s="267"/>
      <c r="FL621" s="267"/>
      <c r="FM621" s="267"/>
      <c r="FN621" s="267"/>
      <c r="FO621" s="267"/>
      <c r="FP621" s="267"/>
      <c r="FQ621" s="264"/>
      <c r="FR621" s="264"/>
      <c r="FS621" s="264"/>
      <c r="FT621" s="264"/>
      <c r="FU621" s="267"/>
      <c r="FV621" s="267"/>
      <c r="FW621" s="267"/>
      <c r="FX621" s="267"/>
      <c r="FY621" s="267"/>
      <c r="GD621" s="267"/>
      <c r="GE621" s="267"/>
      <c r="GF621" s="267"/>
      <c r="GG621" s="267"/>
      <c r="GH621" s="267"/>
      <c r="GI621" s="264"/>
      <c r="GJ621" s="264"/>
      <c r="GK621" s="264"/>
      <c r="GL621" s="264"/>
      <c r="HD621" s="267"/>
      <c r="HE621" s="267"/>
      <c r="HF621" s="267"/>
      <c r="HG621" s="267"/>
      <c r="HH621" s="267"/>
      <c r="HI621" s="267"/>
      <c r="HJ621" s="267"/>
      <c r="HK621" s="267"/>
      <c r="HL621" s="267"/>
      <c r="HM621" s="267"/>
      <c r="HN621" s="267"/>
      <c r="HO621" s="267"/>
      <c r="HP621" s="267"/>
      <c r="HQ621" s="267"/>
      <c r="HR621" s="267"/>
      <c r="HS621" s="267"/>
      <c r="HT621" s="267"/>
      <c r="HU621" s="267"/>
      <c r="IH621" s="267"/>
      <c r="IK621" s="267"/>
      <c r="IN621" s="267"/>
      <c r="IQ621" s="267"/>
      <c r="IR621" s="267"/>
      <c r="IS621" s="267"/>
    </row>
    <row r="622" spans="10:253">
      <c r="J622" s="267"/>
      <c r="K622" s="267"/>
      <c r="L622" s="267"/>
      <c r="M622" s="267"/>
      <c r="N622" s="267"/>
      <c r="O622" s="267"/>
      <c r="P622" s="267"/>
      <c r="Q622" s="267"/>
      <c r="S622" s="267"/>
      <c r="T622" s="267"/>
      <c r="U622" s="267"/>
      <c r="V622" s="267"/>
      <c r="W622" s="264"/>
      <c r="Y622" s="267"/>
      <c r="Z622" s="267"/>
      <c r="AA622" s="267"/>
      <c r="AB622" s="267"/>
      <c r="AE622" s="267"/>
      <c r="AF622" s="267"/>
      <c r="AG622" s="267"/>
      <c r="AH622" s="267"/>
      <c r="AK622" s="267"/>
      <c r="AL622" s="267"/>
      <c r="AM622" s="267"/>
      <c r="AN622" s="267"/>
      <c r="AQ622" s="267"/>
      <c r="AR622" s="267"/>
      <c r="AS622" s="267"/>
      <c r="AT622" s="267"/>
      <c r="AW622" s="267"/>
      <c r="AX622" s="267"/>
      <c r="AY622" s="267"/>
      <c r="AZ622" s="267"/>
      <c r="BG622" s="269"/>
      <c r="BM622" s="269"/>
      <c r="BS622" s="269"/>
      <c r="BU622" s="267"/>
      <c r="BY622" s="267"/>
      <c r="CC622" s="267"/>
      <c r="CG622" s="267"/>
      <c r="CS622" s="267"/>
      <c r="CW622" s="270"/>
      <c r="CX622" s="267"/>
      <c r="DC622" s="267"/>
      <c r="DH622" s="267"/>
      <c r="DM622" s="267"/>
      <c r="DR622" s="267"/>
      <c r="DW622" s="267"/>
      <c r="EB622" s="267"/>
      <c r="EG622" s="267"/>
      <c r="EL622" s="267"/>
      <c r="EQ622" s="267"/>
      <c r="EU622" s="270"/>
      <c r="EV622" s="267"/>
      <c r="FC622" s="267"/>
      <c r="FD622" s="267"/>
      <c r="FE622" s="267"/>
      <c r="FF622" s="267"/>
      <c r="FG622" s="267"/>
      <c r="FL622" s="267"/>
      <c r="FM622" s="267"/>
      <c r="FN622" s="267"/>
      <c r="FO622" s="267"/>
      <c r="FP622" s="267"/>
      <c r="FQ622" s="264"/>
      <c r="FR622" s="264"/>
      <c r="FS622" s="264"/>
      <c r="FT622" s="264"/>
      <c r="FU622" s="267"/>
      <c r="FV622" s="267"/>
      <c r="FW622" s="267"/>
      <c r="FX622" s="267"/>
      <c r="FY622" s="267"/>
      <c r="GD622" s="267"/>
      <c r="GE622" s="267"/>
      <c r="GF622" s="267"/>
      <c r="GG622" s="267"/>
      <c r="GH622" s="267"/>
      <c r="GI622" s="264"/>
      <c r="GJ622" s="264"/>
      <c r="GK622" s="264"/>
      <c r="GL622" s="264"/>
      <c r="HD622" s="267"/>
      <c r="HE622" s="267"/>
      <c r="HF622" s="267"/>
      <c r="HG622" s="267"/>
      <c r="HH622" s="267"/>
      <c r="HI622" s="267"/>
      <c r="HJ622" s="267"/>
      <c r="HK622" s="267"/>
      <c r="HL622" s="267"/>
      <c r="HM622" s="267"/>
      <c r="HN622" s="267"/>
      <c r="HO622" s="267"/>
      <c r="HP622" s="267"/>
      <c r="HQ622" s="267"/>
      <c r="HR622" s="267"/>
      <c r="HS622" s="267"/>
      <c r="HT622" s="267"/>
      <c r="HU622" s="267"/>
      <c r="IH622" s="267"/>
      <c r="IK622" s="267"/>
      <c r="IN622" s="267"/>
      <c r="IQ622" s="267"/>
      <c r="IR622" s="267"/>
      <c r="IS622" s="267"/>
    </row>
    <row r="623" spans="10:253">
      <c r="J623" s="267"/>
      <c r="K623" s="267"/>
      <c r="L623" s="267"/>
      <c r="M623" s="267"/>
      <c r="N623" s="267"/>
      <c r="O623" s="267"/>
      <c r="P623" s="267"/>
      <c r="Q623" s="267"/>
      <c r="S623" s="267"/>
      <c r="T623" s="267"/>
      <c r="U623" s="267"/>
      <c r="V623" s="267"/>
      <c r="W623" s="264"/>
      <c r="Y623" s="267"/>
      <c r="Z623" s="267"/>
      <c r="AA623" s="267"/>
      <c r="AB623" s="267"/>
      <c r="AE623" s="267"/>
      <c r="AF623" s="267"/>
      <c r="AG623" s="267"/>
      <c r="AH623" s="267"/>
      <c r="AK623" s="267"/>
      <c r="AL623" s="267"/>
      <c r="AM623" s="267"/>
      <c r="AN623" s="267"/>
      <c r="AQ623" s="267"/>
      <c r="AR623" s="267"/>
      <c r="AS623" s="267"/>
      <c r="AT623" s="267"/>
      <c r="AW623" s="267"/>
      <c r="AX623" s="267"/>
      <c r="AY623" s="267"/>
      <c r="AZ623" s="267"/>
      <c r="BG623" s="269"/>
      <c r="BM623" s="269"/>
      <c r="BS623" s="269"/>
      <c r="BU623" s="267"/>
      <c r="BY623" s="267"/>
      <c r="CC623" s="267"/>
      <c r="CG623" s="267"/>
      <c r="CS623" s="267"/>
      <c r="CW623" s="270"/>
      <c r="CX623" s="267"/>
      <c r="DC623" s="267"/>
      <c r="DH623" s="267"/>
      <c r="DM623" s="267"/>
      <c r="DR623" s="267"/>
      <c r="DW623" s="267"/>
      <c r="EB623" s="267"/>
      <c r="EG623" s="267"/>
      <c r="EL623" s="267"/>
      <c r="EQ623" s="267"/>
      <c r="EU623" s="270"/>
      <c r="EV623" s="267"/>
      <c r="FC623" s="267"/>
      <c r="FD623" s="267"/>
      <c r="FE623" s="267"/>
      <c r="FF623" s="267"/>
      <c r="FG623" s="267"/>
      <c r="FL623" s="267"/>
      <c r="FM623" s="267"/>
      <c r="FN623" s="267"/>
      <c r="FO623" s="267"/>
      <c r="FP623" s="267"/>
      <c r="FQ623" s="264"/>
      <c r="FR623" s="264"/>
      <c r="FS623" s="264"/>
      <c r="FT623" s="264"/>
      <c r="FU623" s="267"/>
      <c r="FV623" s="267"/>
      <c r="FW623" s="267"/>
      <c r="FX623" s="267"/>
      <c r="FY623" s="267"/>
      <c r="GD623" s="267"/>
      <c r="GE623" s="267"/>
      <c r="GF623" s="267"/>
      <c r="GG623" s="267"/>
      <c r="GH623" s="267"/>
      <c r="GI623" s="264"/>
      <c r="GJ623" s="264"/>
      <c r="GK623" s="264"/>
      <c r="GL623" s="264"/>
      <c r="HD623" s="267"/>
      <c r="HE623" s="267"/>
      <c r="HF623" s="267"/>
      <c r="HG623" s="267"/>
      <c r="HH623" s="267"/>
      <c r="HI623" s="267"/>
      <c r="HJ623" s="267"/>
      <c r="HK623" s="267"/>
      <c r="HL623" s="267"/>
      <c r="HM623" s="267"/>
      <c r="HN623" s="267"/>
      <c r="HO623" s="267"/>
      <c r="HP623" s="267"/>
      <c r="HQ623" s="267"/>
      <c r="HR623" s="267"/>
      <c r="HS623" s="267"/>
      <c r="HT623" s="267"/>
      <c r="HU623" s="267"/>
      <c r="IH623" s="267"/>
      <c r="IK623" s="267"/>
      <c r="IN623" s="267"/>
      <c r="IQ623" s="267"/>
      <c r="IR623" s="267"/>
      <c r="IS623" s="267"/>
    </row>
    <row r="624" spans="10:253">
      <c r="J624" s="267"/>
      <c r="K624" s="267"/>
      <c r="L624" s="267"/>
      <c r="M624" s="267"/>
      <c r="N624" s="267"/>
      <c r="O624" s="267"/>
      <c r="P624" s="267"/>
      <c r="Q624" s="267"/>
      <c r="S624" s="267"/>
      <c r="T624" s="267"/>
      <c r="U624" s="267"/>
      <c r="V624" s="267"/>
      <c r="W624" s="264"/>
      <c r="Y624" s="267"/>
      <c r="Z624" s="267"/>
      <c r="AA624" s="267"/>
      <c r="AB624" s="267"/>
      <c r="AE624" s="267"/>
      <c r="AF624" s="267"/>
      <c r="AG624" s="267"/>
      <c r="AH624" s="267"/>
      <c r="AK624" s="267"/>
      <c r="AL624" s="267"/>
      <c r="AM624" s="267"/>
      <c r="AN624" s="267"/>
      <c r="AQ624" s="267"/>
      <c r="AR624" s="267"/>
      <c r="AS624" s="267"/>
      <c r="AT624" s="267"/>
      <c r="AW624" s="267"/>
      <c r="AX624" s="267"/>
      <c r="AY624" s="267"/>
      <c r="AZ624" s="267"/>
      <c r="BG624" s="269"/>
      <c r="BM624" s="269"/>
      <c r="BS624" s="269"/>
      <c r="BU624" s="267"/>
      <c r="BY624" s="267"/>
      <c r="CC624" s="267"/>
      <c r="CG624" s="267"/>
      <c r="CS624" s="267"/>
      <c r="CW624" s="270"/>
      <c r="CX624" s="267"/>
      <c r="DC624" s="267"/>
      <c r="DH624" s="267"/>
      <c r="DM624" s="267"/>
      <c r="DR624" s="267"/>
      <c r="DW624" s="267"/>
      <c r="EB624" s="267"/>
      <c r="EG624" s="267"/>
      <c r="EL624" s="267"/>
      <c r="EQ624" s="267"/>
      <c r="EU624" s="270"/>
      <c r="EV624" s="267"/>
      <c r="FC624" s="267"/>
      <c r="FD624" s="267"/>
      <c r="FE624" s="267"/>
      <c r="FF624" s="267"/>
      <c r="FG624" s="267"/>
      <c r="FL624" s="267"/>
      <c r="FM624" s="267"/>
      <c r="FN624" s="267"/>
      <c r="FO624" s="267"/>
      <c r="FP624" s="267"/>
      <c r="FQ624" s="264"/>
      <c r="FR624" s="264"/>
      <c r="FS624" s="264"/>
      <c r="FT624" s="264"/>
      <c r="FU624" s="267"/>
      <c r="FV624" s="267"/>
      <c r="FW624" s="267"/>
      <c r="FX624" s="267"/>
      <c r="FY624" s="267"/>
      <c r="GD624" s="267"/>
      <c r="GE624" s="267"/>
      <c r="GF624" s="267"/>
      <c r="GG624" s="267"/>
      <c r="GH624" s="267"/>
      <c r="GI624" s="264"/>
      <c r="GJ624" s="264"/>
      <c r="GK624" s="264"/>
      <c r="GL624" s="264"/>
      <c r="HD624" s="267"/>
      <c r="HE624" s="267"/>
      <c r="HF624" s="267"/>
      <c r="HG624" s="267"/>
      <c r="HH624" s="267"/>
      <c r="HI624" s="267"/>
      <c r="HJ624" s="267"/>
      <c r="HK624" s="267"/>
      <c r="HL624" s="267"/>
      <c r="HM624" s="267"/>
      <c r="HN624" s="267"/>
      <c r="HO624" s="267"/>
      <c r="HP624" s="267"/>
      <c r="HQ624" s="267"/>
      <c r="HR624" s="267"/>
      <c r="HS624" s="267"/>
      <c r="HT624" s="267"/>
      <c r="HU624" s="267"/>
      <c r="IH624" s="267"/>
      <c r="IK624" s="267"/>
      <c r="IN624" s="267"/>
      <c r="IQ624" s="267"/>
      <c r="IR624" s="267"/>
      <c r="IS624" s="267"/>
    </row>
    <row r="625" spans="10:253">
      <c r="J625" s="267"/>
      <c r="K625" s="267"/>
      <c r="L625" s="267"/>
      <c r="M625" s="267"/>
      <c r="N625" s="267"/>
      <c r="O625" s="267"/>
      <c r="P625" s="267"/>
      <c r="Q625" s="267"/>
      <c r="S625" s="267"/>
      <c r="T625" s="267"/>
      <c r="U625" s="267"/>
      <c r="V625" s="267"/>
      <c r="W625" s="264"/>
      <c r="Y625" s="267"/>
      <c r="Z625" s="267"/>
      <c r="AA625" s="267"/>
      <c r="AB625" s="267"/>
      <c r="AE625" s="267"/>
      <c r="AF625" s="267"/>
      <c r="AG625" s="267"/>
      <c r="AH625" s="267"/>
      <c r="AK625" s="267"/>
      <c r="AL625" s="267"/>
      <c r="AM625" s="267"/>
      <c r="AN625" s="267"/>
      <c r="AQ625" s="267"/>
      <c r="AR625" s="267"/>
      <c r="AS625" s="267"/>
      <c r="AT625" s="267"/>
      <c r="AW625" s="267"/>
      <c r="AX625" s="267"/>
      <c r="AY625" s="267"/>
      <c r="AZ625" s="267"/>
      <c r="BG625" s="269"/>
      <c r="BM625" s="269"/>
      <c r="BS625" s="269"/>
      <c r="BU625" s="267"/>
      <c r="BY625" s="267"/>
      <c r="CC625" s="267"/>
      <c r="CG625" s="267"/>
      <c r="CS625" s="267"/>
      <c r="CW625" s="270"/>
      <c r="CX625" s="267"/>
      <c r="DC625" s="267"/>
      <c r="DH625" s="267"/>
      <c r="DM625" s="267"/>
      <c r="DR625" s="267"/>
      <c r="DW625" s="267"/>
      <c r="EB625" s="267"/>
      <c r="EG625" s="267"/>
      <c r="EL625" s="267"/>
      <c r="EQ625" s="267"/>
      <c r="EU625" s="270"/>
      <c r="EV625" s="267"/>
      <c r="FC625" s="267"/>
      <c r="FD625" s="267"/>
      <c r="FE625" s="267"/>
      <c r="FF625" s="267"/>
      <c r="FG625" s="267"/>
      <c r="FL625" s="267"/>
      <c r="FM625" s="267"/>
      <c r="FN625" s="267"/>
      <c r="FO625" s="267"/>
      <c r="FP625" s="267"/>
      <c r="FQ625" s="264"/>
      <c r="FR625" s="264"/>
      <c r="FS625" s="264"/>
      <c r="FT625" s="264"/>
      <c r="FU625" s="267"/>
      <c r="FV625" s="267"/>
      <c r="FW625" s="267"/>
      <c r="FX625" s="267"/>
      <c r="FY625" s="267"/>
      <c r="GD625" s="267"/>
      <c r="GE625" s="267"/>
      <c r="GF625" s="267"/>
      <c r="GG625" s="267"/>
      <c r="GH625" s="267"/>
      <c r="GI625" s="264"/>
      <c r="GJ625" s="264"/>
      <c r="GK625" s="264"/>
      <c r="GL625" s="264"/>
      <c r="HD625" s="267"/>
      <c r="HE625" s="267"/>
      <c r="HF625" s="267"/>
      <c r="HG625" s="267"/>
      <c r="HH625" s="267"/>
      <c r="HI625" s="267"/>
      <c r="HJ625" s="267"/>
      <c r="HK625" s="267"/>
      <c r="HL625" s="267"/>
      <c r="HM625" s="267"/>
      <c r="HN625" s="267"/>
      <c r="HO625" s="267"/>
      <c r="HP625" s="267"/>
      <c r="HQ625" s="267"/>
      <c r="HR625" s="267"/>
      <c r="HS625" s="267"/>
      <c r="HT625" s="267"/>
      <c r="HU625" s="267"/>
      <c r="IH625" s="267"/>
      <c r="IK625" s="267"/>
      <c r="IN625" s="267"/>
      <c r="IQ625" s="267"/>
      <c r="IR625" s="267"/>
      <c r="IS625" s="267"/>
    </row>
    <row r="626" spans="10:253">
      <c r="J626" s="267"/>
      <c r="K626" s="267"/>
      <c r="L626" s="267"/>
      <c r="M626" s="267"/>
      <c r="N626" s="267"/>
      <c r="O626" s="267"/>
      <c r="P626" s="267"/>
      <c r="Q626" s="267"/>
      <c r="S626" s="267"/>
      <c r="T626" s="267"/>
      <c r="U626" s="267"/>
      <c r="V626" s="267"/>
      <c r="W626" s="264"/>
      <c r="Y626" s="267"/>
      <c r="Z626" s="267"/>
      <c r="AA626" s="267"/>
      <c r="AB626" s="267"/>
      <c r="AE626" s="267"/>
      <c r="AF626" s="267"/>
      <c r="AG626" s="267"/>
      <c r="AH626" s="267"/>
      <c r="AK626" s="267"/>
      <c r="AL626" s="267"/>
      <c r="AM626" s="267"/>
      <c r="AN626" s="267"/>
      <c r="AQ626" s="267"/>
      <c r="AR626" s="267"/>
      <c r="AS626" s="267"/>
      <c r="AT626" s="267"/>
      <c r="AW626" s="267"/>
      <c r="AX626" s="267"/>
      <c r="AY626" s="267"/>
      <c r="AZ626" s="267"/>
      <c r="BG626" s="269"/>
      <c r="BM626" s="269"/>
      <c r="BS626" s="269"/>
      <c r="BU626" s="267"/>
      <c r="BY626" s="267"/>
      <c r="CC626" s="267"/>
      <c r="CG626" s="267"/>
      <c r="CS626" s="267"/>
      <c r="CW626" s="270"/>
      <c r="CX626" s="267"/>
      <c r="DC626" s="267"/>
      <c r="DH626" s="267"/>
      <c r="DM626" s="267"/>
      <c r="DR626" s="267"/>
      <c r="DW626" s="267"/>
      <c r="EB626" s="267"/>
      <c r="EG626" s="267"/>
      <c r="EL626" s="267"/>
      <c r="EQ626" s="267"/>
      <c r="EU626" s="270"/>
      <c r="EV626" s="267"/>
      <c r="FC626" s="267"/>
      <c r="FD626" s="267"/>
      <c r="FE626" s="267"/>
      <c r="FF626" s="267"/>
      <c r="FG626" s="267"/>
      <c r="FL626" s="267"/>
      <c r="FM626" s="267"/>
      <c r="FN626" s="267"/>
      <c r="FO626" s="267"/>
      <c r="FP626" s="267"/>
      <c r="FQ626" s="264"/>
      <c r="FR626" s="264"/>
      <c r="FS626" s="264"/>
      <c r="FT626" s="264"/>
      <c r="FU626" s="267"/>
      <c r="FV626" s="267"/>
      <c r="FW626" s="267"/>
      <c r="FX626" s="267"/>
      <c r="FY626" s="267"/>
      <c r="GD626" s="267"/>
      <c r="GE626" s="267"/>
      <c r="GF626" s="267"/>
      <c r="GG626" s="267"/>
      <c r="GH626" s="267"/>
      <c r="GI626" s="264"/>
      <c r="GJ626" s="264"/>
      <c r="GK626" s="264"/>
      <c r="GL626" s="264"/>
      <c r="HD626" s="267"/>
      <c r="HE626" s="267"/>
      <c r="HF626" s="267"/>
      <c r="HG626" s="267"/>
      <c r="HH626" s="267"/>
      <c r="HI626" s="267"/>
      <c r="HJ626" s="267"/>
      <c r="HK626" s="267"/>
      <c r="HL626" s="267"/>
      <c r="HM626" s="267"/>
      <c r="HN626" s="267"/>
      <c r="HO626" s="267"/>
      <c r="HP626" s="267"/>
      <c r="HQ626" s="267"/>
      <c r="HR626" s="267"/>
      <c r="HS626" s="267"/>
      <c r="HT626" s="267"/>
      <c r="HU626" s="267"/>
      <c r="IH626" s="267"/>
      <c r="IK626" s="267"/>
      <c r="IN626" s="267"/>
      <c r="IQ626" s="267"/>
      <c r="IR626" s="267"/>
      <c r="IS626" s="267"/>
    </row>
    <row r="627" spans="10:253">
      <c r="J627" s="267"/>
      <c r="K627" s="267"/>
      <c r="L627" s="267"/>
      <c r="M627" s="267"/>
      <c r="N627" s="267"/>
      <c r="O627" s="267"/>
      <c r="P627" s="267"/>
      <c r="Q627" s="267"/>
      <c r="S627" s="267"/>
      <c r="T627" s="267"/>
      <c r="U627" s="267"/>
      <c r="V627" s="267"/>
      <c r="W627" s="264"/>
      <c r="Y627" s="267"/>
      <c r="Z627" s="267"/>
      <c r="AA627" s="267"/>
      <c r="AB627" s="267"/>
      <c r="AE627" s="267"/>
      <c r="AF627" s="267"/>
      <c r="AG627" s="267"/>
      <c r="AH627" s="267"/>
      <c r="AK627" s="267"/>
      <c r="AL627" s="267"/>
      <c r="AM627" s="267"/>
      <c r="AN627" s="267"/>
      <c r="AQ627" s="267"/>
      <c r="AR627" s="267"/>
      <c r="AS627" s="267"/>
      <c r="AT627" s="267"/>
      <c r="AW627" s="267"/>
      <c r="AX627" s="267"/>
      <c r="AY627" s="267"/>
      <c r="AZ627" s="267"/>
      <c r="BG627" s="269"/>
      <c r="BM627" s="269"/>
      <c r="BS627" s="269"/>
      <c r="BU627" s="267"/>
      <c r="BY627" s="267"/>
      <c r="CC627" s="267"/>
      <c r="CG627" s="267"/>
      <c r="CS627" s="267"/>
      <c r="CW627" s="270"/>
      <c r="CX627" s="267"/>
      <c r="DC627" s="267"/>
      <c r="DH627" s="267"/>
      <c r="DM627" s="267"/>
      <c r="DR627" s="267"/>
      <c r="DW627" s="267"/>
      <c r="EB627" s="267"/>
      <c r="EG627" s="267"/>
      <c r="EL627" s="267"/>
      <c r="EQ627" s="267"/>
      <c r="EU627" s="270"/>
      <c r="EV627" s="267"/>
      <c r="FC627" s="267"/>
      <c r="FD627" s="267"/>
      <c r="FE627" s="267"/>
      <c r="FF627" s="267"/>
      <c r="FG627" s="267"/>
      <c r="FL627" s="267"/>
      <c r="FM627" s="267"/>
      <c r="FN627" s="267"/>
      <c r="FO627" s="267"/>
      <c r="FP627" s="267"/>
      <c r="FQ627" s="264"/>
      <c r="FR627" s="264"/>
      <c r="FS627" s="264"/>
      <c r="FT627" s="264"/>
      <c r="FU627" s="267"/>
      <c r="FV627" s="267"/>
      <c r="FW627" s="267"/>
      <c r="FX627" s="267"/>
      <c r="FY627" s="267"/>
      <c r="GD627" s="267"/>
      <c r="GE627" s="267"/>
      <c r="GF627" s="267"/>
      <c r="GG627" s="267"/>
      <c r="GH627" s="267"/>
      <c r="GI627" s="264"/>
      <c r="GJ627" s="264"/>
      <c r="GK627" s="264"/>
      <c r="GL627" s="264"/>
      <c r="HD627" s="267"/>
      <c r="HE627" s="267"/>
      <c r="HF627" s="267"/>
      <c r="HG627" s="267"/>
      <c r="HH627" s="267"/>
      <c r="HI627" s="267"/>
      <c r="HJ627" s="267"/>
      <c r="HK627" s="267"/>
      <c r="HL627" s="267"/>
      <c r="HM627" s="267"/>
      <c r="HN627" s="267"/>
      <c r="HO627" s="267"/>
      <c r="HP627" s="267"/>
      <c r="HQ627" s="267"/>
      <c r="HR627" s="267"/>
      <c r="HS627" s="267"/>
      <c r="HT627" s="267"/>
      <c r="HU627" s="267"/>
      <c r="IH627" s="267"/>
      <c r="IK627" s="267"/>
      <c r="IN627" s="267"/>
      <c r="IQ627" s="267"/>
      <c r="IR627" s="267"/>
      <c r="IS627" s="267"/>
    </row>
    <row r="628" spans="10:253">
      <c r="J628" s="267"/>
      <c r="K628" s="267"/>
      <c r="L628" s="267"/>
      <c r="M628" s="267"/>
      <c r="N628" s="267"/>
      <c r="O628" s="267"/>
      <c r="P628" s="267"/>
      <c r="Q628" s="267"/>
      <c r="S628" s="267"/>
      <c r="T628" s="267"/>
      <c r="U628" s="267"/>
      <c r="V628" s="267"/>
      <c r="W628" s="264"/>
      <c r="Y628" s="267"/>
      <c r="Z628" s="267"/>
      <c r="AA628" s="267"/>
      <c r="AB628" s="267"/>
      <c r="AE628" s="267"/>
      <c r="AF628" s="267"/>
      <c r="AG628" s="267"/>
      <c r="AH628" s="267"/>
      <c r="AK628" s="267"/>
      <c r="AL628" s="267"/>
      <c r="AM628" s="267"/>
      <c r="AN628" s="267"/>
      <c r="AQ628" s="267"/>
      <c r="AR628" s="267"/>
      <c r="AS628" s="267"/>
      <c r="AT628" s="267"/>
      <c r="AW628" s="267"/>
      <c r="AX628" s="267"/>
      <c r="AY628" s="267"/>
      <c r="AZ628" s="267"/>
      <c r="BG628" s="269"/>
      <c r="BM628" s="269"/>
      <c r="BS628" s="269"/>
      <c r="BU628" s="267"/>
      <c r="BY628" s="267"/>
      <c r="CC628" s="267"/>
      <c r="CG628" s="267"/>
      <c r="CS628" s="267"/>
      <c r="CW628" s="270"/>
      <c r="CX628" s="267"/>
      <c r="DC628" s="267"/>
      <c r="DH628" s="267"/>
      <c r="DM628" s="267"/>
      <c r="DR628" s="267"/>
      <c r="DW628" s="267"/>
      <c r="EB628" s="267"/>
      <c r="EG628" s="267"/>
      <c r="EL628" s="267"/>
      <c r="EQ628" s="267"/>
      <c r="EU628" s="270"/>
      <c r="EV628" s="267"/>
      <c r="FC628" s="267"/>
      <c r="FD628" s="267"/>
      <c r="FE628" s="267"/>
      <c r="FF628" s="267"/>
      <c r="FG628" s="267"/>
      <c r="FL628" s="267"/>
      <c r="FM628" s="267"/>
      <c r="FN628" s="267"/>
      <c r="FO628" s="267"/>
      <c r="FP628" s="267"/>
      <c r="FQ628" s="264"/>
      <c r="FR628" s="264"/>
      <c r="FS628" s="264"/>
      <c r="FT628" s="264"/>
      <c r="FU628" s="267"/>
      <c r="FV628" s="267"/>
      <c r="FW628" s="267"/>
      <c r="FX628" s="267"/>
      <c r="FY628" s="267"/>
      <c r="GD628" s="267"/>
      <c r="GE628" s="267"/>
      <c r="GF628" s="267"/>
      <c r="GG628" s="267"/>
      <c r="GH628" s="267"/>
      <c r="GI628" s="264"/>
      <c r="GJ628" s="264"/>
      <c r="GK628" s="264"/>
      <c r="GL628" s="264"/>
      <c r="HD628" s="267"/>
      <c r="HE628" s="267"/>
      <c r="HF628" s="267"/>
      <c r="HG628" s="267"/>
      <c r="HH628" s="267"/>
      <c r="HI628" s="267"/>
      <c r="HJ628" s="267"/>
      <c r="HK628" s="267"/>
      <c r="HL628" s="267"/>
      <c r="HM628" s="267"/>
      <c r="HN628" s="267"/>
      <c r="HO628" s="267"/>
      <c r="HP628" s="267"/>
      <c r="HQ628" s="267"/>
      <c r="HR628" s="267"/>
      <c r="HS628" s="267"/>
      <c r="HT628" s="267"/>
      <c r="HU628" s="267"/>
      <c r="IH628" s="267"/>
      <c r="IK628" s="267"/>
      <c r="IN628" s="267"/>
      <c r="IQ628" s="267"/>
      <c r="IR628" s="267"/>
      <c r="IS628" s="267"/>
    </row>
    <row r="629" spans="10:253">
      <c r="J629" s="267"/>
      <c r="K629" s="267"/>
      <c r="L629" s="267"/>
      <c r="M629" s="267"/>
      <c r="N629" s="267"/>
      <c r="O629" s="267"/>
      <c r="P629" s="267"/>
      <c r="Q629" s="267"/>
      <c r="S629" s="267"/>
      <c r="T629" s="267"/>
      <c r="U629" s="267"/>
      <c r="V629" s="267"/>
      <c r="W629" s="264"/>
      <c r="Y629" s="267"/>
      <c r="Z629" s="267"/>
      <c r="AA629" s="267"/>
      <c r="AB629" s="267"/>
      <c r="AE629" s="267"/>
      <c r="AF629" s="267"/>
      <c r="AG629" s="267"/>
      <c r="AH629" s="267"/>
      <c r="AK629" s="267"/>
      <c r="AL629" s="267"/>
      <c r="AM629" s="267"/>
      <c r="AN629" s="267"/>
      <c r="AQ629" s="267"/>
      <c r="AR629" s="267"/>
      <c r="AS629" s="267"/>
      <c r="AT629" s="267"/>
      <c r="AW629" s="267"/>
      <c r="AX629" s="267"/>
      <c r="AY629" s="267"/>
      <c r="AZ629" s="267"/>
      <c r="BG629" s="269"/>
      <c r="BM629" s="269"/>
      <c r="BS629" s="269"/>
      <c r="BU629" s="267"/>
      <c r="BY629" s="267"/>
      <c r="CC629" s="267"/>
      <c r="CG629" s="267"/>
      <c r="CS629" s="267"/>
      <c r="CW629" s="270"/>
      <c r="CX629" s="267"/>
      <c r="DC629" s="267"/>
      <c r="DH629" s="267"/>
      <c r="DM629" s="267"/>
      <c r="DR629" s="267"/>
      <c r="DW629" s="267"/>
      <c r="EB629" s="267"/>
      <c r="EG629" s="267"/>
      <c r="EL629" s="267"/>
      <c r="EQ629" s="267"/>
      <c r="EU629" s="270"/>
      <c r="EV629" s="267"/>
      <c r="FC629" s="267"/>
      <c r="FD629" s="267"/>
      <c r="FE629" s="267"/>
      <c r="FF629" s="267"/>
      <c r="FG629" s="267"/>
      <c r="FL629" s="267"/>
      <c r="FM629" s="267"/>
      <c r="FN629" s="267"/>
      <c r="FO629" s="267"/>
      <c r="FP629" s="267"/>
      <c r="FQ629" s="264"/>
      <c r="FR629" s="264"/>
      <c r="FS629" s="264"/>
      <c r="FT629" s="264"/>
      <c r="FU629" s="267"/>
      <c r="FV629" s="267"/>
      <c r="FW629" s="267"/>
      <c r="FX629" s="267"/>
      <c r="FY629" s="267"/>
      <c r="GD629" s="267"/>
      <c r="GE629" s="267"/>
      <c r="GF629" s="267"/>
      <c r="GG629" s="267"/>
      <c r="GH629" s="267"/>
      <c r="GI629" s="264"/>
      <c r="GJ629" s="264"/>
      <c r="GK629" s="264"/>
      <c r="GL629" s="264"/>
      <c r="HD629" s="267"/>
      <c r="HE629" s="267"/>
      <c r="HF629" s="267"/>
      <c r="HG629" s="267"/>
      <c r="HH629" s="267"/>
      <c r="HI629" s="267"/>
      <c r="HJ629" s="267"/>
      <c r="HK629" s="267"/>
      <c r="HL629" s="267"/>
      <c r="HM629" s="267"/>
      <c r="HN629" s="267"/>
      <c r="HO629" s="267"/>
      <c r="HP629" s="267"/>
      <c r="HQ629" s="267"/>
      <c r="HR629" s="267"/>
      <c r="HS629" s="267"/>
      <c r="HT629" s="267"/>
      <c r="HU629" s="267"/>
      <c r="IH629" s="267"/>
      <c r="IK629" s="267"/>
      <c r="IN629" s="267"/>
      <c r="IQ629" s="267"/>
      <c r="IR629" s="267"/>
      <c r="IS629" s="267"/>
    </row>
    <row r="630" spans="10:253">
      <c r="J630" s="267"/>
      <c r="K630" s="267"/>
      <c r="L630" s="267"/>
      <c r="M630" s="267"/>
      <c r="N630" s="267"/>
      <c r="O630" s="267"/>
      <c r="P630" s="267"/>
      <c r="Q630" s="267"/>
      <c r="S630" s="267"/>
      <c r="T630" s="267"/>
      <c r="U630" s="267"/>
      <c r="V630" s="267"/>
      <c r="W630" s="264"/>
      <c r="Y630" s="267"/>
      <c r="Z630" s="267"/>
      <c r="AA630" s="267"/>
      <c r="AB630" s="267"/>
      <c r="AE630" s="267"/>
      <c r="AF630" s="267"/>
      <c r="AG630" s="267"/>
      <c r="AH630" s="267"/>
      <c r="AK630" s="267"/>
      <c r="AL630" s="267"/>
      <c r="AM630" s="267"/>
      <c r="AN630" s="267"/>
      <c r="AQ630" s="267"/>
      <c r="AR630" s="267"/>
      <c r="AS630" s="267"/>
      <c r="AT630" s="267"/>
      <c r="AW630" s="267"/>
      <c r="AX630" s="267"/>
      <c r="AY630" s="267"/>
      <c r="AZ630" s="267"/>
      <c r="BG630" s="269"/>
      <c r="BM630" s="269"/>
      <c r="BS630" s="269"/>
      <c r="BU630" s="267"/>
      <c r="BY630" s="267"/>
      <c r="CC630" s="267"/>
      <c r="CG630" s="267"/>
      <c r="CS630" s="267"/>
      <c r="CW630" s="270"/>
      <c r="CX630" s="267"/>
      <c r="DC630" s="267"/>
      <c r="DH630" s="267"/>
      <c r="DM630" s="267"/>
      <c r="DR630" s="267"/>
      <c r="DW630" s="267"/>
      <c r="EB630" s="267"/>
      <c r="EG630" s="267"/>
      <c r="EL630" s="267"/>
      <c r="EQ630" s="267"/>
      <c r="EU630" s="270"/>
      <c r="EV630" s="267"/>
      <c r="FC630" s="267"/>
      <c r="FD630" s="267"/>
      <c r="FE630" s="267"/>
      <c r="FF630" s="267"/>
      <c r="FG630" s="267"/>
      <c r="FL630" s="267"/>
      <c r="FM630" s="267"/>
      <c r="FN630" s="267"/>
      <c r="FO630" s="267"/>
      <c r="FP630" s="267"/>
      <c r="FQ630" s="264"/>
      <c r="FR630" s="264"/>
      <c r="FS630" s="264"/>
      <c r="FT630" s="264"/>
      <c r="FU630" s="267"/>
      <c r="FV630" s="267"/>
      <c r="FW630" s="267"/>
      <c r="FX630" s="267"/>
      <c r="FY630" s="267"/>
      <c r="GD630" s="267"/>
      <c r="GE630" s="267"/>
      <c r="GF630" s="267"/>
      <c r="GG630" s="267"/>
      <c r="GH630" s="267"/>
      <c r="GI630" s="264"/>
      <c r="GJ630" s="264"/>
      <c r="GK630" s="264"/>
      <c r="GL630" s="264"/>
      <c r="HD630" s="267"/>
      <c r="HE630" s="267"/>
      <c r="HF630" s="267"/>
      <c r="HG630" s="267"/>
      <c r="HH630" s="267"/>
      <c r="HI630" s="267"/>
      <c r="HJ630" s="267"/>
      <c r="HK630" s="267"/>
      <c r="HL630" s="267"/>
      <c r="HM630" s="267"/>
      <c r="HN630" s="267"/>
      <c r="HO630" s="267"/>
      <c r="HP630" s="267"/>
      <c r="HQ630" s="267"/>
      <c r="HR630" s="267"/>
      <c r="HS630" s="267"/>
      <c r="HT630" s="267"/>
      <c r="HU630" s="267"/>
      <c r="IH630" s="267"/>
      <c r="IK630" s="267"/>
      <c r="IN630" s="267"/>
      <c r="IQ630" s="267"/>
      <c r="IR630" s="267"/>
      <c r="IS630" s="267"/>
    </row>
    <row r="631" spans="10:253">
      <c r="J631" s="267"/>
      <c r="K631" s="267"/>
      <c r="L631" s="267"/>
      <c r="M631" s="267"/>
      <c r="N631" s="267"/>
      <c r="O631" s="267"/>
      <c r="P631" s="267"/>
      <c r="Q631" s="267"/>
      <c r="S631" s="267"/>
      <c r="T631" s="267"/>
      <c r="U631" s="267"/>
      <c r="V631" s="267"/>
      <c r="W631" s="264"/>
      <c r="Y631" s="267"/>
      <c r="Z631" s="267"/>
      <c r="AA631" s="267"/>
      <c r="AB631" s="267"/>
      <c r="AE631" s="267"/>
      <c r="AF631" s="267"/>
      <c r="AG631" s="267"/>
      <c r="AH631" s="267"/>
      <c r="AK631" s="267"/>
      <c r="AL631" s="267"/>
      <c r="AM631" s="267"/>
      <c r="AN631" s="267"/>
      <c r="AQ631" s="267"/>
      <c r="AR631" s="267"/>
      <c r="AS631" s="267"/>
      <c r="AT631" s="267"/>
      <c r="AW631" s="267"/>
      <c r="AX631" s="267"/>
      <c r="AY631" s="267"/>
      <c r="AZ631" s="267"/>
      <c r="BG631" s="269"/>
      <c r="BM631" s="269"/>
      <c r="BS631" s="269"/>
      <c r="BU631" s="267"/>
      <c r="BY631" s="267"/>
      <c r="CC631" s="267"/>
      <c r="CG631" s="267"/>
      <c r="CS631" s="267"/>
      <c r="CW631" s="270"/>
      <c r="CX631" s="267"/>
      <c r="DC631" s="267"/>
      <c r="DH631" s="267"/>
      <c r="DM631" s="267"/>
      <c r="DR631" s="267"/>
      <c r="DW631" s="267"/>
      <c r="EB631" s="267"/>
      <c r="EG631" s="267"/>
      <c r="EL631" s="267"/>
      <c r="EQ631" s="267"/>
      <c r="EU631" s="270"/>
      <c r="EV631" s="267"/>
      <c r="FC631" s="267"/>
      <c r="FD631" s="267"/>
      <c r="FE631" s="267"/>
      <c r="FF631" s="267"/>
      <c r="FG631" s="267"/>
      <c r="FL631" s="267"/>
      <c r="FM631" s="267"/>
      <c r="FN631" s="267"/>
      <c r="FO631" s="267"/>
      <c r="FP631" s="267"/>
      <c r="FQ631" s="264"/>
      <c r="FR631" s="264"/>
      <c r="FS631" s="264"/>
      <c r="FT631" s="264"/>
      <c r="FU631" s="267"/>
      <c r="FV631" s="267"/>
      <c r="FW631" s="267"/>
      <c r="FX631" s="267"/>
      <c r="FY631" s="267"/>
      <c r="GD631" s="267"/>
      <c r="GE631" s="267"/>
      <c r="GF631" s="267"/>
      <c r="GG631" s="267"/>
      <c r="GH631" s="267"/>
      <c r="GI631" s="264"/>
      <c r="GJ631" s="264"/>
      <c r="GK631" s="264"/>
      <c r="GL631" s="264"/>
      <c r="HD631" s="267"/>
      <c r="HE631" s="267"/>
      <c r="HF631" s="267"/>
      <c r="HG631" s="267"/>
      <c r="HH631" s="267"/>
      <c r="HI631" s="267"/>
      <c r="HJ631" s="267"/>
      <c r="HK631" s="267"/>
      <c r="HL631" s="267"/>
      <c r="HM631" s="267"/>
      <c r="HN631" s="267"/>
      <c r="HO631" s="267"/>
      <c r="HP631" s="267"/>
      <c r="HQ631" s="267"/>
      <c r="HR631" s="267"/>
      <c r="HS631" s="267"/>
      <c r="HT631" s="267"/>
      <c r="HU631" s="267"/>
      <c r="IH631" s="267"/>
      <c r="IK631" s="267"/>
      <c r="IN631" s="267"/>
      <c r="IQ631" s="267"/>
      <c r="IR631" s="267"/>
      <c r="IS631" s="267"/>
    </row>
    <row r="632" spans="10:253">
      <c r="J632" s="267"/>
      <c r="K632" s="267"/>
      <c r="L632" s="267"/>
      <c r="M632" s="267"/>
      <c r="N632" s="267"/>
      <c r="O632" s="267"/>
      <c r="P632" s="267"/>
      <c r="Q632" s="267"/>
      <c r="S632" s="267"/>
      <c r="T632" s="267"/>
      <c r="U632" s="267"/>
      <c r="V632" s="267"/>
      <c r="W632" s="264"/>
      <c r="Y632" s="267"/>
      <c r="Z632" s="267"/>
      <c r="AA632" s="267"/>
      <c r="AB632" s="267"/>
      <c r="AE632" s="267"/>
      <c r="AF632" s="267"/>
      <c r="AG632" s="267"/>
      <c r="AH632" s="267"/>
      <c r="AK632" s="267"/>
      <c r="AL632" s="267"/>
      <c r="AM632" s="267"/>
      <c r="AN632" s="267"/>
      <c r="AQ632" s="267"/>
      <c r="AR632" s="267"/>
      <c r="AS632" s="267"/>
      <c r="AT632" s="267"/>
      <c r="AW632" s="267"/>
      <c r="AX632" s="267"/>
      <c r="AY632" s="267"/>
      <c r="AZ632" s="267"/>
      <c r="BG632" s="269"/>
      <c r="BM632" s="269"/>
      <c r="BS632" s="269"/>
      <c r="BU632" s="267"/>
      <c r="BY632" s="267"/>
      <c r="CC632" s="267"/>
      <c r="CG632" s="267"/>
      <c r="CS632" s="267"/>
      <c r="CW632" s="270"/>
      <c r="CX632" s="267"/>
      <c r="DC632" s="267"/>
      <c r="DH632" s="267"/>
      <c r="DM632" s="267"/>
      <c r="DR632" s="267"/>
      <c r="DW632" s="267"/>
      <c r="EB632" s="267"/>
      <c r="EG632" s="267"/>
      <c r="EL632" s="267"/>
      <c r="EQ632" s="267"/>
      <c r="EU632" s="270"/>
      <c r="EV632" s="267"/>
      <c r="FC632" s="267"/>
      <c r="FD632" s="267"/>
      <c r="FE632" s="267"/>
      <c r="FF632" s="267"/>
      <c r="FG632" s="267"/>
      <c r="FL632" s="267"/>
      <c r="FM632" s="267"/>
      <c r="FN632" s="267"/>
      <c r="FO632" s="267"/>
      <c r="FP632" s="267"/>
      <c r="FQ632" s="264"/>
      <c r="FR632" s="264"/>
      <c r="FS632" s="264"/>
      <c r="FT632" s="264"/>
      <c r="FU632" s="267"/>
      <c r="FV632" s="267"/>
      <c r="FW632" s="267"/>
      <c r="FX632" s="267"/>
      <c r="FY632" s="267"/>
      <c r="GD632" s="267"/>
      <c r="GE632" s="267"/>
      <c r="GF632" s="267"/>
      <c r="GG632" s="267"/>
      <c r="GH632" s="267"/>
      <c r="GI632" s="264"/>
      <c r="GJ632" s="264"/>
      <c r="GK632" s="264"/>
      <c r="GL632" s="264"/>
      <c r="HD632" s="267"/>
      <c r="HE632" s="267"/>
      <c r="HF632" s="267"/>
      <c r="HG632" s="267"/>
      <c r="HH632" s="267"/>
      <c r="HI632" s="267"/>
      <c r="HJ632" s="267"/>
      <c r="HK632" s="267"/>
      <c r="HL632" s="267"/>
      <c r="HM632" s="267"/>
      <c r="HN632" s="267"/>
      <c r="HO632" s="267"/>
      <c r="HP632" s="267"/>
      <c r="HQ632" s="267"/>
      <c r="HR632" s="267"/>
      <c r="HS632" s="267"/>
      <c r="HT632" s="267"/>
      <c r="HU632" s="267"/>
      <c r="IH632" s="267"/>
      <c r="IK632" s="267"/>
      <c r="IN632" s="267"/>
      <c r="IQ632" s="267"/>
      <c r="IR632" s="267"/>
      <c r="IS632" s="267"/>
    </row>
    <row r="633" spans="10:253">
      <c r="J633" s="267"/>
      <c r="K633" s="267"/>
      <c r="L633" s="267"/>
      <c r="M633" s="267"/>
      <c r="N633" s="267"/>
      <c r="O633" s="267"/>
      <c r="P633" s="267"/>
      <c r="Q633" s="267"/>
      <c r="S633" s="267"/>
      <c r="T633" s="267"/>
      <c r="U633" s="267"/>
      <c r="V633" s="267"/>
      <c r="W633" s="264"/>
      <c r="Y633" s="267"/>
      <c r="Z633" s="267"/>
      <c r="AA633" s="267"/>
      <c r="AB633" s="267"/>
      <c r="AE633" s="267"/>
      <c r="AF633" s="267"/>
      <c r="AG633" s="267"/>
      <c r="AH633" s="267"/>
      <c r="AK633" s="267"/>
      <c r="AL633" s="267"/>
      <c r="AM633" s="267"/>
      <c r="AN633" s="267"/>
      <c r="AQ633" s="267"/>
      <c r="AR633" s="267"/>
      <c r="AS633" s="267"/>
      <c r="AT633" s="267"/>
      <c r="AW633" s="267"/>
      <c r="AX633" s="267"/>
      <c r="AY633" s="267"/>
      <c r="AZ633" s="267"/>
      <c r="BG633" s="269"/>
      <c r="BM633" s="269"/>
      <c r="BS633" s="269"/>
      <c r="BU633" s="267"/>
      <c r="BY633" s="267"/>
      <c r="CC633" s="267"/>
      <c r="CG633" s="267"/>
      <c r="CS633" s="267"/>
      <c r="CW633" s="270"/>
      <c r="CX633" s="267"/>
      <c r="DC633" s="267"/>
      <c r="DH633" s="267"/>
      <c r="DM633" s="267"/>
      <c r="DR633" s="267"/>
      <c r="DW633" s="267"/>
      <c r="EB633" s="267"/>
      <c r="EG633" s="267"/>
      <c r="EL633" s="267"/>
      <c r="EQ633" s="267"/>
      <c r="EU633" s="270"/>
      <c r="EV633" s="267"/>
      <c r="FC633" s="267"/>
      <c r="FD633" s="267"/>
      <c r="FE633" s="267"/>
      <c r="FF633" s="267"/>
      <c r="FG633" s="267"/>
      <c r="FL633" s="267"/>
      <c r="FM633" s="267"/>
      <c r="FN633" s="267"/>
      <c r="FO633" s="267"/>
      <c r="FP633" s="267"/>
      <c r="FQ633" s="264"/>
      <c r="FR633" s="264"/>
      <c r="FS633" s="264"/>
      <c r="FT633" s="264"/>
      <c r="FU633" s="267"/>
      <c r="FV633" s="267"/>
      <c r="FW633" s="267"/>
      <c r="FX633" s="267"/>
      <c r="FY633" s="267"/>
      <c r="GD633" s="267"/>
      <c r="GE633" s="267"/>
      <c r="GF633" s="267"/>
      <c r="GG633" s="267"/>
      <c r="GH633" s="267"/>
      <c r="GI633" s="264"/>
      <c r="GJ633" s="264"/>
      <c r="GK633" s="264"/>
      <c r="GL633" s="264"/>
      <c r="HD633" s="267"/>
      <c r="HE633" s="267"/>
      <c r="HF633" s="267"/>
      <c r="HG633" s="267"/>
      <c r="HH633" s="267"/>
      <c r="HI633" s="267"/>
      <c r="HJ633" s="267"/>
      <c r="HK633" s="267"/>
      <c r="HL633" s="267"/>
      <c r="HM633" s="267"/>
      <c r="HN633" s="267"/>
      <c r="HO633" s="267"/>
      <c r="HP633" s="267"/>
      <c r="HQ633" s="267"/>
      <c r="HR633" s="267"/>
      <c r="HS633" s="267"/>
      <c r="HT633" s="267"/>
      <c r="HU633" s="267"/>
      <c r="IH633" s="267"/>
      <c r="IK633" s="267"/>
      <c r="IN633" s="267"/>
      <c r="IQ633" s="267"/>
      <c r="IR633" s="267"/>
      <c r="IS633" s="267"/>
    </row>
    <row r="634" spans="10:253">
      <c r="J634" s="267"/>
      <c r="K634" s="267"/>
      <c r="L634" s="267"/>
      <c r="M634" s="267"/>
      <c r="N634" s="267"/>
      <c r="O634" s="267"/>
      <c r="P634" s="267"/>
      <c r="Q634" s="267"/>
      <c r="S634" s="267"/>
      <c r="T634" s="267"/>
      <c r="U634" s="267"/>
      <c r="V634" s="267"/>
      <c r="W634" s="264"/>
      <c r="Y634" s="267"/>
      <c r="Z634" s="267"/>
      <c r="AA634" s="267"/>
      <c r="AB634" s="267"/>
      <c r="AE634" s="267"/>
      <c r="AF634" s="267"/>
      <c r="AG634" s="267"/>
      <c r="AH634" s="267"/>
      <c r="AK634" s="267"/>
      <c r="AL634" s="267"/>
      <c r="AM634" s="267"/>
      <c r="AN634" s="267"/>
      <c r="AQ634" s="267"/>
      <c r="AR634" s="267"/>
      <c r="AS634" s="267"/>
      <c r="AT634" s="267"/>
      <c r="AW634" s="267"/>
      <c r="AX634" s="267"/>
      <c r="AY634" s="267"/>
      <c r="AZ634" s="267"/>
      <c r="BG634" s="269"/>
      <c r="BM634" s="269"/>
      <c r="BS634" s="269"/>
      <c r="BU634" s="267"/>
      <c r="BY634" s="267"/>
      <c r="CC634" s="267"/>
      <c r="CG634" s="267"/>
      <c r="CS634" s="267"/>
      <c r="CW634" s="270"/>
      <c r="CX634" s="267"/>
      <c r="DC634" s="267"/>
      <c r="DH634" s="267"/>
      <c r="DM634" s="267"/>
      <c r="DR634" s="267"/>
      <c r="DW634" s="267"/>
      <c r="EB634" s="267"/>
      <c r="EG634" s="267"/>
      <c r="EL634" s="267"/>
      <c r="EQ634" s="267"/>
      <c r="EU634" s="270"/>
      <c r="EV634" s="267"/>
      <c r="FC634" s="267"/>
      <c r="FD634" s="267"/>
      <c r="FE634" s="267"/>
      <c r="FF634" s="267"/>
      <c r="FG634" s="267"/>
      <c r="FL634" s="267"/>
      <c r="FM634" s="267"/>
      <c r="FN634" s="267"/>
      <c r="FO634" s="267"/>
      <c r="FP634" s="267"/>
      <c r="FQ634" s="264"/>
      <c r="FR634" s="264"/>
      <c r="FS634" s="264"/>
      <c r="FT634" s="264"/>
      <c r="FU634" s="267"/>
      <c r="FV634" s="267"/>
      <c r="FW634" s="267"/>
      <c r="FX634" s="267"/>
      <c r="FY634" s="267"/>
      <c r="GD634" s="267"/>
      <c r="GE634" s="267"/>
      <c r="GF634" s="267"/>
      <c r="GG634" s="267"/>
      <c r="GH634" s="267"/>
      <c r="GI634" s="264"/>
      <c r="GJ634" s="264"/>
      <c r="GK634" s="264"/>
      <c r="GL634" s="264"/>
      <c r="HD634" s="267"/>
      <c r="HE634" s="267"/>
      <c r="HF634" s="267"/>
      <c r="HG634" s="267"/>
      <c r="HH634" s="267"/>
      <c r="HI634" s="267"/>
      <c r="HJ634" s="267"/>
      <c r="HK634" s="267"/>
      <c r="HL634" s="267"/>
      <c r="HM634" s="267"/>
      <c r="HN634" s="267"/>
      <c r="HO634" s="267"/>
      <c r="HP634" s="267"/>
      <c r="HQ634" s="267"/>
      <c r="HR634" s="267"/>
      <c r="HS634" s="267"/>
      <c r="HT634" s="267"/>
      <c r="HU634" s="267"/>
      <c r="IH634" s="267"/>
      <c r="IK634" s="267"/>
      <c r="IN634" s="267"/>
      <c r="IQ634" s="267"/>
      <c r="IR634" s="267"/>
      <c r="IS634" s="267"/>
    </row>
    <row r="635" spans="10:253">
      <c r="J635" s="267"/>
      <c r="K635" s="267"/>
      <c r="L635" s="267"/>
      <c r="M635" s="267"/>
      <c r="N635" s="267"/>
      <c r="O635" s="267"/>
      <c r="P635" s="267"/>
      <c r="Q635" s="267"/>
      <c r="S635" s="267"/>
      <c r="T635" s="267"/>
      <c r="U635" s="267"/>
      <c r="V635" s="267"/>
      <c r="W635" s="264"/>
      <c r="Y635" s="267"/>
      <c r="Z635" s="267"/>
      <c r="AA635" s="267"/>
      <c r="AB635" s="267"/>
      <c r="AE635" s="267"/>
      <c r="AF635" s="267"/>
      <c r="AG635" s="267"/>
      <c r="AH635" s="267"/>
      <c r="AK635" s="267"/>
      <c r="AL635" s="267"/>
      <c r="AM635" s="267"/>
      <c r="AN635" s="267"/>
      <c r="AQ635" s="267"/>
      <c r="AR635" s="267"/>
      <c r="AS635" s="267"/>
      <c r="AT635" s="267"/>
      <c r="AW635" s="267"/>
      <c r="AX635" s="267"/>
      <c r="AY635" s="267"/>
      <c r="AZ635" s="267"/>
      <c r="BG635" s="269"/>
      <c r="BM635" s="269"/>
      <c r="BS635" s="269"/>
      <c r="BU635" s="267"/>
      <c r="BY635" s="267"/>
      <c r="CC635" s="267"/>
      <c r="CG635" s="267"/>
      <c r="CS635" s="267"/>
      <c r="CW635" s="270"/>
      <c r="CX635" s="267"/>
      <c r="DC635" s="267"/>
      <c r="DH635" s="267"/>
      <c r="DM635" s="267"/>
      <c r="DR635" s="267"/>
      <c r="DW635" s="267"/>
      <c r="EB635" s="267"/>
      <c r="EG635" s="267"/>
      <c r="EL635" s="267"/>
      <c r="EQ635" s="267"/>
      <c r="EU635" s="270"/>
      <c r="EV635" s="267"/>
      <c r="FC635" s="267"/>
      <c r="FD635" s="267"/>
      <c r="FE635" s="267"/>
      <c r="FF635" s="267"/>
      <c r="FG635" s="267"/>
      <c r="FL635" s="267"/>
      <c r="FM635" s="267"/>
      <c r="FN635" s="267"/>
      <c r="FO635" s="267"/>
      <c r="FP635" s="267"/>
      <c r="FQ635" s="264"/>
      <c r="FR635" s="264"/>
      <c r="FS635" s="264"/>
      <c r="FT635" s="264"/>
      <c r="FU635" s="267"/>
      <c r="FV635" s="267"/>
      <c r="FW635" s="267"/>
      <c r="FX635" s="267"/>
      <c r="FY635" s="267"/>
      <c r="GD635" s="267"/>
      <c r="GE635" s="267"/>
      <c r="GF635" s="267"/>
      <c r="GG635" s="267"/>
      <c r="GH635" s="267"/>
      <c r="GI635" s="264"/>
      <c r="GJ635" s="264"/>
      <c r="GK635" s="264"/>
      <c r="GL635" s="264"/>
      <c r="HD635" s="267"/>
      <c r="HE635" s="267"/>
      <c r="HF635" s="267"/>
      <c r="HG635" s="267"/>
      <c r="HH635" s="267"/>
      <c r="HI635" s="267"/>
      <c r="HJ635" s="267"/>
      <c r="HK635" s="267"/>
      <c r="HL635" s="267"/>
      <c r="HM635" s="267"/>
      <c r="HN635" s="267"/>
      <c r="HO635" s="267"/>
      <c r="HP635" s="267"/>
      <c r="HQ635" s="267"/>
      <c r="HR635" s="267"/>
      <c r="HS635" s="267"/>
      <c r="HT635" s="267"/>
      <c r="HU635" s="267"/>
      <c r="IH635" s="267"/>
      <c r="IK635" s="267"/>
      <c r="IN635" s="267"/>
      <c r="IQ635" s="267"/>
      <c r="IR635" s="267"/>
      <c r="IS635" s="267"/>
    </row>
    <row r="636" spans="10:253">
      <c r="J636" s="267"/>
      <c r="K636" s="267"/>
      <c r="L636" s="267"/>
      <c r="M636" s="267"/>
      <c r="N636" s="267"/>
      <c r="O636" s="267"/>
      <c r="P636" s="267"/>
      <c r="Q636" s="267"/>
      <c r="S636" s="267"/>
      <c r="T636" s="267"/>
      <c r="U636" s="267"/>
      <c r="V636" s="267"/>
      <c r="W636" s="264"/>
      <c r="Y636" s="267"/>
      <c r="Z636" s="267"/>
      <c r="AA636" s="267"/>
      <c r="AB636" s="267"/>
      <c r="AE636" s="267"/>
      <c r="AF636" s="267"/>
      <c r="AG636" s="267"/>
      <c r="AH636" s="267"/>
      <c r="AK636" s="267"/>
      <c r="AL636" s="267"/>
      <c r="AM636" s="267"/>
      <c r="AN636" s="267"/>
      <c r="AQ636" s="267"/>
      <c r="AR636" s="267"/>
      <c r="AS636" s="267"/>
      <c r="AT636" s="267"/>
      <c r="AW636" s="267"/>
      <c r="AX636" s="267"/>
      <c r="AY636" s="267"/>
      <c r="AZ636" s="267"/>
      <c r="BG636" s="269"/>
      <c r="BM636" s="269"/>
      <c r="BS636" s="269"/>
      <c r="BU636" s="267"/>
      <c r="BY636" s="267"/>
      <c r="CC636" s="267"/>
      <c r="CG636" s="267"/>
      <c r="CS636" s="267"/>
      <c r="CW636" s="270"/>
      <c r="CX636" s="267"/>
      <c r="DC636" s="267"/>
      <c r="DH636" s="267"/>
      <c r="DM636" s="267"/>
      <c r="DR636" s="267"/>
      <c r="DW636" s="267"/>
      <c r="EB636" s="267"/>
      <c r="EG636" s="267"/>
      <c r="EL636" s="267"/>
      <c r="EQ636" s="267"/>
      <c r="EU636" s="270"/>
      <c r="EV636" s="267"/>
      <c r="FC636" s="267"/>
      <c r="FD636" s="267"/>
      <c r="FE636" s="267"/>
      <c r="FF636" s="267"/>
      <c r="FG636" s="267"/>
      <c r="FL636" s="267"/>
      <c r="FM636" s="267"/>
      <c r="FN636" s="267"/>
      <c r="FO636" s="267"/>
      <c r="FP636" s="267"/>
      <c r="FQ636" s="264"/>
      <c r="FR636" s="264"/>
      <c r="FS636" s="264"/>
      <c r="FT636" s="264"/>
      <c r="FU636" s="267"/>
      <c r="FV636" s="267"/>
      <c r="FW636" s="267"/>
      <c r="FX636" s="267"/>
      <c r="FY636" s="267"/>
      <c r="GD636" s="267"/>
      <c r="GE636" s="267"/>
      <c r="GF636" s="267"/>
      <c r="GG636" s="267"/>
      <c r="GH636" s="267"/>
      <c r="GI636" s="264"/>
      <c r="GJ636" s="264"/>
      <c r="GK636" s="264"/>
      <c r="GL636" s="264"/>
      <c r="HD636" s="267"/>
      <c r="HE636" s="267"/>
      <c r="HF636" s="267"/>
      <c r="HG636" s="267"/>
      <c r="HH636" s="267"/>
      <c r="HI636" s="267"/>
      <c r="HJ636" s="267"/>
      <c r="HK636" s="267"/>
      <c r="HL636" s="267"/>
      <c r="HM636" s="267"/>
      <c r="HN636" s="267"/>
      <c r="HO636" s="267"/>
      <c r="HP636" s="267"/>
      <c r="HQ636" s="267"/>
      <c r="HR636" s="267"/>
      <c r="HS636" s="267"/>
      <c r="HT636" s="267"/>
      <c r="HU636" s="267"/>
      <c r="IH636" s="267"/>
      <c r="IK636" s="267"/>
      <c r="IN636" s="267"/>
      <c r="IQ636" s="267"/>
      <c r="IR636" s="267"/>
      <c r="IS636" s="267"/>
    </row>
    <row r="637" spans="10:253">
      <c r="J637" s="267"/>
      <c r="K637" s="267"/>
      <c r="L637" s="267"/>
      <c r="M637" s="267"/>
      <c r="N637" s="267"/>
      <c r="O637" s="267"/>
      <c r="P637" s="267"/>
      <c r="Q637" s="267"/>
      <c r="S637" s="267"/>
      <c r="T637" s="267"/>
      <c r="U637" s="267"/>
      <c r="V637" s="267"/>
      <c r="W637" s="264"/>
      <c r="Y637" s="267"/>
      <c r="Z637" s="267"/>
      <c r="AA637" s="267"/>
      <c r="AB637" s="267"/>
      <c r="AE637" s="267"/>
      <c r="AF637" s="267"/>
      <c r="AG637" s="267"/>
      <c r="AH637" s="267"/>
      <c r="AK637" s="267"/>
      <c r="AL637" s="267"/>
      <c r="AM637" s="267"/>
      <c r="AN637" s="267"/>
      <c r="AQ637" s="267"/>
      <c r="AR637" s="267"/>
      <c r="AS637" s="267"/>
      <c r="AT637" s="267"/>
      <c r="AW637" s="267"/>
      <c r="AX637" s="267"/>
      <c r="AY637" s="267"/>
      <c r="AZ637" s="267"/>
      <c r="BG637" s="269"/>
      <c r="BM637" s="269"/>
      <c r="BS637" s="269"/>
      <c r="BU637" s="267"/>
      <c r="BY637" s="267"/>
      <c r="CC637" s="267"/>
      <c r="CG637" s="267"/>
      <c r="CS637" s="267"/>
      <c r="CW637" s="270"/>
      <c r="CX637" s="267"/>
      <c r="DC637" s="267"/>
      <c r="DH637" s="267"/>
      <c r="DM637" s="267"/>
      <c r="DR637" s="267"/>
      <c r="DW637" s="267"/>
      <c r="EB637" s="267"/>
      <c r="EG637" s="267"/>
      <c r="EL637" s="267"/>
      <c r="EQ637" s="267"/>
      <c r="EU637" s="270"/>
      <c r="EV637" s="267"/>
      <c r="FC637" s="267"/>
      <c r="FD637" s="267"/>
      <c r="FE637" s="267"/>
      <c r="FF637" s="267"/>
      <c r="FG637" s="267"/>
      <c r="FL637" s="267"/>
      <c r="FM637" s="267"/>
      <c r="FN637" s="267"/>
      <c r="FO637" s="267"/>
      <c r="FP637" s="267"/>
      <c r="FQ637" s="264"/>
      <c r="FR637" s="264"/>
      <c r="FS637" s="264"/>
      <c r="FT637" s="264"/>
      <c r="FU637" s="267"/>
      <c r="FV637" s="267"/>
      <c r="FW637" s="267"/>
      <c r="FX637" s="267"/>
      <c r="FY637" s="267"/>
      <c r="GD637" s="267"/>
      <c r="GE637" s="267"/>
      <c r="GF637" s="267"/>
      <c r="GG637" s="267"/>
      <c r="GH637" s="267"/>
      <c r="GI637" s="264"/>
      <c r="GJ637" s="264"/>
      <c r="GK637" s="264"/>
      <c r="GL637" s="264"/>
      <c r="HD637" s="267"/>
      <c r="HE637" s="267"/>
      <c r="HF637" s="267"/>
      <c r="HG637" s="267"/>
      <c r="HH637" s="267"/>
      <c r="HI637" s="267"/>
      <c r="HJ637" s="267"/>
      <c r="HK637" s="267"/>
      <c r="HL637" s="267"/>
      <c r="HM637" s="267"/>
      <c r="HN637" s="267"/>
      <c r="HO637" s="267"/>
      <c r="HP637" s="267"/>
      <c r="HQ637" s="267"/>
      <c r="HR637" s="267"/>
      <c r="HS637" s="267"/>
      <c r="HT637" s="267"/>
      <c r="HU637" s="267"/>
      <c r="IH637" s="267"/>
      <c r="IK637" s="267"/>
      <c r="IN637" s="267"/>
      <c r="IQ637" s="267"/>
      <c r="IR637" s="267"/>
      <c r="IS637" s="267"/>
    </row>
    <row r="638" spans="10:253">
      <c r="J638" s="267"/>
      <c r="K638" s="267"/>
      <c r="L638" s="267"/>
      <c r="M638" s="267"/>
      <c r="N638" s="267"/>
      <c r="O638" s="267"/>
      <c r="P638" s="267"/>
      <c r="Q638" s="267"/>
      <c r="S638" s="267"/>
      <c r="T638" s="267"/>
      <c r="U638" s="267"/>
      <c r="V638" s="267"/>
      <c r="W638" s="264"/>
      <c r="Y638" s="267"/>
      <c r="Z638" s="267"/>
      <c r="AA638" s="267"/>
      <c r="AB638" s="267"/>
      <c r="AE638" s="267"/>
      <c r="AF638" s="267"/>
      <c r="AG638" s="267"/>
      <c r="AH638" s="267"/>
      <c r="AK638" s="267"/>
      <c r="AL638" s="267"/>
      <c r="AM638" s="267"/>
      <c r="AN638" s="267"/>
      <c r="AQ638" s="267"/>
      <c r="AR638" s="267"/>
      <c r="AS638" s="267"/>
      <c r="AT638" s="267"/>
      <c r="AW638" s="267"/>
      <c r="AX638" s="267"/>
      <c r="AY638" s="267"/>
      <c r="AZ638" s="267"/>
      <c r="BG638" s="269"/>
      <c r="BM638" s="269"/>
      <c r="BS638" s="269"/>
      <c r="BU638" s="267"/>
      <c r="BY638" s="267"/>
      <c r="CC638" s="267"/>
      <c r="CG638" s="267"/>
      <c r="CS638" s="267"/>
      <c r="CW638" s="270"/>
      <c r="CX638" s="267"/>
      <c r="DC638" s="267"/>
      <c r="DH638" s="267"/>
      <c r="DM638" s="267"/>
      <c r="DR638" s="267"/>
      <c r="DW638" s="267"/>
      <c r="EB638" s="267"/>
      <c r="EG638" s="267"/>
      <c r="EL638" s="267"/>
      <c r="EQ638" s="267"/>
      <c r="EU638" s="270"/>
      <c r="EV638" s="267"/>
      <c r="FC638" s="267"/>
      <c r="FD638" s="267"/>
      <c r="FE638" s="267"/>
      <c r="FF638" s="267"/>
      <c r="FG638" s="267"/>
      <c r="FL638" s="267"/>
      <c r="FM638" s="267"/>
      <c r="FN638" s="267"/>
      <c r="FO638" s="267"/>
      <c r="FP638" s="267"/>
      <c r="FQ638" s="264"/>
      <c r="FR638" s="264"/>
      <c r="FS638" s="264"/>
      <c r="FT638" s="264"/>
      <c r="FU638" s="267"/>
      <c r="FV638" s="267"/>
      <c r="FW638" s="267"/>
      <c r="FX638" s="267"/>
      <c r="FY638" s="267"/>
      <c r="GD638" s="267"/>
      <c r="GE638" s="267"/>
      <c r="GF638" s="267"/>
      <c r="GG638" s="267"/>
      <c r="GH638" s="267"/>
      <c r="GI638" s="264"/>
      <c r="GJ638" s="264"/>
      <c r="GK638" s="264"/>
      <c r="GL638" s="264"/>
      <c r="HD638" s="267"/>
      <c r="HE638" s="267"/>
      <c r="HF638" s="267"/>
      <c r="HG638" s="267"/>
      <c r="HH638" s="267"/>
      <c r="HI638" s="267"/>
      <c r="HJ638" s="267"/>
      <c r="HK638" s="267"/>
      <c r="HL638" s="267"/>
      <c r="HM638" s="267"/>
      <c r="HN638" s="267"/>
      <c r="HO638" s="267"/>
      <c r="HP638" s="267"/>
      <c r="HQ638" s="267"/>
      <c r="HR638" s="267"/>
      <c r="HS638" s="267"/>
      <c r="HT638" s="267"/>
      <c r="HU638" s="267"/>
      <c r="IH638" s="267"/>
      <c r="IK638" s="267"/>
      <c r="IN638" s="267"/>
      <c r="IQ638" s="267"/>
      <c r="IR638" s="267"/>
      <c r="IS638" s="267"/>
    </row>
    <row r="639" spans="10:253">
      <c r="J639" s="267"/>
      <c r="K639" s="267"/>
      <c r="L639" s="267"/>
      <c r="M639" s="267"/>
      <c r="N639" s="267"/>
      <c r="O639" s="267"/>
      <c r="P639" s="267"/>
      <c r="Q639" s="267"/>
      <c r="S639" s="267"/>
      <c r="T639" s="267"/>
      <c r="U639" s="267"/>
      <c r="V639" s="267"/>
      <c r="W639" s="264"/>
      <c r="Y639" s="267"/>
      <c r="Z639" s="267"/>
      <c r="AA639" s="267"/>
      <c r="AB639" s="267"/>
      <c r="AE639" s="267"/>
      <c r="AF639" s="267"/>
      <c r="AG639" s="267"/>
      <c r="AH639" s="267"/>
      <c r="AK639" s="267"/>
      <c r="AL639" s="267"/>
      <c r="AM639" s="267"/>
      <c r="AN639" s="267"/>
      <c r="AQ639" s="267"/>
      <c r="AR639" s="267"/>
      <c r="AS639" s="267"/>
      <c r="AT639" s="267"/>
      <c r="AW639" s="267"/>
      <c r="AX639" s="267"/>
      <c r="AY639" s="267"/>
      <c r="AZ639" s="267"/>
      <c r="BG639" s="269"/>
      <c r="BM639" s="269"/>
      <c r="BS639" s="269"/>
      <c r="BU639" s="267"/>
      <c r="BY639" s="267"/>
      <c r="CC639" s="267"/>
      <c r="CG639" s="267"/>
      <c r="CS639" s="267"/>
      <c r="CW639" s="270"/>
      <c r="CX639" s="267"/>
      <c r="DC639" s="267"/>
      <c r="DH639" s="267"/>
      <c r="DM639" s="267"/>
      <c r="DR639" s="267"/>
      <c r="DW639" s="267"/>
      <c r="EB639" s="267"/>
      <c r="EG639" s="267"/>
      <c r="EL639" s="267"/>
      <c r="EQ639" s="267"/>
      <c r="EU639" s="270"/>
      <c r="EV639" s="267"/>
      <c r="FC639" s="267"/>
      <c r="FD639" s="267"/>
      <c r="FE639" s="267"/>
      <c r="FF639" s="267"/>
      <c r="FG639" s="267"/>
      <c r="FL639" s="267"/>
      <c r="FM639" s="267"/>
      <c r="FN639" s="267"/>
      <c r="FO639" s="267"/>
      <c r="FP639" s="267"/>
      <c r="FQ639" s="264"/>
      <c r="FR639" s="264"/>
      <c r="FS639" s="264"/>
      <c r="FT639" s="264"/>
      <c r="FU639" s="267"/>
      <c r="FV639" s="267"/>
      <c r="FW639" s="267"/>
      <c r="FX639" s="267"/>
      <c r="FY639" s="267"/>
      <c r="GD639" s="267"/>
      <c r="GE639" s="267"/>
      <c r="GF639" s="267"/>
      <c r="GG639" s="267"/>
      <c r="GH639" s="267"/>
      <c r="GI639" s="264"/>
      <c r="GJ639" s="264"/>
      <c r="GK639" s="264"/>
      <c r="GL639" s="264"/>
      <c r="HD639" s="267"/>
      <c r="HE639" s="267"/>
      <c r="HF639" s="267"/>
      <c r="HG639" s="267"/>
      <c r="HH639" s="267"/>
      <c r="HI639" s="267"/>
      <c r="HJ639" s="267"/>
      <c r="HK639" s="267"/>
      <c r="HL639" s="267"/>
      <c r="HM639" s="267"/>
      <c r="HN639" s="267"/>
      <c r="HO639" s="267"/>
      <c r="HP639" s="267"/>
      <c r="HQ639" s="267"/>
      <c r="HR639" s="267"/>
      <c r="HS639" s="267"/>
      <c r="HT639" s="267"/>
      <c r="HU639" s="267"/>
      <c r="IH639" s="267"/>
      <c r="IK639" s="267"/>
      <c r="IN639" s="267"/>
      <c r="IQ639" s="267"/>
      <c r="IR639" s="267"/>
      <c r="IS639" s="267"/>
    </row>
    <row r="640" spans="10:253">
      <c r="J640" s="267"/>
      <c r="K640" s="267"/>
      <c r="L640" s="267"/>
      <c r="M640" s="267"/>
      <c r="N640" s="267"/>
      <c r="O640" s="267"/>
      <c r="P640" s="267"/>
      <c r="Q640" s="267"/>
      <c r="S640" s="267"/>
      <c r="T640" s="267"/>
      <c r="U640" s="267"/>
      <c r="V640" s="267"/>
      <c r="W640" s="264"/>
      <c r="Y640" s="267"/>
      <c r="Z640" s="267"/>
      <c r="AA640" s="267"/>
      <c r="AB640" s="267"/>
      <c r="AE640" s="267"/>
      <c r="AF640" s="267"/>
      <c r="AG640" s="267"/>
      <c r="AH640" s="267"/>
      <c r="AK640" s="267"/>
      <c r="AL640" s="267"/>
      <c r="AM640" s="267"/>
      <c r="AN640" s="267"/>
      <c r="AQ640" s="267"/>
      <c r="AR640" s="267"/>
      <c r="AS640" s="267"/>
      <c r="AT640" s="267"/>
      <c r="AW640" s="267"/>
      <c r="AX640" s="267"/>
      <c r="AY640" s="267"/>
      <c r="AZ640" s="267"/>
      <c r="BG640" s="269"/>
      <c r="BM640" s="269"/>
      <c r="BS640" s="269"/>
      <c r="BU640" s="267"/>
      <c r="BY640" s="267"/>
      <c r="CC640" s="267"/>
      <c r="CG640" s="267"/>
      <c r="CS640" s="267"/>
      <c r="CW640" s="270"/>
      <c r="CX640" s="267"/>
      <c r="DC640" s="267"/>
      <c r="DH640" s="267"/>
      <c r="DM640" s="267"/>
      <c r="DR640" s="267"/>
      <c r="DW640" s="267"/>
      <c r="EB640" s="267"/>
      <c r="EG640" s="267"/>
      <c r="EL640" s="267"/>
      <c r="EQ640" s="267"/>
      <c r="EU640" s="270"/>
      <c r="EV640" s="267"/>
      <c r="FC640" s="267"/>
      <c r="FD640" s="267"/>
      <c r="FE640" s="267"/>
      <c r="FF640" s="267"/>
      <c r="FG640" s="267"/>
      <c r="FL640" s="267"/>
      <c r="FM640" s="267"/>
      <c r="FN640" s="267"/>
      <c r="FO640" s="267"/>
      <c r="FP640" s="267"/>
      <c r="FQ640" s="264"/>
      <c r="FR640" s="264"/>
      <c r="FS640" s="264"/>
      <c r="FT640" s="264"/>
      <c r="FU640" s="267"/>
      <c r="FV640" s="267"/>
      <c r="FW640" s="267"/>
      <c r="FX640" s="267"/>
      <c r="FY640" s="267"/>
      <c r="GD640" s="267"/>
      <c r="GE640" s="267"/>
      <c r="GF640" s="267"/>
      <c r="GG640" s="267"/>
      <c r="GH640" s="267"/>
      <c r="GI640" s="264"/>
      <c r="GJ640" s="264"/>
      <c r="GK640" s="264"/>
      <c r="GL640" s="264"/>
      <c r="HD640" s="267"/>
      <c r="HE640" s="267"/>
      <c r="HF640" s="267"/>
      <c r="HG640" s="267"/>
      <c r="HH640" s="267"/>
      <c r="HI640" s="267"/>
      <c r="HJ640" s="267"/>
      <c r="HK640" s="267"/>
      <c r="HL640" s="267"/>
      <c r="HM640" s="267"/>
      <c r="HN640" s="267"/>
      <c r="HO640" s="267"/>
      <c r="HP640" s="267"/>
      <c r="HQ640" s="267"/>
      <c r="HR640" s="267"/>
      <c r="HS640" s="267"/>
      <c r="HT640" s="267"/>
      <c r="HU640" s="267"/>
      <c r="IH640" s="267"/>
      <c r="IK640" s="267"/>
      <c r="IN640" s="267"/>
      <c r="IQ640" s="267"/>
      <c r="IR640" s="267"/>
      <c r="IS640" s="267"/>
    </row>
    <row r="641" spans="10:253">
      <c r="J641" s="267"/>
      <c r="K641" s="267"/>
      <c r="L641" s="267"/>
      <c r="M641" s="267"/>
      <c r="N641" s="267"/>
      <c r="O641" s="267"/>
      <c r="P641" s="267"/>
      <c r="Q641" s="267"/>
      <c r="S641" s="267"/>
      <c r="T641" s="267"/>
      <c r="U641" s="267"/>
      <c r="V641" s="267"/>
      <c r="W641" s="264"/>
      <c r="Y641" s="267"/>
      <c r="Z641" s="267"/>
      <c r="AA641" s="267"/>
      <c r="AB641" s="267"/>
      <c r="AE641" s="267"/>
      <c r="AF641" s="267"/>
      <c r="AG641" s="267"/>
      <c r="AH641" s="267"/>
      <c r="AK641" s="267"/>
      <c r="AL641" s="267"/>
      <c r="AM641" s="267"/>
      <c r="AN641" s="267"/>
      <c r="AQ641" s="267"/>
      <c r="AR641" s="267"/>
      <c r="AS641" s="267"/>
      <c r="AT641" s="267"/>
      <c r="AW641" s="267"/>
      <c r="AX641" s="267"/>
      <c r="AY641" s="267"/>
      <c r="AZ641" s="267"/>
      <c r="BG641" s="269"/>
      <c r="BM641" s="269"/>
      <c r="BS641" s="269"/>
      <c r="BU641" s="267"/>
      <c r="BY641" s="267"/>
      <c r="CC641" s="267"/>
      <c r="CG641" s="267"/>
      <c r="CS641" s="267"/>
      <c r="CW641" s="270"/>
      <c r="CX641" s="267"/>
      <c r="DC641" s="267"/>
      <c r="DH641" s="267"/>
      <c r="DM641" s="267"/>
      <c r="DR641" s="267"/>
      <c r="DW641" s="267"/>
      <c r="EB641" s="267"/>
      <c r="EG641" s="267"/>
      <c r="EL641" s="267"/>
      <c r="EQ641" s="267"/>
      <c r="EU641" s="270"/>
      <c r="EV641" s="267"/>
      <c r="FC641" s="267"/>
      <c r="FD641" s="267"/>
      <c r="FE641" s="267"/>
      <c r="FF641" s="267"/>
      <c r="FG641" s="267"/>
      <c r="FL641" s="267"/>
      <c r="FM641" s="267"/>
      <c r="FN641" s="267"/>
      <c r="FO641" s="267"/>
      <c r="FP641" s="267"/>
      <c r="FQ641" s="264"/>
      <c r="FR641" s="264"/>
      <c r="FS641" s="264"/>
      <c r="FT641" s="264"/>
      <c r="FU641" s="267"/>
      <c r="FV641" s="267"/>
      <c r="FW641" s="267"/>
      <c r="FX641" s="267"/>
      <c r="FY641" s="267"/>
      <c r="GD641" s="267"/>
      <c r="GE641" s="267"/>
      <c r="GF641" s="267"/>
      <c r="GG641" s="267"/>
      <c r="GH641" s="267"/>
      <c r="GI641" s="264"/>
      <c r="GJ641" s="264"/>
      <c r="GK641" s="264"/>
      <c r="GL641" s="264"/>
      <c r="HD641" s="267"/>
      <c r="HE641" s="267"/>
      <c r="HF641" s="267"/>
      <c r="HG641" s="267"/>
      <c r="HH641" s="267"/>
      <c r="HI641" s="267"/>
      <c r="HJ641" s="267"/>
      <c r="HK641" s="267"/>
      <c r="HL641" s="267"/>
      <c r="HM641" s="267"/>
      <c r="HN641" s="267"/>
      <c r="HO641" s="267"/>
      <c r="HP641" s="267"/>
      <c r="HQ641" s="267"/>
      <c r="HR641" s="267"/>
      <c r="HS641" s="267"/>
      <c r="HT641" s="267"/>
      <c r="HU641" s="267"/>
      <c r="IH641" s="267"/>
      <c r="IK641" s="267"/>
      <c r="IN641" s="267"/>
      <c r="IQ641" s="267"/>
      <c r="IR641" s="267"/>
      <c r="IS641" s="267"/>
    </row>
    <row r="642" spans="10:253">
      <c r="J642" s="267"/>
      <c r="K642" s="267"/>
      <c r="L642" s="267"/>
      <c r="M642" s="267"/>
      <c r="N642" s="267"/>
      <c r="O642" s="267"/>
      <c r="P642" s="267"/>
      <c r="Q642" s="267"/>
      <c r="S642" s="267"/>
      <c r="T642" s="267"/>
      <c r="U642" s="267"/>
      <c r="V642" s="267"/>
      <c r="W642" s="264"/>
      <c r="Y642" s="267"/>
      <c r="Z642" s="267"/>
      <c r="AA642" s="267"/>
      <c r="AB642" s="267"/>
      <c r="AE642" s="267"/>
      <c r="AF642" s="267"/>
      <c r="AG642" s="267"/>
      <c r="AH642" s="267"/>
      <c r="AK642" s="267"/>
      <c r="AL642" s="267"/>
      <c r="AM642" s="267"/>
      <c r="AN642" s="267"/>
      <c r="AQ642" s="267"/>
      <c r="AR642" s="267"/>
      <c r="AS642" s="267"/>
      <c r="AT642" s="267"/>
      <c r="AW642" s="267"/>
      <c r="AX642" s="267"/>
      <c r="AY642" s="267"/>
      <c r="AZ642" s="267"/>
      <c r="BG642" s="269"/>
      <c r="BM642" s="269"/>
      <c r="BS642" s="269"/>
      <c r="BU642" s="267"/>
      <c r="BY642" s="267"/>
      <c r="CC642" s="267"/>
      <c r="CG642" s="267"/>
      <c r="CS642" s="267"/>
      <c r="CW642" s="270"/>
      <c r="CX642" s="267"/>
      <c r="DC642" s="267"/>
      <c r="DH642" s="267"/>
      <c r="DM642" s="267"/>
      <c r="DR642" s="267"/>
      <c r="DW642" s="267"/>
      <c r="EB642" s="267"/>
      <c r="EG642" s="267"/>
      <c r="EL642" s="267"/>
      <c r="EQ642" s="267"/>
      <c r="EU642" s="270"/>
      <c r="EV642" s="267"/>
      <c r="FC642" s="267"/>
      <c r="FD642" s="267"/>
      <c r="FE642" s="267"/>
      <c r="FF642" s="267"/>
      <c r="FG642" s="267"/>
      <c r="FL642" s="267"/>
      <c r="FM642" s="267"/>
      <c r="FN642" s="267"/>
      <c r="FO642" s="267"/>
      <c r="FP642" s="267"/>
      <c r="FQ642" s="264"/>
      <c r="FR642" s="264"/>
      <c r="FS642" s="264"/>
      <c r="FT642" s="264"/>
      <c r="FU642" s="267"/>
      <c r="FV642" s="267"/>
      <c r="FW642" s="267"/>
      <c r="FX642" s="267"/>
      <c r="FY642" s="267"/>
      <c r="GD642" s="267"/>
      <c r="GE642" s="267"/>
      <c r="GF642" s="267"/>
      <c r="GG642" s="267"/>
      <c r="GH642" s="267"/>
      <c r="GI642" s="264"/>
      <c r="GJ642" s="264"/>
      <c r="GK642" s="264"/>
      <c r="GL642" s="264"/>
      <c r="HD642" s="267"/>
      <c r="HE642" s="267"/>
      <c r="HF642" s="267"/>
      <c r="HG642" s="267"/>
      <c r="HH642" s="267"/>
      <c r="HI642" s="267"/>
      <c r="HJ642" s="267"/>
      <c r="HK642" s="267"/>
      <c r="HL642" s="267"/>
      <c r="HM642" s="267"/>
      <c r="HN642" s="267"/>
      <c r="HO642" s="267"/>
      <c r="HP642" s="267"/>
      <c r="HQ642" s="267"/>
      <c r="HR642" s="267"/>
      <c r="HS642" s="267"/>
      <c r="HT642" s="267"/>
      <c r="HU642" s="267"/>
      <c r="IH642" s="267"/>
      <c r="IK642" s="267"/>
      <c r="IN642" s="267"/>
      <c r="IQ642" s="267"/>
      <c r="IR642" s="267"/>
      <c r="IS642" s="267"/>
    </row>
    <row r="643" spans="10:253">
      <c r="J643" s="267"/>
      <c r="K643" s="267"/>
      <c r="L643" s="267"/>
      <c r="M643" s="267"/>
      <c r="N643" s="267"/>
      <c r="O643" s="267"/>
      <c r="P643" s="267"/>
      <c r="Q643" s="267"/>
      <c r="S643" s="267"/>
      <c r="T643" s="267"/>
      <c r="U643" s="267"/>
      <c r="V643" s="267"/>
      <c r="W643" s="264"/>
      <c r="Y643" s="267"/>
      <c r="Z643" s="267"/>
      <c r="AA643" s="267"/>
      <c r="AB643" s="267"/>
      <c r="AE643" s="267"/>
      <c r="AF643" s="267"/>
      <c r="AG643" s="267"/>
      <c r="AH643" s="267"/>
      <c r="AK643" s="267"/>
      <c r="AL643" s="267"/>
      <c r="AM643" s="267"/>
      <c r="AN643" s="267"/>
      <c r="AQ643" s="267"/>
      <c r="AR643" s="267"/>
      <c r="AS643" s="267"/>
      <c r="AT643" s="267"/>
      <c r="AW643" s="267"/>
      <c r="AX643" s="267"/>
      <c r="AY643" s="267"/>
      <c r="AZ643" s="267"/>
      <c r="BG643" s="269"/>
      <c r="BM643" s="269"/>
      <c r="BS643" s="269"/>
      <c r="BU643" s="267"/>
      <c r="BY643" s="267"/>
      <c r="CC643" s="267"/>
      <c r="CG643" s="267"/>
      <c r="CS643" s="267"/>
      <c r="CW643" s="270"/>
      <c r="CX643" s="267"/>
      <c r="DC643" s="267"/>
      <c r="DH643" s="267"/>
      <c r="DM643" s="267"/>
      <c r="DR643" s="267"/>
      <c r="DW643" s="267"/>
      <c r="EB643" s="267"/>
      <c r="EG643" s="267"/>
      <c r="EL643" s="267"/>
      <c r="EQ643" s="267"/>
      <c r="EU643" s="270"/>
      <c r="EV643" s="267"/>
      <c r="FC643" s="267"/>
      <c r="FD643" s="267"/>
      <c r="FE643" s="267"/>
      <c r="FF643" s="267"/>
      <c r="FG643" s="267"/>
      <c r="FL643" s="267"/>
      <c r="FM643" s="267"/>
      <c r="FN643" s="267"/>
      <c r="FO643" s="267"/>
      <c r="FP643" s="267"/>
      <c r="FQ643" s="264"/>
      <c r="FR643" s="264"/>
      <c r="FS643" s="264"/>
      <c r="FT643" s="264"/>
      <c r="FU643" s="267"/>
      <c r="FV643" s="267"/>
      <c r="FW643" s="267"/>
      <c r="FX643" s="267"/>
      <c r="FY643" s="267"/>
      <c r="GD643" s="267"/>
      <c r="GE643" s="267"/>
      <c r="GF643" s="267"/>
      <c r="GG643" s="267"/>
      <c r="GH643" s="267"/>
      <c r="GI643" s="264"/>
      <c r="GJ643" s="264"/>
      <c r="GK643" s="264"/>
      <c r="GL643" s="264"/>
      <c r="HD643" s="267"/>
      <c r="HE643" s="267"/>
      <c r="HF643" s="267"/>
      <c r="HG643" s="267"/>
      <c r="HH643" s="267"/>
      <c r="HI643" s="267"/>
      <c r="HJ643" s="267"/>
      <c r="HK643" s="267"/>
      <c r="HL643" s="267"/>
      <c r="HM643" s="267"/>
      <c r="HN643" s="267"/>
      <c r="HO643" s="267"/>
      <c r="HP643" s="267"/>
      <c r="HQ643" s="267"/>
      <c r="HR643" s="267"/>
      <c r="HS643" s="267"/>
      <c r="HT643" s="267"/>
      <c r="HU643" s="267"/>
      <c r="IH643" s="267"/>
      <c r="IK643" s="267"/>
      <c r="IN643" s="267"/>
      <c r="IQ643" s="267"/>
      <c r="IR643" s="267"/>
      <c r="IS643" s="267"/>
    </row>
    <row r="644" spans="10:253">
      <c r="J644" s="267"/>
      <c r="K644" s="267"/>
      <c r="L644" s="267"/>
      <c r="M644" s="267"/>
      <c r="N644" s="267"/>
      <c r="O644" s="267"/>
      <c r="P644" s="267"/>
      <c r="Q644" s="267"/>
      <c r="S644" s="267"/>
      <c r="T644" s="267"/>
      <c r="U644" s="267"/>
      <c r="V644" s="267"/>
      <c r="W644" s="264"/>
      <c r="Y644" s="267"/>
      <c r="Z644" s="267"/>
      <c r="AA644" s="267"/>
      <c r="AB644" s="267"/>
      <c r="AE644" s="267"/>
      <c r="AF644" s="267"/>
      <c r="AG644" s="267"/>
      <c r="AH644" s="267"/>
      <c r="AK644" s="267"/>
      <c r="AL644" s="267"/>
      <c r="AM644" s="267"/>
      <c r="AN644" s="267"/>
      <c r="AQ644" s="267"/>
      <c r="AR644" s="267"/>
      <c r="AS644" s="267"/>
      <c r="AT644" s="267"/>
      <c r="AW644" s="267"/>
      <c r="AX644" s="267"/>
      <c r="AY644" s="267"/>
      <c r="AZ644" s="267"/>
      <c r="BG644" s="269"/>
      <c r="BM644" s="269"/>
      <c r="BS644" s="269"/>
      <c r="BU644" s="267"/>
      <c r="BY644" s="267"/>
      <c r="CC644" s="267"/>
      <c r="CG644" s="267"/>
      <c r="CS644" s="267"/>
      <c r="CW644" s="270"/>
      <c r="CX644" s="267"/>
      <c r="DC644" s="267"/>
      <c r="DH644" s="267"/>
      <c r="DM644" s="267"/>
      <c r="DR644" s="267"/>
      <c r="DW644" s="267"/>
      <c r="EB644" s="267"/>
      <c r="EG644" s="267"/>
      <c r="EL644" s="267"/>
      <c r="EQ644" s="267"/>
      <c r="EU644" s="270"/>
      <c r="EV644" s="267"/>
      <c r="FC644" s="267"/>
      <c r="FD644" s="267"/>
      <c r="FE644" s="267"/>
      <c r="FF644" s="267"/>
      <c r="FG644" s="267"/>
      <c r="FL644" s="267"/>
      <c r="FM644" s="267"/>
      <c r="FN644" s="267"/>
      <c r="FO644" s="267"/>
      <c r="FP644" s="267"/>
      <c r="FQ644" s="264"/>
      <c r="FR644" s="264"/>
      <c r="FS644" s="264"/>
      <c r="FT644" s="264"/>
      <c r="FU644" s="267"/>
      <c r="FV644" s="267"/>
      <c r="FW644" s="267"/>
      <c r="FX644" s="267"/>
      <c r="FY644" s="267"/>
      <c r="GD644" s="267"/>
      <c r="GE644" s="267"/>
      <c r="GF644" s="267"/>
      <c r="GG644" s="267"/>
      <c r="GH644" s="267"/>
      <c r="GI644" s="264"/>
      <c r="GJ644" s="264"/>
      <c r="GK644" s="264"/>
      <c r="GL644" s="264"/>
      <c r="HD644" s="267"/>
      <c r="HE644" s="267"/>
      <c r="HF644" s="267"/>
      <c r="HG644" s="267"/>
      <c r="HH644" s="267"/>
      <c r="HI644" s="267"/>
      <c r="HJ644" s="267"/>
      <c r="HK644" s="267"/>
      <c r="HL644" s="267"/>
      <c r="HM644" s="267"/>
      <c r="HN644" s="267"/>
      <c r="HO644" s="267"/>
      <c r="HP644" s="267"/>
      <c r="HQ644" s="267"/>
      <c r="HR644" s="267"/>
      <c r="HS644" s="267"/>
      <c r="HT644" s="267"/>
      <c r="HU644" s="267"/>
      <c r="IH644" s="267"/>
      <c r="IK644" s="267"/>
      <c r="IN644" s="267"/>
      <c r="IQ644" s="267"/>
      <c r="IR644" s="267"/>
      <c r="IS644" s="267"/>
    </row>
    <row r="645" spans="10:253">
      <c r="J645" s="267"/>
      <c r="K645" s="267"/>
      <c r="L645" s="267"/>
      <c r="M645" s="267"/>
      <c r="N645" s="267"/>
      <c r="O645" s="267"/>
      <c r="P645" s="267"/>
      <c r="Q645" s="267"/>
      <c r="S645" s="267"/>
      <c r="T645" s="267"/>
      <c r="U645" s="267"/>
      <c r="V645" s="267"/>
      <c r="W645" s="264"/>
      <c r="Y645" s="267"/>
      <c r="Z645" s="267"/>
      <c r="AA645" s="267"/>
      <c r="AB645" s="267"/>
      <c r="AE645" s="267"/>
      <c r="AF645" s="267"/>
      <c r="AG645" s="267"/>
      <c r="AH645" s="267"/>
      <c r="AK645" s="267"/>
      <c r="AL645" s="267"/>
      <c r="AM645" s="267"/>
      <c r="AN645" s="267"/>
      <c r="AQ645" s="267"/>
      <c r="AR645" s="267"/>
      <c r="AS645" s="267"/>
      <c r="AT645" s="267"/>
      <c r="AW645" s="267"/>
      <c r="AX645" s="267"/>
      <c r="AY645" s="267"/>
      <c r="AZ645" s="267"/>
      <c r="BG645" s="269"/>
      <c r="BM645" s="269"/>
      <c r="BS645" s="269"/>
      <c r="BU645" s="267"/>
      <c r="BY645" s="267"/>
      <c r="CC645" s="267"/>
      <c r="CG645" s="267"/>
      <c r="CS645" s="267"/>
      <c r="CW645" s="270"/>
      <c r="CX645" s="267"/>
      <c r="DC645" s="267"/>
      <c r="DH645" s="267"/>
      <c r="DM645" s="267"/>
      <c r="DR645" s="267"/>
      <c r="DW645" s="267"/>
      <c r="EB645" s="267"/>
      <c r="EG645" s="267"/>
      <c r="EL645" s="267"/>
      <c r="EQ645" s="267"/>
      <c r="EU645" s="270"/>
      <c r="EV645" s="267"/>
      <c r="FC645" s="267"/>
      <c r="FD645" s="267"/>
      <c r="FE645" s="267"/>
      <c r="FF645" s="267"/>
      <c r="FG645" s="267"/>
      <c r="FL645" s="267"/>
      <c r="FM645" s="267"/>
      <c r="FN645" s="267"/>
      <c r="FO645" s="267"/>
      <c r="FP645" s="267"/>
      <c r="FQ645" s="264"/>
      <c r="FR645" s="264"/>
      <c r="FS645" s="264"/>
      <c r="FT645" s="264"/>
      <c r="FU645" s="267"/>
      <c r="FV645" s="267"/>
      <c r="FW645" s="267"/>
      <c r="FX645" s="267"/>
      <c r="FY645" s="267"/>
      <c r="GD645" s="267"/>
      <c r="GE645" s="267"/>
      <c r="GF645" s="267"/>
      <c r="GG645" s="267"/>
      <c r="GH645" s="267"/>
      <c r="GI645" s="264"/>
      <c r="GJ645" s="264"/>
      <c r="GK645" s="264"/>
      <c r="GL645" s="264"/>
      <c r="HD645" s="267"/>
      <c r="HE645" s="267"/>
      <c r="HF645" s="267"/>
      <c r="HG645" s="267"/>
      <c r="HH645" s="267"/>
      <c r="HI645" s="267"/>
      <c r="HJ645" s="267"/>
      <c r="HK645" s="267"/>
      <c r="HL645" s="267"/>
      <c r="HM645" s="267"/>
      <c r="HN645" s="267"/>
      <c r="HO645" s="267"/>
      <c r="HP645" s="267"/>
      <c r="HQ645" s="267"/>
      <c r="HR645" s="267"/>
      <c r="HS645" s="267"/>
      <c r="HT645" s="267"/>
      <c r="HU645" s="267"/>
      <c r="IH645" s="267"/>
      <c r="IK645" s="267"/>
      <c r="IN645" s="267"/>
      <c r="IQ645" s="267"/>
      <c r="IR645" s="267"/>
      <c r="IS645" s="267"/>
    </row>
    <row r="646" spans="10:253">
      <c r="J646" s="267"/>
      <c r="K646" s="267"/>
      <c r="L646" s="267"/>
      <c r="M646" s="267"/>
      <c r="N646" s="267"/>
      <c r="O646" s="267"/>
      <c r="P646" s="267"/>
      <c r="Q646" s="267"/>
      <c r="S646" s="267"/>
      <c r="T646" s="267"/>
      <c r="U646" s="267"/>
      <c r="V646" s="267"/>
      <c r="W646" s="264"/>
      <c r="Y646" s="267"/>
      <c r="Z646" s="267"/>
      <c r="AA646" s="267"/>
      <c r="AB646" s="267"/>
      <c r="AE646" s="267"/>
      <c r="AF646" s="267"/>
      <c r="AG646" s="267"/>
      <c r="AH646" s="267"/>
      <c r="AK646" s="267"/>
      <c r="AL646" s="267"/>
      <c r="AM646" s="267"/>
      <c r="AN646" s="267"/>
      <c r="AQ646" s="267"/>
      <c r="AR646" s="267"/>
      <c r="AS646" s="267"/>
      <c r="AT646" s="267"/>
      <c r="AW646" s="267"/>
      <c r="AX646" s="267"/>
      <c r="AY646" s="267"/>
      <c r="AZ646" s="267"/>
      <c r="BG646" s="269"/>
      <c r="BM646" s="269"/>
      <c r="BS646" s="269"/>
      <c r="BU646" s="267"/>
      <c r="BY646" s="267"/>
      <c r="CC646" s="267"/>
      <c r="CG646" s="267"/>
      <c r="CS646" s="267"/>
      <c r="CW646" s="270"/>
      <c r="CX646" s="267"/>
      <c r="DC646" s="267"/>
      <c r="DH646" s="267"/>
      <c r="DM646" s="267"/>
      <c r="DR646" s="267"/>
      <c r="DW646" s="267"/>
      <c r="EB646" s="267"/>
      <c r="EG646" s="267"/>
      <c r="EL646" s="267"/>
      <c r="EQ646" s="267"/>
      <c r="EU646" s="270"/>
      <c r="EV646" s="267"/>
      <c r="FC646" s="267"/>
      <c r="FD646" s="267"/>
      <c r="FE646" s="267"/>
      <c r="FF646" s="267"/>
      <c r="FG646" s="267"/>
      <c r="FL646" s="267"/>
      <c r="FM646" s="267"/>
      <c r="FN646" s="267"/>
      <c r="FO646" s="267"/>
      <c r="FP646" s="267"/>
      <c r="FQ646" s="264"/>
      <c r="FR646" s="264"/>
      <c r="FS646" s="264"/>
      <c r="FT646" s="264"/>
      <c r="FU646" s="267"/>
      <c r="FV646" s="267"/>
      <c r="FW646" s="267"/>
      <c r="FX646" s="267"/>
      <c r="FY646" s="267"/>
      <c r="GD646" s="267"/>
      <c r="GE646" s="267"/>
      <c r="GF646" s="267"/>
      <c r="GG646" s="267"/>
      <c r="GH646" s="267"/>
      <c r="GI646" s="264"/>
      <c r="GJ646" s="264"/>
      <c r="GK646" s="264"/>
      <c r="GL646" s="264"/>
      <c r="HD646" s="267"/>
      <c r="HE646" s="267"/>
      <c r="HF646" s="267"/>
      <c r="HG646" s="267"/>
      <c r="HH646" s="267"/>
      <c r="HI646" s="267"/>
      <c r="HJ646" s="267"/>
      <c r="HK646" s="267"/>
      <c r="HL646" s="267"/>
      <c r="HM646" s="267"/>
      <c r="HN646" s="267"/>
      <c r="HO646" s="267"/>
      <c r="HP646" s="267"/>
      <c r="HQ646" s="267"/>
      <c r="HR646" s="267"/>
      <c r="HS646" s="267"/>
      <c r="HT646" s="267"/>
      <c r="HU646" s="267"/>
      <c r="IH646" s="267"/>
      <c r="IK646" s="267"/>
      <c r="IN646" s="267"/>
      <c r="IQ646" s="267"/>
      <c r="IR646" s="267"/>
      <c r="IS646" s="267"/>
    </row>
    <row r="647" spans="10:253">
      <c r="J647" s="267"/>
      <c r="K647" s="267"/>
      <c r="L647" s="267"/>
      <c r="M647" s="267"/>
      <c r="N647" s="267"/>
      <c r="O647" s="267"/>
      <c r="P647" s="267"/>
      <c r="Q647" s="267"/>
      <c r="S647" s="267"/>
      <c r="T647" s="267"/>
      <c r="U647" s="267"/>
      <c r="V647" s="267"/>
      <c r="W647" s="264"/>
      <c r="Y647" s="267"/>
      <c r="Z647" s="267"/>
      <c r="AA647" s="267"/>
      <c r="AB647" s="267"/>
      <c r="AE647" s="267"/>
      <c r="AF647" s="267"/>
      <c r="AG647" s="267"/>
      <c r="AH647" s="267"/>
      <c r="AK647" s="267"/>
      <c r="AL647" s="267"/>
      <c r="AM647" s="267"/>
      <c r="AN647" s="267"/>
      <c r="AQ647" s="267"/>
      <c r="AR647" s="267"/>
      <c r="AS647" s="267"/>
      <c r="AT647" s="267"/>
      <c r="AW647" s="267"/>
      <c r="AX647" s="267"/>
      <c r="AY647" s="267"/>
      <c r="AZ647" s="267"/>
      <c r="BG647" s="269"/>
      <c r="BM647" s="269"/>
      <c r="BS647" s="269"/>
      <c r="BU647" s="267"/>
      <c r="BY647" s="267"/>
      <c r="CC647" s="267"/>
      <c r="CG647" s="267"/>
      <c r="CS647" s="267"/>
      <c r="CW647" s="270"/>
      <c r="CX647" s="267"/>
      <c r="DC647" s="267"/>
      <c r="DH647" s="267"/>
      <c r="DM647" s="267"/>
      <c r="DR647" s="267"/>
      <c r="DW647" s="267"/>
      <c r="EB647" s="267"/>
      <c r="EG647" s="267"/>
      <c r="EL647" s="267"/>
      <c r="EQ647" s="267"/>
      <c r="EU647" s="270"/>
      <c r="EV647" s="267"/>
      <c r="FC647" s="267"/>
      <c r="FD647" s="267"/>
      <c r="FE647" s="267"/>
      <c r="FF647" s="267"/>
      <c r="FG647" s="267"/>
      <c r="FL647" s="267"/>
      <c r="FM647" s="267"/>
      <c r="FN647" s="267"/>
      <c r="FO647" s="267"/>
      <c r="FP647" s="267"/>
      <c r="FQ647" s="264"/>
      <c r="FR647" s="264"/>
      <c r="FS647" s="264"/>
      <c r="FT647" s="264"/>
      <c r="FU647" s="267"/>
      <c r="FV647" s="267"/>
      <c r="FW647" s="267"/>
      <c r="FX647" s="267"/>
      <c r="FY647" s="267"/>
      <c r="GD647" s="267"/>
      <c r="GE647" s="267"/>
      <c r="GF647" s="267"/>
      <c r="GG647" s="267"/>
      <c r="GH647" s="267"/>
      <c r="GI647" s="264"/>
      <c r="GJ647" s="264"/>
      <c r="GK647" s="264"/>
      <c r="GL647" s="264"/>
      <c r="HD647" s="267"/>
      <c r="HE647" s="267"/>
      <c r="HF647" s="267"/>
      <c r="HG647" s="267"/>
      <c r="HH647" s="267"/>
      <c r="HI647" s="267"/>
      <c r="HJ647" s="267"/>
      <c r="HK647" s="267"/>
      <c r="HL647" s="267"/>
      <c r="HM647" s="267"/>
      <c r="HN647" s="267"/>
      <c r="HO647" s="267"/>
      <c r="HP647" s="267"/>
      <c r="HQ647" s="267"/>
      <c r="HR647" s="267"/>
      <c r="HS647" s="267"/>
      <c r="HT647" s="267"/>
      <c r="HU647" s="267"/>
      <c r="IH647" s="267"/>
      <c r="IK647" s="267"/>
      <c r="IN647" s="267"/>
      <c r="IQ647" s="267"/>
      <c r="IR647" s="267"/>
      <c r="IS647" s="267"/>
    </row>
    <row r="648" spans="10:253">
      <c r="J648" s="267"/>
      <c r="K648" s="267"/>
      <c r="L648" s="267"/>
      <c r="M648" s="267"/>
      <c r="N648" s="267"/>
      <c r="O648" s="267"/>
      <c r="P648" s="267"/>
      <c r="Q648" s="267"/>
      <c r="S648" s="267"/>
      <c r="T648" s="267"/>
      <c r="U648" s="267"/>
      <c r="V648" s="267"/>
      <c r="W648" s="264"/>
      <c r="Y648" s="267"/>
      <c r="Z648" s="267"/>
      <c r="AA648" s="267"/>
      <c r="AB648" s="267"/>
      <c r="AE648" s="267"/>
      <c r="AF648" s="267"/>
      <c r="AG648" s="267"/>
      <c r="AH648" s="267"/>
      <c r="AK648" s="267"/>
      <c r="AL648" s="267"/>
      <c r="AM648" s="267"/>
      <c r="AN648" s="267"/>
      <c r="AQ648" s="267"/>
      <c r="AR648" s="267"/>
      <c r="AS648" s="267"/>
      <c r="AT648" s="267"/>
      <c r="AW648" s="267"/>
      <c r="AX648" s="267"/>
      <c r="AY648" s="267"/>
      <c r="AZ648" s="267"/>
      <c r="BG648" s="269"/>
      <c r="BM648" s="269"/>
      <c r="BS648" s="269"/>
      <c r="BU648" s="267"/>
      <c r="BY648" s="267"/>
      <c r="CC648" s="267"/>
      <c r="CG648" s="267"/>
      <c r="CS648" s="267"/>
      <c r="CW648" s="270"/>
      <c r="CX648" s="267"/>
      <c r="DC648" s="267"/>
      <c r="DH648" s="267"/>
      <c r="DM648" s="267"/>
      <c r="DR648" s="267"/>
      <c r="DW648" s="267"/>
      <c r="EB648" s="267"/>
      <c r="EG648" s="267"/>
      <c r="EL648" s="267"/>
      <c r="EQ648" s="267"/>
      <c r="EU648" s="270"/>
      <c r="EV648" s="267"/>
      <c r="FC648" s="267"/>
      <c r="FD648" s="267"/>
      <c r="FE648" s="267"/>
      <c r="FF648" s="267"/>
      <c r="FG648" s="267"/>
      <c r="FL648" s="267"/>
      <c r="FM648" s="267"/>
      <c r="FN648" s="267"/>
      <c r="FO648" s="267"/>
      <c r="FP648" s="267"/>
      <c r="FQ648" s="264"/>
      <c r="FR648" s="264"/>
      <c r="FS648" s="264"/>
      <c r="FT648" s="264"/>
      <c r="FU648" s="267"/>
      <c r="FV648" s="267"/>
      <c r="FW648" s="267"/>
      <c r="FX648" s="267"/>
      <c r="FY648" s="267"/>
      <c r="GD648" s="267"/>
      <c r="GE648" s="267"/>
      <c r="GF648" s="267"/>
      <c r="GG648" s="267"/>
      <c r="GH648" s="267"/>
      <c r="GI648" s="264"/>
      <c r="GJ648" s="264"/>
      <c r="GK648" s="264"/>
      <c r="GL648" s="264"/>
      <c r="HD648" s="267"/>
      <c r="HE648" s="267"/>
      <c r="HF648" s="267"/>
      <c r="HG648" s="267"/>
      <c r="HH648" s="267"/>
      <c r="HI648" s="267"/>
      <c r="HJ648" s="267"/>
      <c r="HK648" s="267"/>
      <c r="HL648" s="267"/>
      <c r="HM648" s="267"/>
      <c r="HN648" s="267"/>
      <c r="HO648" s="267"/>
      <c r="HP648" s="267"/>
      <c r="HQ648" s="267"/>
      <c r="HR648" s="267"/>
      <c r="HS648" s="267"/>
      <c r="HT648" s="267"/>
      <c r="HU648" s="267"/>
      <c r="IH648" s="267"/>
      <c r="IK648" s="267"/>
      <c r="IN648" s="267"/>
      <c r="IQ648" s="267"/>
      <c r="IR648" s="267"/>
      <c r="IS648" s="267"/>
    </row>
    <row r="649" spans="10:253">
      <c r="J649" s="267"/>
      <c r="K649" s="267"/>
      <c r="L649" s="267"/>
      <c r="M649" s="267"/>
      <c r="N649" s="267"/>
      <c r="O649" s="267"/>
      <c r="P649" s="267"/>
      <c r="Q649" s="267"/>
      <c r="S649" s="267"/>
      <c r="T649" s="267"/>
      <c r="U649" s="267"/>
      <c r="V649" s="267"/>
      <c r="W649" s="264"/>
      <c r="Y649" s="267"/>
      <c r="Z649" s="267"/>
      <c r="AA649" s="267"/>
      <c r="AB649" s="267"/>
      <c r="AE649" s="267"/>
      <c r="AF649" s="267"/>
      <c r="AG649" s="267"/>
      <c r="AH649" s="267"/>
      <c r="AK649" s="267"/>
      <c r="AL649" s="267"/>
      <c r="AM649" s="267"/>
      <c r="AN649" s="267"/>
      <c r="AQ649" s="267"/>
      <c r="AR649" s="267"/>
      <c r="AS649" s="267"/>
      <c r="AT649" s="267"/>
      <c r="AW649" s="267"/>
      <c r="AX649" s="267"/>
      <c r="AY649" s="267"/>
      <c r="AZ649" s="267"/>
      <c r="BG649" s="269"/>
      <c r="BM649" s="269"/>
      <c r="BS649" s="269"/>
      <c r="BU649" s="267"/>
      <c r="BY649" s="267"/>
      <c r="CC649" s="267"/>
      <c r="CG649" s="267"/>
      <c r="CS649" s="267"/>
      <c r="CW649" s="270"/>
      <c r="CX649" s="267"/>
      <c r="DC649" s="267"/>
      <c r="DH649" s="267"/>
      <c r="DM649" s="267"/>
      <c r="DR649" s="267"/>
      <c r="DW649" s="267"/>
      <c r="EB649" s="267"/>
      <c r="EG649" s="267"/>
      <c r="EL649" s="267"/>
      <c r="EQ649" s="267"/>
      <c r="EU649" s="270"/>
      <c r="EV649" s="267"/>
      <c r="FC649" s="267"/>
      <c r="FD649" s="267"/>
      <c r="FE649" s="267"/>
      <c r="FF649" s="267"/>
      <c r="FG649" s="267"/>
      <c r="FL649" s="267"/>
      <c r="FM649" s="267"/>
      <c r="FN649" s="267"/>
      <c r="FO649" s="267"/>
      <c r="FP649" s="267"/>
      <c r="FQ649" s="264"/>
      <c r="FR649" s="264"/>
      <c r="FS649" s="264"/>
      <c r="FT649" s="264"/>
      <c r="FU649" s="267"/>
      <c r="FV649" s="267"/>
      <c r="FW649" s="267"/>
      <c r="FX649" s="267"/>
      <c r="FY649" s="267"/>
      <c r="GD649" s="267"/>
      <c r="GE649" s="267"/>
      <c r="GF649" s="267"/>
      <c r="GG649" s="267"/>
      <c r="GH649" s="267"/>
      <c r="GI649" s="264"/>
      <c r="GJ649" s="264"/>
      <c r="GK649" s="264"/>
      <c r="GL649" s="264"/>
      <c r="HD649" s="267"/>
      <c r="HE649" s="267"/>
      <c r="HF649" s="267"/>
      <c r="HG649" s="267"/>
      <c r="HH649" s="267"/>
      <c r="HI649" s="267"/>
      <c r="HJ649" s="267"/>
      <c r="HK649" s="267"/>
      <c r="HL649" s="267"/>
      <c r="HM649" s="267"/>
      <c r="HN649" s="267"/>
      <c r="HO649" s="267"/>
      <c r="HP649" s="267"/>
      <c r="HQ649" s="267"/>
      <c r="HR649" s="267"/>
      <c r="HS649" s="267"/>
      <c r="HT649" s="267"/>
      <c r="HU649" s="267"/>
      <c r="IH649" s="267"/>
      <c r="IK649" s="267"/>
      <c r="IN649" s="267"/>
      <c r="IQ649" s="267"/>
      <c r="IR649" s="267"/>
      <c r="IS649" s="267"/>
    </row>
    <row r="650" spans="10:253">
      <c r="J650" s="267"/>
      <c r="K650" s="267"/>
      <c r="L650" s="267"/>
      <c r="M650" s="267"/>
      <c r="N650" s="267"/>
      <c r="O650" s="267"/>
      <c r="P650" s="267"/>
      <c r="Q650" s="267"/>
      <c r="S650" s="267"/>
      <c r="T650" s="267"/>
      <c r="U650" s="267"/>
      <c r="V650" s="267"/>
      <c r="W650" s="264"/>
      <c r="Y650" s="267"/>
      <c r="Z650" s="267"/>
      <c r="AA650" s="267"/>
      <c r="AB650" s="267"/>
      <c r="AE650" s="267"/>
      <c r="AF650" s="267"/>
      <c r="AG650" s="267"/>
      <c r="AH650" s="267"/>
      <c r="AK650" s="267"/>
      <c r="AL650" s="267"/>
      <c r="AM650" s="267"/>
      <c r="AN650" s="267"/>
      <c r="AQ650" s="267"/>
      <c r="AR650" s="267"/>
      <c r="AS650" s="267"/>
      <c r="AT650" s="267"/>
      <c r="AW650" s="267"/>
      <c r="AX650" s="267"/>
      <c r="AY650" s="267"/>
      <c r="AZ650" s="267"/>
      <c r="BG650" s="269"/>
      <c r="BM650" s="269"/>
      <c r="BS650" s="269"/>
      <c r="BU650" s="267"/>
      <c r="BY650" s="267"/>
      <c r="CC650" s="267"/>
      <c r="CG650" s="267"/>
      <c r="CS650" s="267"/>
      <c r="CW650" s="270"/>
      <c r="CX650" s="267"/>
      <c r="DC650" s="267"/>
      <c r="DH650" s="267"/>
      <c r="DM650" s="267"/>
      <c r="DR650" s="267"/>
      <c r="DW650" s="267"/>
      <c r="EB650" s="267"/>
      <c r="EG650" s="267"/>
      <c r="EL650" s="267"/>
      <c r="EQ650" s="267"/>
      <c r="EU650" s="270"/>
      <c r="EV650" s="267"/>
      <c r="FC650" s="267"/>
      <c r="FD650" s="267"/>
      <c r="FE650" s="267"/>
      <c r="FF650" s="267"/>
      <c r="FG650" s="267"/>
      <c r="FL650" s="267"/>
      <c r="FM650" s="267"/>
      <c r="FN650" s="267"/>
      <c r="FO650" s="267"/>
      <c r="FP650" s="267"/>
      <c r="FQ650" s="264"/>
      <c r="FR650" s="264"/>
      <c r="FS650" s="264"/>
      <c r="FT650" s="264"/>
      <c r="FU650" s="267"/>
      <c r="FV650" s="267"/>
      <c r="FW650" s="267"/>
      <c r="FX650" s="267"/>
      <c r="FY650" s="267"/>
      <c r="GD650" s="267"/>
      <c r="GE650" s="267"/>
      <c r="GF650" s="267"/>
      <c r="GG650" s="267"/>
      <c r="GH650" s="267"/>
      <c r="GI650" s="264"/>
      <c r="GJ650" s="264"/>
      <c r="GK650" s="264"/>
      <c r="GL650" s="264"/>
      <c r="HD650" s="267"/>
      <c r="HE650" s="267"/>
      <c r="HF650" s="267"/>
      <c r="HG650" s="267"/>
      <c r="HH650" s="267"/>
      <c r="HI650" s="267"/>
      <c r="HJ650" s="267"/>
      <c r="HK650" s="267"/>
      <c r="HL650" s="267"/>
      <c r="HM650" s="267"/>
      <c r="HN650" s="267"/>
      <c r="HO650" s="267"/>
      <c r="HP650" s="267"/>
      <c r="HQ650" s="267"/>
      <c r="HR650" s="267"/>
      <c r="HS650" s="267"/>
      <c r="HT650" s="267"/>
      <c r="HU650" s="267"/>
      <c r="IH650" s="267"/>
      <c r="IK650" s="267"/>
      <c r="IN650" s="267"/>
      <c r="IQ650" s="267"/>
      <c r="IR650" s="267"/>
      <c r="IS650" s="267"/>
    </row>
    <row r="651" spans="10:253">
      <c r="J651" s="267"/>
      <c r="K651" s="267"/>
      <c r="L651" s="267"/>
      <c r="M651" s="267"/>
      <c r="N651" s="267"/>
      <c r="O651" s="267"/>
      <c r="P651" s="267"/>
      <c r="Q651" s="267"/>
      <c r="S651" s="267"/>
      <c r="T651" s="267"/>
      <c r="U651" s="267"/>
      <c r="V651" s="267"/>
      <c r="W651" s="264"/>
      <c r="Y651" s="267"/>
      <c r="Z651" s="267"/>
      <c r="AA651" s="267"/>
      <c r="AB651" s="267"/>
      <c r="AE651" s="267"/>
      <c r="AF651" s="267"/>
      <c r="AG651" s="267"/>
      <c r="AH651" s="267"/>
      <c r="AK651" s="267"/>
      <c r="AL651" s="267"/>
      <c r="AM651" s="267"/>
      <c r="AN651" s="267"/>
      <c r="AQ651" s="267"/>
      <c r="AR651" s="267"/>
      <c r="AS651" s="267"/>
      <c r="AT651" s="267"/>
      <c r="AW651" s="267"/>
      <c r="AX651" s="267"/>
      <c r="AY651" s="267"/>
      <c r="AZ651" s="267"/>
      <c r="BG651" s="269"/>
      <c r="BM651" s="269"/>
      <c r="BS651" s="269"/>
      <c r="BU651" s="267"/>
      <c r="BY651" s="267"/>
      <c r="CC651" s="267"/>
      <c r="CG651" s="267"/>
      <c r="CS651" s="267"/>
      <c r="CW651" s="270"/>
      <c r="CX651" s="267"/>
      <c r="DC651" s="267"/>
      <c r="DH651" s="267"/>
      <c r="DM651" s="267"/>
      <c r="DR651" s="267"/>
      <c r="DW651" s="267"/>
      <c r="EB651" s="267"/>
      <c r="EG651" s="267"/>
      <c r="EL651" s="267"/>
      <c r="EQ651" s="267"/>
      <c r="EU651" s="270"/>
      <c r="EV651" s="267"/>
      <c r="FC651" s="267"/>
      <c r="FD651" s="267"/>
      <c r="FE651" s="267"/>
      <c r="FF651" s="267"/>
      <c r="FG651" s="267"/>
      <c r="FL651" s="267"/>
      <c r="FM651" s="267"/>
      <c r="FN651" s="267"/>
      <c r="FO651" s="267"/>
      <c r="FP651" s="267"/>
      <c r="FQ651" s="264"/>
      <c r="FR651" s="264"/>
      <c r="FS651" s="264"/>
      <c r="FT651" s="264"/>
      <c r="FU651" s="267"/>
      <c r="FV651" s="267"/>
      <c r="FW651" s="267"/>
      <c r="FX651" s="267"/>
      <c r="FY651" s="267"/>
      <c r="GD651" s="267"/>
      <c r="GE651" s="267"/>
      <c r="GF651" s="267"/>
      <c r="GG651" s="267"/>
      <c r="GH651" s="267"/>
      <c r="GI651" s="264"/>
      <c r="GJ651" s="264"/>
      <c r="GK651" s="264"/>
      <c r="GL651" s="264"/>
      <c r="HD651" s="267"/>
      <c r="HE651" s="267"/>
      <c r="HF651" s="267"/>
      <c r="HG651" s="267"/>
      <c r="HH651" s="267"/>
      <c r="HI651" s="267"/>
      <c r="HJ651" s="267"/>
      <c r="HK651" s="267"/>
      <c r="HL651" s="267"/>
      <c r="HM651" s="267"/>
      <c r="HN651" s="267"/>
      <c r="HO651" s="267"/>
      <c r="HP651" s="267"/>
      <c r="HQ651" s="267"/>
      <c r="HR651" s="267"/>
      <c r="HS651" s="267"/>
      <c r="HT651" s="267"/>
      <c r="HU651" s="267"/>
      <c r="IH651" s="267"/>
      <c r="IK651" s="267"/>
      <c r="IN651" s="267"/>
      <c r="IQ651" s="267"/>
      <c r="IR651" s="267"/>
      <c r="IS651" s="267"/>
    </row>
    <row r="652" spans="10:253">
      <c r="J652" s="267"/>
      <c r="K652" s="267"/>
      <c r="L652" s="267"/>
      <c r="M652" s="267"/>
      <c r="N652" s="267"/>
      <c r="O652" s="267"/>
      <c r="P652" s="267"/>
      <c r="Q652" s="267"/>
      <c r="S652" s="267"/>
      <c r="T652" s="267"/>
      <c r="U652" s="267"/>
      <c r="V652" s="267"/>
      <c r="W652" s="264"/>
      <c r="Y652" s="267"/>
      <c r="Z652" s="267"/>
      <c r="AA652" s="267"/>
      <c r="AB652" s="267"/>
      <c r="AE652" s="267"/>
      <c r="AF652" s="267"/>
      <c r="AG652" s="267"/>
      <c r="AH652" s="267"/>
      <c r="AK652" s="267"/>
      <c r="AL652" s="267"/>
      <c r="AM652" s="267"/>
      <c r="AN652" s="267"/>
      <c r="AQ652" s="267"/>
      <c r="AR652" s="267"/>
      <c r="AS652" s="267"/>
      <c r="AT652" s="267"/>
      <c r="AW652" s="267"/>
      <c r="AX652" s="267"/>
      <c r="AY652" s="267"/>
      <c r="AZ652" s="267"/>
      <c r="BG652" s="269"/>
      <c r="BM652" s="269"/>
      <c r="BS652" s="269"/>
      <c r="BU652" s="267"/>
      <c r="BY652" s="267"/>
      <c r="CC652" s="267"/>
      <c r="CG652" s="267"/>
      <c r="CS652" s="267"/>
      <c r="CW652" s="270"/>
      <c r="CX652" s="267"/>
      <c r="DC652" s="267"/>
      <c r="DH652" s="267"/>
      <c r="DM652" s="267"/>
      <c r="DR652" s="267"/>
      <c r="DW652" s="267"/>
      <c r="EB652" s="267"/>
      <c r="EG652" s="267"/>
      <c r="EL652" s="267"/>
      <c r="EQ652" s="267"/>
      <c r="EU652" s="270"/>
      <c r="EV652" s="267"/>
      <c r="FC652" s="267"/>
      <c r="FD652" s="267"/>
      <c r="FE652" s="267"/>
      <c r="FF652" s="267"/>
      <c r="FG652" s="267"/>
      <c r="FL652" s="267"/>
      <c r="FM652" s="267"/>
      <c r="FN652" s="267"/>
      <c r="FO652" s="267"/>
      <c r="FP652" s="267"/>
      <c r="FQ652" s="264"/>
      <c r="FR652" s="264"/>
      <c r="FS652" s="264"/>
      <c r="FT652" s="264"/>
      <c r="FU652" s="267"/>
      <c r="FV652" s="267"/>
      <c r="FW652" s="267"/>
      <c r="FX652" s="267"/>
      <c r="FY652" s="267"/>
      <c r="GD652" s="267"/>
      <c r="GE652" s="267"/>
      <c r="GF652" s="267"/>
      <c r="GG652" s="267"/>
      <c r="GH652" s="267"/>
      <c r="GI652" s="264"/>
      <c r="GJ652" s="264"/>
      <c r="GK652" s="264"/>
      <c r="GL652" s="264"/>
      <c r="HD652" s="267"/>
      <c r="HE652" s="267"/>
      <c r="HF652" s="267"/>
      <c r="HG652" s="267"/>
      <c r="HH652" s="267"/>
      <c r="HI652" s="267"/>
      <c r="HJ652" s="267"/>
      <c r="HK652" s="267"/>
      <c r="HL652" s="267"/>
      <c r="HM652" s="267"/>
      <c r="HN652" s="267"/>
      <c r="HO652" s="267"/>
      <c r="HP652" s="267"/>
      <c r="HQ652" s="267"/>
      <c r="HR652" s="267"/>
      <c r="HS652" s="267"/>
      <c r="HT652" s="267"/>
      <c r="HU652" s="267"/>
      <c r="IH652" s="267"/>
      <c r="IK652" s="267"/>
      <c r="IN652" s="267"/>
      <c r="IQ652" s="267"/>
      <c r="IR652" s="267"/>
      <c r="IS652" s="267"/>
    </row>
    <row r="653" spans="10:253">
      <c r="J653" s="267"/>
      <c r="K653" s="267"/>
      <c r="L653" s="267"/>
      <c r="M653" s="267"/>
      <c r="N653" s="267"/>
      <c r="O653" s="267"/>
      <c r="P653" s="267"/>
      <c r="Q653" s="267"/>
      <c r="S653" s="267"/>
      <c r="T653" s="267"/>
      <c r="U653" s="267"/>
      <c r="V653" s="267"/>
      <c r="W653" s="264"/>
      <c r="Y653" s="267"/>
      <c r="Z653" s="267"/>
      <c r="AA653" s="267"/>
      <c r="AB653" s="267"/>
      <c r="AE653" s="267"/>
      <c r="AF653" s="267"/>
      <c r="AG653" s="267"/>
      <c r="AH653" s="267"/>
      <c r="AK653" s="267"/>
      <c r="AL653" s="267"/>
      <c r="AM653" s="267"/>
      <c r="AN653" s="267"/>
      <c r="AQ653" s="267"/>
      <c r="AR653" s="267"/>
      <c r="AS653" s="267"/>
      <c r="AT653" s="267"/>
      <c r="AW653" s="267"/>
      <c r="AX653" s="267"/>
      <c r="AY653" s="267"/>
      <c r="AZ653" s="267"/>
      <c r="BG653" s="269"/>
      <c r="BM653" s="269"/>
      <c r="BS653" s="269"/>
      <c r="BU653" s="267"/>
      <c r="BY653" s="267"/>
      <c r="CC653" s="267"/>
      <c r="CG653" s="267"/>
      <c r="CS653" s="267"/>
      <c r="CW653" s="270"/>
      <c r="CX653" s="267"/>
      <c r="DC653" s="267"/>
      <c r="DH653" s="267"/>
      <c r="DM653" s="267"/>
      <c r="DR653" s="267"/>
      <c r="DW653" s="267"/>
      <c r="EB653" s="267"/>
      <c r="EG653" s="267"/>
      <c r="EL653" s="267"/>
      <c r="EQ653" s="267"/>
      <c r="EU653" s="270"/>
      <c r="EV653" s="267"/>
      <c r="FC653" s="267"/>
      <c r="FD653" s="267"/>
      <c r="FE653" s="267"/>
      <c r="FF653" s="267"/>
      <c r="FG653" s="267"/>
      <c r="FL653" s="267"/>
      <c r="FM653" s="267"/>
      <c r="FN653" s="267"/>
      <c r="FO653" s="267"/>
      <c r="FP653" s="267"/>
      <c r="FQ653" s="264"/>
      <c r="FR653" s="264"/>
      <c r="FS653" s="264"/>
      <c r="FT653" s="264"/>
      <c r="FU653" s="267"/>
      <c r="FV653" s="267"/>
      <c r="FW653" s="267"/>
      <c r="FX653" s="267"/>
      <c r="FY653" s="267"/>
      <c r="GD653" s="267"/>
      <c r="GE653" s="267"/>
      <c r="GF653" s="267"/>
      <c r="GG653" s="267"/>
      <c r="GH653" s="267"/>
      <c r="GI653" s="264"/>
      <c r="GJ653" s="264"/>
      <c r="GK653" s="264"/>
      <c r="GL653" s="264"/>
      <c r="HD653" s="267"/>
      <c r="HE653" s="267"/>
      <c r="HF653" s="267"/>
      <c r="HG653" s="267"/>
      <c r="HH653" s="267"/>
      <c r="HI653" s="267"/>
      <c r="HJ653" s="267"/>
      <c r="HK653" s="267"/>
      <c r="HL653" s="267"/>
      <c r="HM653" s="267"/>
      <c r="HN653" s="267"/>
      <c r="HO653" s="267"/>
      <c r="HP653" s="267"/>
      <c r="HQ653" s="267"/>
      <c r="HR653" s="267"/>
      <c r="HS653" s="267"/>
      <c r="HT653" s="267"/>
      <c r="HU653" s="267"/>
      <c r="IH653" s="267"/>
      <c r="IK653" s="267"/>
      <c r="IN653" s="267"/>
      <c r="IQ653" s="267"/>
      <c r="IR653" s="267"/>
      <c r="IS653" s="267"/>
    </row>
    <row r="654" spans="10:253">
      <c r="J654" s="267"/>
      <c r="K654" s="267"/>
      <c r="L654" s="267"/>
      <c r="M654" s="267"/>
      <c r="N654" s="267"/>
      <c r="O654" s="267"/>
      <c r="P654" s="267"/>
      <c r="Q654" s="267"/>
      <c r="S654" s="267"/>
      <c r="T654" s="267"/>
      <c r="U654" s="267"/>
      <c r="V654" s="267"/>
      <c r="W654" s="264"/>
      <c r="Y654" s="267"/>
      <c r="Z654" s="267"/>
      <c r="AA654" s="267"/>
      <c r="AB654" s="267"/>
      <c r="AE654" s="267"/>
      <c r="AF654" s="267"/>
      <c r="AG654" s="267"/>
      <c r="AH654" s="267"/>
      <c r="AK654" s="267"/>
      <c r="AL654" s="267"/>
      <c r="AM654" s="267"/>
      <c r="AN654" s="267"/>
      <c r="AQ654" s="267"/>
      <c r="AR654" s="267"/>
      <c r="AS654" s="267"/>
      <c r="AT654" s="267"/>
      <c r="AW654" s="267"/>
      <c r="AX654" s="267"/>
      <c r="AY654" s="267"/>
      <c r="AZ654" s="267"/>
      <c r="BG654" s="269"/>
      <c r="BM654" s="269"/>
      <c r="BS654" s="269"/>
      <c r="BU654" s="267"/>
      <c r="BY654" s="267"/>
      <c r="CC654" s="267"/>
      <c r="CG654" s="267"/>
      <c r="CS654" s="267"/>
      <c r="CW654" s="270"/>
      <c r="CX654" s="267"/>
      <c r="DC654" s="267"/>
      <c r="DH654" s="267"/>
      <c r="DM654" s="267"/>
      <c r="DR654" s="267"/>
      <c r="DW654" s="267"/>
      <c r="EB654" s="267"/>
      <c r="EG654" s="267"/>
      <c r="EL654" s="267"/>
      <c r="EQ654" s="267"/>
      <c r="EU654" s="270"/>
      <c r="EV654" s="267"/>
      <c r="FC654" s="267"/>
      <c r="FD654" s="267"/>
      <c r="FE654" s="267"/>
      <c r="FF654" s="267"/>
      <c r="FG654" s="267"/>
      <c r="FL654" s="267"/>
      <c r="FM654" s="267"/>
      <c r="FN654" s="267"/>
      <c r="FO654" s="267"/>
      <c r="FP654" s="267"/>
      <c r="FQ654" s="264"/>
      <c r="FR654" s="264"/>
      <c r="FS654" s="264"/>
      <c r="FT654" s="264"/>
      <c r="FU654" s="267"/>
      <c r="FV654" s="267"/>
      <c r="FW654" s="267"/>
      <c r="FX654" s="267"/>
      <c r="FY654" s="267"/>
      <c r="GD654" s="267"/>
      <c r="GE654" s="267"/>
      <c r="GF654" s="267"/>
      <c r="GG654" s="267"/>
      <c r="GH654" s="267"/>
      <c r="GI654" s="264"/>
      <c r="GJ654" s="264"/>
      <c r="GK654" s="264"/>
      <c r="GL654" s="264"/>
      <c r="HD654" s="267"/>
      <c r="HE654" s="267"/>
      <c r="HF654" s="267"/>
      <c r="HG654" s="267"/>
      <c r="HH654" s="267"/>
      <c r="HI654" s="267"/>
      <c r="HJ654" s="267"/>
      <c r="HK654" s="267"/>
      <c r="HL654" s="267"/>
      <c r="HM654" s="267"/>
      <c r="HN654" s="267"/>
      <c r="HO654" s="267"/>
      <c r="HP654" s="267"/>
      <c r="HQ654" s="267"/>
      <c r="HR654" s="267"/>
      <c r="HS654" s="267"/>
      <c r="HT654" s="267"/>
      <c r="HU654" s="267"/>
      <c r="IH654" s="267"/>
      <c r="IK654" s="267"/>
      <c r="IN654" s="267"/>
      <c r="IQ654" s="267"/>
      <c r="IR654" s="267"/>
      <c r="IS654" s="267"/>
    </row>
    <row r="655" spans="10:253">
      <c r="J655" s="267"/>
      <c r="K655" s="267"/>
      <c r="L655" s="267"/>
      <c r="M655" s="267"/>
      <c r="N655" s="267"/>
      <c r="O655" s="267"/>
      <c r="P655" s="267"/>
      <c r="Q655" s="267"/>
      <c r="S655" s="267"/>
      <c r="T655" s="267"/>
      <c r="U655" s="267"/>
      <c r="V655" s="267"/>
      <c r="W655" s="264"/>
      <c r="Y655" s="267"/>
      <c r="Z655" s="267"/>
      <c r="AA655" s="267"/>
      <c r="AB655" s="267"/>
      <c r="AE655" s="267"/>
      <c r="AF655" s="267"/>
      <c r="AG655" s="267"/>
      <c r="AH655" s="267"/>
      <c r="AK655" s="267"/>
      <c r="AL655" s="267"/>
      <c r="AM655" s="267"/>
      <c r="AN655" s="267"/>
      <c r="AQ655" s="267"/>
      <c r="AR655" s="267"/>
      <c r="AS655" s="267"/>
      <c r="AT655" s="267"/>
      <c r="AW655" s="267"/>
      <c r="AX655" s="267"/>
      <c r="AY655" s="267"/>
      <c r="AZ655" s="267"/>
      <c r="BG655" s="269"/>
      <c r="BM655" s="269"/>
      <c r="BS655" s="269"/>
      <c r="BU655" s="267"/>
      <c r="BY655" s="267"/>
      <c r="CC655" s="267"/>
      <c r="CG655" s="267"/>
      <c r="CS655" s="267"/>
      <c r="CW655" s="270"/>
      <c r="CX655" s="267"/>
      <c r="DC655" s="267"/>
      <c r="DH655" s="267"/>
      <c r="DM655" s="267"/>
      <c r="DR655" s="267"/>
      <c r="DW655" s="267"/>
      <c r="EB655" s="267"/>
      <c r="EG655" s="267"/>
      <c r="EL655" s="267"/>
      <c r="EQ655" s="267"/>
      <c r="EU655" s="270"/>
      <c r="EV655" s="267"/>
      <c r="FC655" s="267"/>
      <c r="FD655" s="267"/>
      <c r="FE655" s="267"/>
      <c r="FF655" s="267"/>
      <c r="FG655" s="267"/>
      <c r="FL655" s="267"/>
      <c r="FM655" s="267"/>
      <c r="FN655" s="267"/>
      <c r="FO655" s="267"/>
      <c r="FP655" s="267"/>
      <c r="FQ655" s="264"/>
      <c r="FR655" s="264"/>
      <c r="FS655" s="264"/>
      <c r="FT655" s="264"/>
      <c r="FU655" s="267"/>
      <c r="FV655" s="267"/>
      <c r="FW655" s="267"/>
      <c r="FX655" s="267"/>
      <c r="FY655" s="267"/>
      <c r="GD655" s="267"/>
      <c r="GE655" s="267"/>
      <c r="GF655" s="267"/>
      <c r="GG655" s="267"/>
      <c r="GH655" s="267"/>
      <c r="GI655" s="264"/>
      <c r="GJ655" s="264"/>
      <c r="GK655" s="264"/>
      <c r="GL655" s="264"/>
      <c r="HD655" s="267"/>
      <c r="HE655" s="267"/>
      <c r="HF655" s="267"/>
      <c r="HG655" s="267"/>
      <c r="HH655" s="267"/>
      <c r="HI655" s="267"/>
      <c r="HJ655" s="267"/>
      <c r="HK655" s="267"/>
      <c r="HL655" s="267"/>
      <c r="HM655" s="267"/>
      <c r="HN655" s="267"/>
      <c r="HO655" s="267"/>
      <c r="HP655" s="267"/>
      <c r="HQ655" s="267"/>
      <c r="HR655" s="267"/>
      <c r="HS655" s="267"/>
      <c r="HT655" s="267"/>
      <c r="HU655" s="267"/>
      <c r="IH655" s="267"/>
      <c r="IK655" s="267"/>
      <c r="IN655" s="267"/>
      <c r="IQ655" s="267"/>
      <c r="IR655" s="267"/>
      <c r="IS655" s="267"/>
    </row>
    <row r="656" spans="10:253">
      <c r="J656" s="267"/>
      <c r="K656" s="267"/>
      <c r="L656" s="267"/>
      <c r="M656" s="267"/>
      <c r="N656" s="267"/>
      <c r="O656" s="267"/>
      <c r="P656" s="267"/>
      <c r="Q656" s="267"/>
      <c r="S656" s="267"/>
      <c r="T656" s="267"/>
      <c r="U656" s="267"/>
      <c r="V656" s="267"/>
      <c r="W656" s="264"/>
      <c r="Y656" s="267"/>
      <c r="Z656" s="267"/>
      <c r="AA656" s="267"/>
      <c r="AB656" s="267"/>
      <c r="AE656" s="267"/>
      <c r="AF656" s="267"/>
      <c r="AG656" s="267"/>
      <c r="AH656" s="267"/>
      <c r="AK656" s="267"/>
      <c r="AL656" s="267"/>
      <c r="AM656" s="267"/>
      <c r="AN656" s="267"/>
      <c r="AQ656" s="267"/>
      <c r="AR656" s="267"/>
      <c r="AS656" s="267"/>
      <c r="AT656" s="267"/>
      <c r="AW656" s="267"/>
      <c r="AX656" s="267"/>
      <c r="AY656" s="267"/>
      <c r="AZ656" s="267"/>
      <c r="BG656" s="269"/>
      <c r="BM656" s="269"/>
      <c r="BS656" s="269"/>
      <c r="BU656" s="267"/>
      <c r="BY656" s="267"/>
      <c r="CC656" s="267"/>
      <c r="CG656" s="267"/>
      <c r="CS656" s="267"/>
      <c r="CW656" s="270"/>
      <c r="CX656" s="267"/>
      <c r="DC656" s="267"/>
      <c r="DH656" s="267"/>
      <c r="DM656" s="267"/>
      <c r="DR656" s="267"/>
      <c r="DW656" s="267"/>
      <c r="EB656" s="267"/>
      <c r="EG656" s="267"/>
      <c r="EL656" s="267"/>
      <c r="EQ656" s="267"/>
      <c r="EU656" s="270"/>
      <c r="EV656" s="267"/>
      <c r="FC656" s="267"/>
      <c r="FD656" s="267"/>
      <c r="FE656" s="267"/>
      <c r="FF656" s="267"/>
      <c r="FG656" s="267"/>
      <c r="FL656" s="267"/>
      <c r="FM656" s="267"/>
      <c r="FN656" s="267"/>
      <c r="FO656" s="267"/>
      <c r="FP656" s="267"/>
      <c r="FQ656" s="264"/>
      <c r="FR656" s="264"/>
      <c r="FS656" s="264"/>
      <c r="FT656" s="264"/>
      <c r="FU656" s="267"/>
      <c r="FV656" s="267"/>
      <c r="FW656" s="267"/>
      <c r="FX656" s="267"/>
      <c r="FY656" s="267"/>
      <c r="GD656" s="267"/>
      <c r="GE656" s="267"/>
      <c r="GF656" s="267"/>
      <c r="GG656" s="267"/>
      <c r="GH656" s="267"/>
      <c r="GI656" s="264"/>
      <c r="GJ656" s="264"/>
      <c r="GK656" s="264"/>
      <c r="GL656" s="264"/>
      <c r="HD656" s="267"/>
      <c r="HE656" s="267"/>
      <c r="HF656" s="267"/>
      <c r="HG656" s="267"/>
      <c r="HH656" s="267"/>
      <c r="HI656" s="267"/>
      <c r="HJ656" s="267"/>
      <c r="HK656" s="267"/>
      <c r="HL656" s="267"/>
      <c r="HM656" s="267"/>
      <c r="HN656" s="267"/>
      <c r="HO656" s="267"/>
      <c r="HP656" s="267"/>
      <c r="HQ656" s="267"/>
      <c r="HR656" s="267"/>
      <c r="HS656" s="267"/>
      <c r="HT656" s="267"/>
      <c r="HU656" s="267"/>
      <c r="IH656" s="267"/>
      <c r="IK656" s="267"/>
      <c r="IN656" s="267"/>
      <c r="IQ656" s="267"/>
      <c r="IR656" s="267"/>
      <c r="IS656" s="267"/>
    </row>
    <row r="657" spans="10:253">
      <c r="J657" s="267"/>
      <c r="K657" s="267"/>
      <c r="L657" s="267"/>
      <c r="M657" s="267"/>
      <c r="N657" s="267"/>
      <c r="O657" s="267"/>
      <c r="P657" s="267"/>
      <c r="Q657" s="267"/>
      <c r="S657" s="267"/>
      <c r="T657" s="267"/>
      <c r="U657" s="267"/>
      <c r="V657" s="267"/>
      <c r="W657" s="264"/>
      <c r="Y657" s="267"/>
      <c r="Z657" s="267"/>
      <c r="AA657" s="267"/>
      <c r="AB657" s="267"/>
      <c r="AE657" s="267"/>
      <c r="AF657" s="267"/>
      <c r="AG657" s="267"/>
      <c r="AH657" s="267"/>
      <c r="AK657" s="267"/>
      <c r="AL657" s="267"/>
      <c r="AM657" s="267"/>
      <c r="AN657" s="267"/>
      <c r="AQ657" s="267"/>
      <c r="AR657" s="267"/>
      <c r="AS657" s="267"/>
      <c r="AT657" s="267"/>
      <c r="AW657" s="267"/>
      <c r="AX657" s="267"/>
      <c r="AY657" s="267"/>
      <c r="AZ657" s="267"/>
      <c r="BG657" s="269"/>
      <c r="BM657" s="269"/>
      <c r="BS657" s="269"/>
      <c r="BU657" s="267"/>
      <c r="BY657" s="267"/>
      <c r="CC657" s="267"/>
      <c r="CG657" s="267"/>
      <c r="CS657" s="267"/>
      <c r="CW657" s="270"/>
      <c r="CX657" s="267"/>
      <c r="DC657" s="267"/>
      <c r="DH657" s="267"/>
      <c r="DM657" s="267"/>
      <c r="DR657" s="267"/>
      <c r="DW657" s="267"/>
      <c r="EB657" s="267"/>
      <c r="EG657" s="267"/>
      <c r="EL657" s="267"/>
      <c r="EQ657" s="267"/>
      <c r="EU657" s="270"/>
      <c r="EV657" s="267"/>
      <c r="FC657" s="267"/>
      <c r="FD657" s="267"/>
      <c r="FE657" s="267"/>
      <c r="FF657" s="267"/>
      <c r="FG657" s="267"/>
      <c r="FL657" s="267"/>
      <c r="FM657" s="267"/>
      <c r="FN657" s="267"/>
      <c r="FO657" s="267"/>
      <c r="FP657" s="267"/>
      <c r="FQ657" s="264"/>
      <c r="FR657" s="264"/>
      <c r="FS657" s="264"/>
      <c r="FT657" s="264"/>
      <c r="FU657" s="267"/>
      <c r="FV657" s="267"/>
      <c r="FW657" s="267"/>
      <c r="FX657" s="267"/>
      <c r="FY657" s="267"/>
      <c r="GD657" s="267"/>
      <c r="GE657" s="267"/>
      <c r="GF657" s="267"/>
      <c r="GG657" s="267"/>
      <c r="GH657" s="267"/>
      <c r="GI657" s="264"/>
      <c r="GJ657" s="264"/>
      <c r="GK657" s="264"/>
      <c r="GL657" s="264"/>
      <c r="HD657" s="267"/>
      <c r="HE657" s="267"/>
      <c r="HF657" s="267"/>
      <c r="HG657" s="267"/>
      <c r="HH657" s="267"/>
      <c r="HI657" s="267"/>
      <c r="HJ657" s="267"/>
      <c r="HK657" s="267"/>
      <c r="HL657" s="267"/>
      <c r="HM657" s="267"/>
      <c r="HN657" s="267"/>
      <c r="HO657" s="267"/>
      <c r="HP657" s="267"/>
      <c r="HQ657" s="267"/>
      <c r="HR657" s="267"/>
      <c r="HS657" s="267"/>
      <c r="HT657" s="267"/>
      <c r="HU657" s="267"/>
      <c r="IH657" s="267"/>
      <c r="IK657" s="267"/>
      <c r="IN657" s="267"/>
      <c r="IQ657" s="267"/>
      <c r="IR657" s="267"/>
      <c r="IS657" s="267"/>
    </row>
    <row r="658" spans="10:253">
      <c r="J658" s="267"/>
      <c r="K658" s="267"/>
      <c r="L658" s="267"/>
      <c r="M658" s="267"/>
      <c r="N658" s="267"/>
      <c r="O658" s="267"/>
      <c r="P658" s="267"/>
      <c r="Q658" s="267"/>
      <c r="S658" s="267"/>
      <c r="T658" s="267"/>
      <c r="U658" s="267"/>
      <c r="V658" s="267"/>
      <c r="W658" s="264"/>
      <c r="Y658" s="267"/>
      <c r="Z658" s="267"/>
      <c r="AA658" s="267"/>
      <c r="AB658" s="267"/>
      <c r="AE658" s="267"/>
      <c r="AF658" s="267"/>
      <c r="AG658" s="267"/>
      <c r="AH658" s="267"/>
      <c r="AK658" s="267"/>
      <c r="AL658" s="267"/>
      <c r="AM658" s="267"/>
      <c r="AN658" s="267"/>
      <c r="AQ658" s="267"/>
      <c r="AR658" s="267"/>
      <c r="AS658" s="267"/>
      <c r="AT658" s="267"/>
      <c r="AW658" s="267"/>
      <c r="AX658" s="267"/>
      <c r="AY658" s="267"/>
      <c r="AZ658" s="267"/>
      <c r="BG658" s="269"/>
      <c r="BM658" s="269"/>
      <c r="BS658" s="269"/>
      <c r="BU658" s="267"/>
      <c r="BY658" s="267"/>
      <c r="CC658" s="267"/>
      <c r="CG658" s="267"/>
      <c r="CS658" s="267"/>
      <c r="CW658" s="270"/>
      <c r="CX658" s="267"/>
      <c r="DC658" s="267"/>
      <c r="DH658" s="267"/>
      <c r="DM658" s="267"/>
      <c r="DR658" s="267"/>
      <c r="DW658" s="267"/>
      <c r="EB658" s="267"/>
      <c r="EG658" s="267"/>
      <c r="EL658" s="267"/>
      <c r="EQ658" s="267"/>
      <c r="EU658" s="270"/>
      <c r="EV658" s="267"/>
      <c r="FC658" s="267"/>
      <c r="FD658" s="267"/>
      <c r="FE658" s="267"/>
      <c r="FF658" s="267"/>
      <c r="FG658" s="267"/>
      <c r="FL658" s="267"/>
      <c r="FM658" s="267"/>
      <c r="FN658" s="267"/>
      <c r="FO658" s="267"/>
      <c r="FP658" s="267"/>
      <c r="FQ658" s="264"/>
      <c r="FR658" s="264"/>
      <c r="FS658" s="264"/>
      <c r="FT658" s="264"/>
      <c r="FU658" s="267"/>
      <c r="FV658" s="267"/>
      <c r="FW658" s="267"/>
      <c r="FX658" s="267"/>
      <c r="FY658" s="267"/>
      <c r="GD658" s="267"/>
      <c r="GE658" s="267"/>
      <c r="GF658" s="267"/>
      <c r="GG658" s="267"/>
      <c r="GH658" s="267"/>
      <c r="GI658" s="264"/>
      <c r="GJ658" s="264"/>
      <c r="GK658" s="264"/>
      <c r="GL658" s="264"/>
      <c r="HD658" s="267"/>
      <c r="HE658" s="267"/>
      <c r="HF658" s="267"/>
      <c r="HG658" s="267"/>
      <c r="HH658" s="267"/>
      <c r="HI658" s="267"/>
      <c r="HJ658" s="267"/>
      <c r="HK658" s="267"/>
      <c r="HL658" s="267"/>
      <c r="HM658" s="267"/>
      <c r="HN658" s="267"/>
      <c r="HO658" s="267"/>
      <c r="HP658" s="267"/>
      <c r="HQ658" s="267"/>
      <c r="HR658" s="267"/>
      <c r="HS658" s="267"/>
      <c r="HT658" s="267"/>
      <c r="HU658" s="267"/>
      <c r="IH658" s="267"/>
      <c r="IK658" s="267"/>
      <c r="IN658" s="267"/>
      <c r="IQ658" s="267"/>
      <c r="IR658" s="267"/>
      <c r="IS658" s="267"/>
    </row>
    <row r="659" spans="10:253">
      <c r="J659" s="267"/>
      <c r="K659" s="267"/>
      <c r="L659" s="267"/>
      <c r="M659" s="267"/>
      <c r="N659" s="267"/>
      <c r="O659" s="267"/>
      <c r="P659" s="267"/>
      <c r="Q659" s="267"/>
      <c r="S659" s="267"/>
      <c r="T659" s="267"/>
      <c r="U659" s="267"/>
      <c r="V659" s="267"/>
      <c r="W659" s="264"/>
      <c r="Y659" s="267"/>
      <c r="Z659" s="267"/>
      <c r="AA659" s="267"/>
      <c r="AB659" s="267"/>
      <c r="AE659" s="267"/>
      <c r="AF659" s="267"/>
      <c r="AG659" s="267"/>
      <c r="AH659" s="267"/>
      <c r="AK659" s="267"/>
      <c r="AL659" s="267"/>
      <c r="AM659" s="267"/>
      <c r="AN659" s="267"/>
      <c r="AQ659" s="267"/>
      <c r="AR659" s="267"/>
      <c r="AS659" s="267"/>
      <c r="AT659" s="267"/>
      <c r="AW659" s="267"/>
      <c r="AX659" s="267"/>
      <c r="AY659" s="267"/>
      <c r="AZ659" s="267"/>
      <c r="BG659" s="269"/>
      <c r="BM659" s="269"/>
      <c r="BS659" s="269"/>
      <c r="BU659" s="267"/>
      <c r="BY659" s="267"/>
      <c r="CC659" s="267"/>
      <c r="CG659" s="267"/>
      <c r="CS659" s="267"/>
      <c r="CW659" s="270"/>
      <c r="CX659" s="267"/>
      <c r="DC659" s="267"/>
      <c r="DH659" s="267"/>
      <c r="DM659" s="267"/>
      <c r="DR659" s="267"/>
      <c r="DW659" s="267"/>
      <c r="EB659" s="267"/>
      <c r="EG659" s="267"/>
      <c r="EL659" s="267"/>
      <c r="EQ659" s="267"/>
      <c r="EU659" s="270"/>
      <c r="EV659" s="267"/>
      <c r="FC659" s="267"/>
      <c r="FD659" s="267"/>
      <c r="FE659" s="267"/>
      <c r="FF659" s="267"/>
      <c r="FG659" s="267"/>
      <c r="FL659" s="267"/>
      <c r="FM659" s="267"/>
      <c r="FN659" s="267"/>
      <c r="FO659" s="267"/>
      <c r="FP659" s="267"/>
      <c r="FQ659" s="264"/>
      <c r="FR659" s="264"/>
      <c r="FS659" s="264"/>
      <c r="FT659" s="264"/>
      <c r="FU659" s="267"/>
      <c r="FV659" s="267"/>
      <c r="FW659" s="267"/>
      <c r="FX659" s="267"/>
      <c r="FY659" s="267"/>
      <c r="GD659" s="267"/>
      <c r="GE659" s="267"/>
      <c r="GF659" s="267"/>
      <c r="GG659" s="267"/>
      <c r="GH659" s="267"/>
      <c r="GI659" s="264"/>
      <c r="GJ659" s="264"/>
      <c r="GK659" s="264"/>
      <c r="GL659" s="264"/>
      <c r="HD659" s="267"/>
      <c r="HE659" s="267"/>
      <c r="HF659" s="267"/>
      <c r="HG659" s="267"/>
      <c r="HH659" s="267"/>
      <c r="HI659" s="267"/>
      <c r="HJ659" s="267"/>
      <c r="HK659" s="267"/>
      <c r="HL659" s="267"/>
      <c r="HM659" s="267"/>
      <c r="HN659" s="267"/>
      <c r="HO659" s="267"/>
      <c r="HP659" s="267"/>
      <c r="HQ659" s="267"/>
      <c r="HR659" s="267"/>
      <c r="HS659" s="267"/>
      <c r="HT659" s="267"/>
      <c r="HU659" s="267"/>
      <c r="IH659" s="267"/>
      <c r="IK659" s="267"/>
      <c r="IN659" s="267"/>
      <c r="IQ659" s="267"/>
      <c r="IR659" s="267"/>
      <c r="IS659" s="267"/>
    </row>
    <row r="660" spans="10:253">
      <c r="J660" s="267"/>
      <c r="K660" s="267"/>
      <c r="L660" s="267"/>
      <c r="M660" s="267"/>
      <c r="N660" s="267"/>
      <c r="O660" s="267"/>
      <c r="P660" s="267"/>
      <c r="Q660" s="267"/>
      <c r="S660" s="267"/>
      <c r="T660" s="267"/>
      <c r="U660" s="267"/>
      <c r="V660" s="267"/>
      <c r="W660" s="264"/>
      <c r="Y660" s="267"/>
      <c r="Z660" s="267"/>
      <c r="AA660" s="267"/>
      <c r="AB660" s="267"/>
      <c r="AE660" s="267"/>
      <c r="AF660" s="267"/>
      <c r="AG660" s="267"/>
      <c r="AH660" s="267"/>
      <c r="AK660" s="267"/>
      <c r="AL660" s="267"/>
      <c r="AM660" s="267"/>
      <c r="AN660" s="267"/>
      <c r="AQ660" s="267"/>
      <c r="AR660" s="267"/>
      <c r="AS660" s="267"/>
      <c r="AT660" s="267"/>
      <c r="AW660" s="267"/>
      <c r="AX660" s="267"/>
      <c r="AY660" s="267"/>
      <c r="AZ660" s="267"/>
      <c r="BG660" s="269"/>
      <c r="BM660" s="269"/>
      <c r="BS660" s="269"/>
      <c r="BU660" s="267"/>
      <c r="BY660" s="267"/>
      <c r="CC660" s="267"/>
      <c r="CG660" s="267"/>
      <c r="CS660" s="267"/>
      <c r="CW660" s="270"/>
      <c r="CX660" s="267"/>
      <c r="DC660" s="267"/>
      <c r="DH660" s="267"/>
      <c r="DM660" s="267"/>
      <c r="DR660" s="267"/>
      <c r="DW660" s="267"/>
      <c r="EB660" s="267"/>
      <c r="EG660" s="267"/>
      <c r="EL660" s="267"/>
      <c r="EQ660" s="267"/>
      <c r="EU660" s="270"/>
      <c r="EV660" s="267"/>
      <c r="FC660" s="267"/>
      <c r="FD660" s="267"/>
      <c r="FE660" s="267"/>
      <c r="FF660" s="267"/>
      <c r="FG660" s="267"/>
      <c r="FL660" s="267"/>
      <c r="FM660" s="267"/>
      <c r="FN660" s="267"/>
      <c r="FO660" s="267"/>
      <c r="FP660" s="267"/>
      <c r="FQ660" s="264"/>
      <c r="FR660" s="264"/>
      <c r="FS660" s="264"/>
      <c r="FT660" s="264"/>
      <c r="FU660" s="267"/>
      <c r="FV660" s="267"/>
      <c r="FW660" s="267"/>
      <c r="FX660" s="267"/>
      <c r="FY660" s="267"/>
      <c r="GD660" s="267"/>
      <c r="GE660" s="267"/>
      <c r="GF660" s="267"/>
      <c r="GG660" s="267"/>
      <c r="GH660" s="267"/>
      <c r="GI660" s="264"/>
      <c r="GJ660" s="264"/>
      <c r="GK660" s="264"/>
      <c r="GL660" s="264"/>
      <c r="HD660" s="267"/>
      <c r="HE660" s="267"/>
      <c r="HF660" s="267"/>
      <c r="HG660" s="267"/>
      <c r="HH660" s="267"/>
      <c r="HI660" s="267"/>
      <c r="HJ660" s="267"/>
      <c r="HK660" s="267"/>
      <c r="HL660" s="267"/>
      <c r="HM660" s="267"/>
      <c r="HN660" s="267"/>
      <c r="HO660" s="267"/>
      <c r="HP660" s="267"/>
      <c r="HQ660" s="267"/>
      <c r="HR660" s="267"/>
      <c r="HS660" s="267"/>
      <c r="HT660" s="267"/>
      <c r="HU660" s="267"/>
      <c r="IH660" s="267"/>
      <c r="IK660" s="267"/>
      <c r="IN660" s="267"/>
      <c r="IQ660" s="267"/>
      <c r="IR660" s="267"/>
      <c r="IS660" s="267"/>
    </row>
    <row r="661" spans="10:253">
      <c r="J661" s="267"/>
      <c r="K661" s="267"/>
      <c r="L661" s="267"/>
      <c r="M661" s="267"/>
      <c r="N661" s="267"/>
      <c r="O661" s="267"/>
      <c r="P661" s="267"/>
      <c r="Q661" s="267"/>
      <c r="S661" s="267"/>
      <c r="T661" s="267"/>
      <c r="U661" s="267"/>
      <c r="V661" s="267"/>
      <c r="W661" s="264"/>
      <c r="Y661" s="267"/>
      <c r="Z661" s="267"/>
      <c r="AA661" s="267"/>
      <c r="AB661" s="267"/>
      <c r="AE661" s="267"/>
      <c r="AF661" s="267"/>
      <c r="AG661" s="267"/>
      <c r="AH661" s="267"/>
      <c r="AK661" s="267"/>
      <c r="AL661" s="267"/>
      <c r="AM661" s="267"/>
      <c r="AN661" s="267"/>
      <c r="AQ661" s="267"/>
      <c r="AR661" s="267"/>
      <c r="AS661" s="267"/>
      <c r="AT661" s="267"/>
      <c r="AW661" s="267"/>
      <c r="AX661" s="267"/>
      <c r="AY661" s="267"/>
      <c r="AZ661" s="267"/>
      <c r="BG661" s="269"/>
      <c r="BM661" s="269"/>
      <c r="BS661" s="269"/>
      <c r="BU661" s="267"/>
      <c r="BY661" s="267"/>
      <c r="CC661" s="267"/>
      <c r="CG661" s="267"/>
      <c r="CS661" s="267"/>
      <c r="CW661" s="270"/>
      <c r="CX661" s="267"/>
      <c r="DC661" s="267"/>
      <c r="DH661" s="267"/>
      <c r="DM661" s="267"/>
      <c r="DR661" s="267"/>
      <c r="DW661" s="267"/>
      <c r="EB661" s="267"/>
      <c r="EG661" s="267"/>
      <c r="EL661" s="267"/>
      <c r="EQ661" s="267"/>
      <c r="EU661" s="270"/>
      <c r="EV661" s="267"/>
      <c r="FC661" s="267"/>
      <c r="FD661" s="267"/>
      <c r="FE661" s="267"/>
      <c r="FF661" s="267"/>
      <c r="FG661" s="267"/>
      <c r="FL661" s="267"/>
      <c r="FM661" s="267"/>
      <c r="FN661" s="267"/>
      <c r="FO661" s="267"/>
      <c r="FP661" s="267"/>
      <c r="FQ661" s="264"/>
      <c r="FR661" s="264"/>
      <c r="FS661" s="264"/>
      <c r="FT661" s="264"/>
      <c r="FU661" s="267"/>
      <c r="FV661" s="267"/>
      <c r="FW661" s="267"/>
      <c r="FX661" s="267"/>
      <c r="FY661" s="267"/>
      <c r="GD661" s="267"/>
      <c r="GE661" s="267"/>
      <c r="GF661" s="267"/>
      <c r="GG661" s="267"/>
      <c r="GH661" s="267"/>
      <c r="GI661" s="264"/>
      <c r="GJ661" s="264"/>
      <c r="GK661" s="264"/>
      <c r="GL661" s="264"/>
      <c r="HD661" s="267"/>
      <c r="HE661" s="267"/>
      <c r="HF661" s="267"/>
      <c r="HG661" s="267"/>
      <c r="HH661" s="267"/>
      <c r="HI661" s="267"/>
      <c r="HJ661" s="267"/>
      <c r="HK661" s="267"/>
      <c r="HL661" s="267"/>
      <c r="HM661" s="267"/>
      <c r="HN661" s="267"/>
      <c r="HO661" s="267"/>
      <c r="HP661" s="267"/>
      <c r="HQ661" s="267"/>
      <c r="HR661" s="267"/>
      <c r="HS661" s="267"/>
      <c r="HT661" s="267"/>
      <c r="HU661" s="267"/>
      <c r="IH661" s="267"/>
      <c r="IK661" s="267"/>
      <c r="IN661" s="267"/>
      <c r="IQ661" s="267"/>
      <c r="IR661" s="267"/>
      <c r="IS661" s="267"/>
    </row>
    <row r="662" spans="10:253">
      <c r="J662" s="267"/>
      <c r="K662" s="267"/>
      <c r="L662" s="267"/>
      <c r="M662" s="267"/>
      <c r="N662" s="267"/>
      <c r="O662" s="267"/>
      <c r="P662" s="267"/>
      <c r="Q662" s="267"/>
      <c r="S662" s="267"/>
      <c r="T662" s="267"/>
      <c r="U662" s="267"/>
      <c r="V662" s="267"/>
      <c r="W662" s="264"/>
      <c r="Y662" s="267"/>
      <c r="Z662" s="267"/>
      <c r="AA662" s="267"/>
      <c r="AB662" s="267"/>
      <c r="AE662" s="267"/>
      <c r="AF662" s="267"/>
      <c r="AG662" s="267"/>
      <c r="AH662" s="267"/>
      <c r="AK662" s="267"/>
      <c r="AL662" s="267"/>
      <c r="AM662" s="267"/>
      <c r="AN662" s="267"/>
      <c r="AQ662" s="267"/>
      <c r="AR662" s="267"/>
      <c r="AS662" s="267"/>
      <c r="AT662" s="267"/>
      <c r="AW662" s="267"/>
      <c r="AX662" s="267"/>
      <c r="AY662" s="267"/>
      <c r="AZ662" s="267"/>
      <c r="BG662" s="269"/>
      <c r="BM662" s="269"/>
      <c r="BS662" s="269"/>
      <c r="BU662" s="267"/>
      <c r="BY662" s="267"/>
      <c r="CC662" s="267"/>
      <c r="CG662" s="267"/>
      <c r="CS662" s="267"/>
      <c r="CW662" s="270"/>
      <c r="CX662" s="267"/>
      <c r="DC662" s="267"/>
      <c r="DH662" s="267"/>
      <c r="DM662" s="267"/>
      <c r="DR662" s="267"/>
      <c r="DW662" s="267"/>
      <c r="EB662" s="267"/>
      <c r="EG662" s="267"/>
      <c r="EL662" s="267"/>
      <c r="EQ662" s="267"/>
      <c r="EU662" s="270"/>
      <c r="EV662" s="267"/>
      <c r="FC662" s="267"/>
      <c r="FD662" s="267"/>
      <c r="FE662" s="267"/>
      <c r="FF662" s="267"/>
      <c r="FG662" s="267"/>
      <c r="FL662" s="267"/>
      <c r="FM662" s="267"/>
      <c r="FN662" s="267"/>
      <c r="FO662" s="267"/>
      <c r="FP662" s="267"/>
      <c r="FQ662" s="264"/>
      <c r="FR662" s="264"/>
      <c r="FS662" s="264"/>
      <c r="FT662" s="264"/>
      <c r="FU662" s="267"/>
      <c r="FV662" s="267"/>
      <c r="FW662" s="267"/>
      <c r="FX662" s="267"/>
      <c r="FY662" s="267"/>
      <c r="GD662" s="267"/>
      <c r="GE662" s="267"/>
      <c r="GF662" s="267"/>
      <c r="GG662" s="267"/>
      <c r="GH662" s="267"/>
      <c r="GI662" s="264"/>
      <c r="GJ662" s="264"/>
      <c r="GK662" s="264"/>
      <c r="GL662" s="264"/>
      <c r="HD662" s="267"/>
      <c r="HE662" s="267"/>
      <c r="HF662" s="267"/>
      <c r="HG662" s="267"/>
      <c r="HH662" s="267"/>
      <c r="HI662" s="267"/>
      <c r="HJ662" s="267"/>
      <c r="HK662" s="267"/>
      <c r="HL662" s="267"/>
      <c r="HM662" s="267"/>
      <c r="HN662" s="267"/>
      <c r="HO662" s="267"/>
      <c r="HP662" s="267"/>
      <c r="HQ662" s="267"/>
      <c r="HR662" s="267"/>
      <c r="HS662" s="267"/>
      <c r="HT662" s="267"/>
      <c r="HU662" s="267"/>
      <c r="IH662" s="267"/>
      <c r="IK662" s="267"/>
      <c r="IN662" s="267"/>
      <c r="IQ662" s="267"/>
      <c r="IR662" s="267"/>
      <c r="IS662" s="267"/>
    </row>
    <row r="663" spans="10:253">
      <c r="J663" s="267"/>
      <c r="K663" s="267"/>
      <c r="L663" s="267"/>
      <c r="M663" s="267"/>
      <c r="N663" s="267"/>
      <c r="O663" s="267"/>
      <c r="P663" s="267"/>
      <c r="Q663" s="267"/>
      <c r="S663" s="267"/>
      <c r="T663" s="267"/>
      <c r="U663" s="267"/>
      <c r="V663" s="267"/>
      <c r="W663" s="264"/>
      <c r="Y663" s="267"/>
      <c r="Z663" s="267"/>
      <c r="AA663" s="267"/>
      <c r="AB663" s="267"/>
      <c r="AE663" s="267"/>
      <c r="AF663" s="267"/>
      <c r="AG663" s="267"/>
      <c r="AH663" s="267"/>
      <c r="AK663" s="267"/>
      <c r="AL663" s="267"/>
      <c r="AM663" s="267"/>
      <c r="AN663" s="267"/>
      <c r="AQ663" s="267"/>
      <c r="AR663" s="267"/>
      <c r="AS663" s="267"/>
      <c r="AT663" s="267"/>
      <c r="AW663" s="267"/>
      <c r="AX663" s="267"/>
      <c r="AY663" s="267"/>
      <c r="AZ663" s="267"/>
      <c r="BG663" s="269"/>
      <c r="BM663" s="269"/>
      <c r="BS663" s="269"/>
      <c r="BU663" s="267"/>
      <c r="BY663" s="267"/>
      <c r="CC663" s="267"/>
      <c r="CG663" s="267"/>
      <c r="CS663" s="267"/>
      <c r="CW663" s="270"/>
      <c r="CX663" s="267"/>
      <c r="DC663" s="267"/>
      <c r="DH663" s="267"/>
      <c r="DM663" s="267"/>
      <c r="DR663" s="267"/>
      <c r="DW663" s="267"/>
      <c r="EB663" s="267"/>
      <c r="EG663" s="267"/>
      <c r="EL663" s="267"/>
      <c r="EQ663" s="267"/>
      <c r="EU663" s="270"/>
      <c r="EV663" s="267"/>
      <c r="FC663" s="267"/>
      <c r="FD663" s="267"/>
      <c r="FE663" s="267"/>
      <c r="FF663" s="267"/>
      <c r="FG663" s="267"/>
      <c r="FL663" s="267"/>
      <c r="FM663" s="267"/>
      <c r="FN663" s="267"/>
      <c r="FO663" s="267"/>
      <c r="FP663" s="267"/>
      <c r="FQ663" s="264"/>
      <c r="FR663" s="264"/>
      <c r="FS663" s="264"/>
      <c r="FT663" s="264"/>
      <c r="FU663" s="267"/>
      <c r="FV663" s="267"/>
      <c r="FW663" s="267"/>
      <c r="FX663" s="267"/>
      <c r="FY663" s="267"/>
      <c r="GD663" s="267"/>
      <c r="GE663" s="267"/>
      <c r="GF663" s="267"/>
      <c r="GG663" s="267"/>
      <c r="GH663" s="267"/>
      <c r="GI663" s="264"/>
      <c r="GJ663" s="264"/>
      <c r="GK663" s="264"/>
      <c r="GL663" s="264"/>
      <c r="HD663" s="267"/>
      <c r="HE663" s="267"/>
      <c r="HF663" s="267"/>
      <c r="HG663" s="267"/>
      <c r="HH663" s="267"/>
      <c r="HI663" s="267"/>
      <c r="HJ663" s="267"/>
      <c r="HK663" s="267"/>
      <c r="HL663" s="267"/>
      <c r="HM663" s="267"/>
      <c r="HN663" s="267"/>
      <c r="HO663" s="267"/>
      <c r="HP663" s="267"/>
      <c r="HQ663" s="267"/>
      <c r="HR663" s="267"/>
      <c r="HS663" s="267"/>
      <c r="HT663" s="267"/>
      <c r="HU663" s="267"/>
      <c r="IH663" s="267"/>
      <c r="IK663" s="267"/>
      <c r="IN663" s="267"/>
      <c r="IQ663" s="267"/>
      <c r="IR663" s="267"/>
      <c r="IS663" s="267"/>
    </row>
    <row r="664" spans="10:253">
      <c r="J664" s="267"/>
      <c r="K664" s="267"/>
      <c r="L664" s="267"/>
      <c r="M664" s="267"/>
      <c r="N664" s="267"/>
      <c r="O664" s="267"/>
      <c r="P664" s="267"/>
      <c r="Q664" s="267"/>
      <c r="S664" s="267"/>
      <c r="T664" s="267"/>
      <c r="U664" s="267"/>
      <c r="V664" s="267"/>
      <c r="W664" s="264"/>
      <c r="Y664" s="267"/>
      <c r="Z664" s="267"/>
      <c r="AA664" s="267"/>
      <c r="AB664" s="267"/>
      <c r="AE664" s="267"/>
      <c r="AF664" s="267"/>
      <c r="AG664" s="267"/>
      <c r="AH664" s="267"/>
      <c r="AK664" s="267"/>
      <c r="AL664" s="267"/>
      <c r="AM664" s="267"/>
      <c r="AN664" s="267"/>
      <c r="AQ664" s="267"/>
      <c r="AR664" s="267"/>
      <c r="AS664" s="267"/>
      <c r="AT664" s="267"/>
      <c r="AW664" s="267"/>
      <c r="AX664" s="267"/>
      <c r="AY664" s="267"/>
      <c r="AZ664" s="267"/>
      <c r="BG664" s="269"/>
      <c r="BM664" s="269"/>
      <c r="BS664" s="269"/>
      <c r="BU664" s="267"/>
      <c r="BY664" s="267"/>
      <c r="CC664" s="267"/>
      <c r="CG664" s="267"/>
      <c r="CS664" s="267"/>
      <c r="CW664" s="270"/>
      <c r="CX664" s="267"/>
      <c r="DC664" s="267"/>
      <c r="DH664" s="267"/>
      <c r="DM664" s="267"/>
      <c r="DR664" s="267"/>
      <c r="DW664" s="267"/>
      <c r="EB664" s="267"/>
      <c r="EG664" s="267"/>
      <c r="EL664" s="267"/>
      <c r="EQ664" s="267"/>
      <c r="EU664" s="270"/>
      <c r="EV664" s="267"/>
      <c r="FC664" s="267"/>
      <c r="FD664" s="267"/>
      <c r="FE664" s="267"/>
      <c r="FF664" s="267"/>
      <c r="FG664" s="267"/>
      <c r="FL664" s="267"/>
      <c r="FM664" s="267"/>
      <c r="FN664" s="267"/>
      <c r="FO664" s="267"/>
      <c r="FP664" s="267"/>
      <c r="FQ664" s="264"/>
      <c r="FR664" s="264"/>
      <c r="FS664" s="264"/>
      <c r="FT664" s="264"/>
      <c r="FU664" s="267"/>
      <c r="FV664" s="267"/>
      <c r="FW664" s="267"/>
      <c r="FX664" s="267"/>
      <c r="FY664" s="267"/>
      <c r="GD664" s="267"/>
      <c r="GE664" s="267"/>
      <c r="GF664" s="267"/>
      <c r="GG664" s="267"/>
      <c r="GH664" s="267"/>
      <c r="GI664" s="264"/>
      <c r="GJ664" s="264"/>
      <c r="GK664" s="264"/>
      <c r="GL664" s="264"/>
      <c r="HD664" s="267"/>
      <c r="HE664" s="267"/>
      <c r="HF664" s="267"/>
      <c r="HG664" s="267"/>
      <c r="HH664" s="267"/>
      <c r="HI664" s="267"/>
      <c r="HJ664" s="267"/>
      <c r="HK664" s="267"/>
      <c r="HL664" s="267"/>
      <c r="HM664" s="267"/>
      <c r="HN664" s="267"/>
      <c r="HO664" s="267"/>
      <c r="HP664" s="267"/>
      <c r="HQ664" s="267"/>
      <c r="HR664" s="267"/>
      <c r="HS664" s="267"/>
      <c r="HT664" s="267"/>
      <c r="HU664" s="267"/>
      <c r="IH664" s="267"/>
      <c r="IK664" s="267"/>
      <c r="IN664" s="267"/>
      <c r="IQ664" s="267"/>
      <c r="IR664" s="267"/>
      <c r="IS664" s="267"/>
    </row>
    <row r="665" spans="10:253">
      <c r="J665" s="267"/>
      <c r="K665" s="267"/>
      <c r="L665" s="267"/>
      <c r="M665" s="267"/>
      <c r="N665" s="267"/>
      <c r="O665" s="267"/>
      <c r="P665" s="267"/>
      <c r="Q665" s="267"/>
      <c r="S665" s="267"/>
      <c r="T665" s="267"/>
      <c r="U665" s="267"/>
      <c r="V665" s="267"/>
      <c r="W665" s="264"/>
      <c r="Y665" s="267"/>
      <c r="Z665" s="267"/>
      <c r="AA665" s="267"/>
      <c r="AB665" s="267"/>
      <c r="AE665" s="267"/>
      <c r="AF665" s="267"/>
      <c r="AG665" s="267"/>
      <c r="AH665" s="267"/>
      <c r="AK665" s="267"/>
      <c r="AL665" s="267"/>
      <c r="AM665" s="267"/>
      <c r="AN665" s="267"/>
      <c r="AQ665" s="267"/>
      <c r="AR665" s="267"/>
      <c r="AS665" s="267"/>
      <c r="AT665" s="267"/>
      <c r="AW665" s="267"/>
      <c r="AX665" s="267"/>
      <c r="AY665" s="267"/>
      <c r="AZ665" s="267"/>
      <c r="BG665" s="269"/>
      <c r="BM665" s="269"/>
      <c r="BS665" s="269"/>
      <c r="BU665" s="267"/>
      <c r="BY665" s="267"/>
      <c r="CC665" s="267"/>
      <c r="CG665" s="267"/>
      <c r="CS665" s="267"/>
      <c r="CW665" s="270"/>
      <c r="CX665" s="267"/>
      <c r="DC665" s="267"/>
      <c r="DH665" s="267"/>
      <c r="DM665" s="267"/>
      <c r="DR665" s="267"/>
      <c r="DW665" s="267"/>
      <c r="EB665" s="267"/>
      <c r="EG665" s="267"/>
      <c r="EL665" s="267"/>
      <c r="EQ665" s="267"/>
      <c r="EU665" s="270"/>
      <c r="EV665" s="267"/>
      <c r="FC665" s="267"/>
      <c r="FD665" s="267"/>
      <c r="FE665" s="267"/>
      <c r="FF665" s="267"/>
      <c r="FG665" s="267"/>
      <c r="FL665" s="267"/>
      <c r="FM665" s="267"/>
      <c r="FN665" s="267"/>
      <c r="FO665" s="267"/>
      <c r="FP665" s="267"/>
      <c r="FQ665" s="264"/>
      <c r="FR665" s="264"/>
      <c r="FS665" s="264"/>
      <c r="FT665" s="264"/>
      <c r="FU665" s="267"/>
      <c r="FV665" s="267"/>
      <c r="FW665" s="267"/>
      <c r="FX665" s="267"/>
      <c r="FY665" s="267"/>
      <c r="GD665" s="267"/>
      <c r="GE665" s="267"/>
      <c r="GF665" s="267"/>
      <c r="GG665" s="267"/>
      <c r="GH665" s="267"/>
      <c r="GI665" s="264"/>
      <c r="GJ665" s="264"/>
      <c r="GK665" s="264"/>
      <c r="GL665" s="264"/>
      <c r="HD665" s="267"/>
      <c r="HE665" s="267"/>
      <c r="HF665" s="267"/>
      <c r="HG665" s="267"/>
      <c r="HH665" s="267"/>
      <c r="HI665" s="267"/>
      <c r="HJ665" s="267"/>
      <c r="HK665" s="267"/>
      <c r="HL665" s="267"/>
      <c r="HM665" s="267"/>
      <c r="HN665" s="267"/>
      <c r="HO665" s="267"/>
      <c r="HP665" s="267"/>
      <c r="HQ665" s="267"/>
      <c r="HR665" s="267"/>
      <c r="HS665" s="267"/>
      <c r="HT665" s="267"/>
      <c r="HU665" s="267"/>
      <c r="IH665" s="267"/>
      <c r="IK665" s="267"/>
      <c r="IN665" s="267"/>
      <c r="IQ665" s="267"/>
      <c r="IR665" s="267"/>
      <c r="IS665" s="267"/>
    </row>
    <row r="666" spans="10:253">
      <c r="J666" s="267"/>
      <c r="K666" s="267"/>
      <c r="L666" s="267"/>
      <c r="M666" s="267"/>
      <c r="N666" s="267"/>
      <c r="O666" s="267"/>
      <c r="P666" s="267"/>
      <c r="Q666" s="267"/>
      <c r="S666" s="267"/>
      <c r="T666" s="267"/>
      <c r="U666" s="267"/>
      <c r="V666" s="267"/>
      <c r="W666" s="264"/>
      <c r="Y666" s="267"/>
      <c r="Z666" s="267"/>
      <c r="AA666" s="267"/>
      <c r="AB666" s="267"/>
      <c r="AE666" s="267"/>
      <c r="AF666" s="267"/>
      <c r="AG666" s="267"/>
      <c r="AH666" s="267"/>
      <c r="AK666" s="267"/>
      <c r="AL666" s="267"/>
      <c r="AM666" s="267"/>
      <c r="AN666" s="267"/>
      <c r="AQ666" s="267"/>
      <c r="AR666" s="267"/>
      <c r="AS666" s="267"/>
      <c r="AT666" s="267"/>
      <c r="AW666" s="267"/>
      <c r="AX666" s="267"/>
      <c r="AY666" s="267"/>
      <c r="AZ666" s="267"/>
      <c r="BG666" s="269"/>
      <c r="BM666" s="269"/>
      <c r="BS666" s="269"/>
      <c r="BU666" s="267"/>
      <c r="BY666" s="267"/>
      <c r="CC666" s="267"/>
      <c r="CG666" s="267"/>
      <c r="CS666" s="267"/>
      <c r="CW666" s="270"/>
      <c r="CX666" s="267"/>
      <c r="DC666" s="267"/>
      <c r="DH666" s="267"/>
      <c r="DM666" s="267"/>
      <c r="DR666" s="267"/>
      <c r="DW666" s="267"/>
      <c r="EB666" s="267"/>
      <c r="EG666" s="267"/>
      <c r="EL666" s="267"/>
      <c r="EQ666" s="267"/>
      <c r="EU666" s="270"/>
      <c r="EV666" s="267"/>
      <c r="FC666" s="267"/>
      <c r="FD666" s="267"/>
      <c r="FE666" s="267"/>
      <c r="FF666" s="267"/>
      <c r="FG666" s="267"/>
      <c r="FL666" s="267"/>
      <c r="FM666" s="267"/>
      <c r="FN666" s="267"/>
      <c r="FO666" s="267"/>
      <c r="FP666" s="267"/>
      <c r="FQ666" s="264"/>
      <c r="FR666" s="264"/>
      <c r="FS666" s="264"/>
      <c r="FT666" s="264"/>
      <c r="FU666" s="267"/>
      <c r="FV666" s="267"/>
      <c r="FW666" s="267"/>
      <c r="FX666" s="267"/>
      <c r="FY666" s="267"/>
      <c r="GD666" s="267"/>
      <c r="GE666" s="267"/>
      <c r="GF666" s="267"/>
      <c r="GG666" s="267"/>
      <c r="GH666" s="267"/>
      <c r="GI666" s="264"/>
      <c r="GJ666" s="264"/>
      <c r="GK666" s="264"/>
      <c r="GL666" s="264"/>
      <c r="HD666" s="267"/>
      <c r="HE666" s="267"/>
      <c r="HF666" s="267"/>
      <c r="HG666" s="267"/>
      <c r="HH666" s="267"/>
      <c r="HI666" s="267"/>
      <c r="HJ666" s="267"/>
      <c r="HK666" s="267"/>
      <c r="HL666" s="267"/>
      <c r="HM666" s="267"/>
      <c r="HN666" s="267"/>
      <c r="HO666" s="267"/>
      <c r="HP666" s="267"/>
      <c r="HQ666" s="267"/>
      <c r="HR666" s="267"/>
      <c r="HS666" s="267"/>
      <c r="HT666" s="267"/>
      <c r="HU666" s="267"/>
      <c r="IH666" s="267"/>
      <c r="IK666" s="267"/>
      <c r="IN666" s="267"/>
      <c r="IQ666" s="267"/>
      <c r="IR666" s="267"/>
      <c r="IS666" s="267"/>
    </row>
    <row r="667" spans="10:253">
      <c r="J667" s="267"/>
      <c r="K667" s="267"/>
      <c r="L667" s="267"/>
      <c r="M667" s="267"/>
      <c r="N667" s="267"/>
      <c r="O667" s="267"/>
      <c r="P667" s="267"/>
      <c r="Q667" s="267"/>
      <c r="S667" s="267"/>
      <c r="T667" s="267"/>
      <c r="U667" s="267"/>
      <c r="V667" s="267"/>
      <c r="W667" s="264"/>
      <c r="Y667" s="267"/>
      <c r="Z667" s="267"/>
      <c r="AA667" s="267"/>
      <c r="AB667" s="267"/>
      <c r="AE667" s="267"/>
      <c r="AF667" s="267"/>
      <c r="AG667" s="267"/>
      <c r="AH667" s="267"/>
      <c r="AK667" s="267"/>
      <c r="AL667" s="267"/>
      <c r="AM667" s="267"/>
      <c r="AN667" s="267"/>
      <c r="AQ667" s="267"/>
      <c r="AR667" s="267"/>
      <c r="AS667" s="267"/>
      <c r="AT667" s="267"/>
      <c r="AW667" s="267"/>
      <c r="AX667" s="267"/>
      <c r="AY667" s="267"/>
      <c r="AZ667" s="267"/>
      <c r="BG667" s="269"/>
      <c r="BM667" s="269"/>
      <c r="BS667" s="269"/>
      <c r="BU667" s="267"/>
      <c r="BY667" s="267"/>
      <c r="CC667" s="267"/>
      <c r="CG667" s="267"/>
      <c r="CS667" s="267"/>
      <c r="CW667" s="270"/>
      <c r="CX667" s="267"/>
      <c r="DC667" s="267"/>
      <c r="DH667" s="267"/>
      <c r="DM667" s="267"/>
      <c r="DR667" s="267"/>
      <c r="DW667" s="267"/>
      <c r="EB667" s="267"/>
      <c r="EG667" s="267"/>
      <c r="EL667" s="267"/>
      <c r="EQ667" s="267"/>
      <c r="EU667" s="270"/>
      <c r="EV667" s="267"/>
      <c r="FC667" s="267"/>
      <c r="FD667" s="267"/>
      <c r="FE667" s="267"/>
      <c r="FF667" s="267"/>
      <c r="FG667" s="267"/>
      <c r="FL667" s="267"/>
      <c r="FM667" s="267"/>
      <c r="FN667" s="267"/>
      <c r="FO667" s="267"/>
      <c r="FP667" s="267"/>
      <c r="FQ667" s="264"/>
      <c r="FR667" s="264"/>
      <c r="FS667" s="264"/>
      <c r="FT667" s="264"/>
      <c r="FU667" s="267"/>
      <c r="FV667" s="267"/>
      <c r="FW667" s="267"/>
      <c r="FX667" s="267"/>
      <c r="FY667" s="267"/>
      <c r="GD667" s="267"/>
      <c r="GE667" s="267"/>
      <c r="GF667" s="267"/>
      <c r="GG667" s="267"/>
      <c r="GH667" s="267"/>
      <c r="GI667" s="264"/>
      <c r="GJ667" s="264"/>
      <c r="GK667" s="264"/>
      <c r="GL667" s="264"/>
      <c r="HD667" s="267"/>
      <c r="HE667" s="267"/>
      <c r="HF667" s="267"/>
      <c r="HG667" s="267"/>
      <c r="HH667" s="267"/>
      <c r="HI667" s="267"/>
      <c r="HJ667" s="267"/>
      <c r="HK667" s="267"/>
      <c r="HL667" s="267"/>
      <c r="HM667" s="267"/>
      <c r="HN667" s="267"/>
      <c r="HO667" s="267"/>
      <c r="HP667" s="267"/>
      <c r="HQ667" s="267"/>
      <c r="HR667" s="267"/>
      <c r="HS667" s="267"/>
      <c r="HT667" s="267"/>
      <c r="HU667" s="267"/>
      <c r="IH667" s="267"/>
      <c r="IK667" s="267"/>
      <c r="IN667" s="267"/>
      <c r="IQ667" s="267"/>
      <c r="IR667" s="267"/>
      <c r="IS667" s="267"/>
    </row>
    <row r="668" spans="10:253">
      <c r="J668" s="267"/>
      <c r="K668" s="267"/>
      <c r="L668" s="267"/>
      <c r="M668" s="267"/>
      <c r="N668" s="267"/>
      <c r="O668" s="267"/>
      <c r="P668" s="267"/>
      <c r="Q668" s="267"/>
      <c r="S668" s="267"/>
      <c r="T668" s="267"/>
      <c r="U668" s="267"/>
      <c r="V668" s="267"/>
      <c r="W668" s="264"/>
      <c r="Y668" s="267"/>
      <c r="Z668" s="267"/>
      <c r="AA668" s="267"/>
      <c r="AB668" s="267"/>
      <c r="AE668" s="267"/>
      <c r="AF668" s="267"/>
      <c r="AG668" s="267"/>
      <c r="AH668" s="267"/>
      <c r="AK668" s="267"/>
      <c r="AL668" s="267"/>
      <c r="AM668" s="267"/>
      <c r="AN668" s="267"/>
      <c r="AQ668" s="267"/>
      <c r="AR668" s="267"/>
      <c r="AS668" s="267"/>
      <c r="AT668" s="267"/>
      <c r="AW668" s="267"/>
      <c r="AX668" s="267"/>
      <c r="AY668" s="267"/>
      <c r="AZ668" s="267"/>
      <c r="BG668" s="269"/>
      <c r="BM668" s="269"/>
      <c r="BS668" s="269"/>
      <c r="BU668" s="267"/>
      <c r="BY668" s="267"/>
      <c r="CC668" s="267"/>
      <c r="CG668" s="267"/>
      <c r="CS668" s="267"/>
      <c r="CW668" s="270"/>
      <c r="CX668" s="267"/>
      <c r="DC668" s="267"/>
      <c r="DH668" s="267"/>
      <c r="DM668" s="267"/>
      <c r="DR668" s="267"/>
      <c r="DW668" s="267"/>
      <c r="EB668" s="267"/>
      <c r="EG668" s="267"/>
      <c r="EL668" s="267"/>
      <c r="EQ668" s="267"/>
      <c r="EU668" s="270"/>
      <c r="EV668" s="267"/>
      <c r="FC668" s="267"/>
      <c r="FD668" s="267"/>
      <c r="FE668" s="267"/>
      <c r="FF668" s="267"/>
      <c r="FG668" s="267"/>
      <c r="FL668" s="267"/>
      <c r="FM668" s="267"/>
      <c r="FN668" s="267"/>
      <c r="FO668" s="267"/>
      <c r="FP668" s="267"/>
      <c r="FQ668" s="264"/>
      <c r="FR668" s="264"/>
      <c r="FS668" s="264"/>
      <c r="FT668" s="264"/>
      <c r="FU668" s="267"/>
      <c r="FV668" s="267"/>
      <c r="FW668" s="267"/>
      <c r="FX668" s="267"/>
      <c r="FY668" s="267"/>
      <c r="GD668" s="267"/>
      <c r="GE668" s="267"/>
      <c r="GF668" s="267"/>
      <c r="GG668" s="267"/>
      <c r="GH668" s="267"/>
      <c r="GI668" s="264"/>
      <c r="GJ668" s="264"/>
      <c r="GK668" s="264"/>
      <c r="GL668" s="264"/>
      <c r="HD668" s="267"/>
      <c r="HE668" s="267"/>
      <c r="HF668" s="267"/>
      <c r="HG668" s="267"/>
      <c r="HH668" s="267"/>
      <c r="HI668" s="267"/>
      <c r="HJ668" s="267"/>
      <c r="HK668" s="267"/>
      <c r="HL668" s="267"/>
      <c r="HM668" s="267"/>
      <c r="HN668" s="267"/>
      <c r="HO668" s="267"/>
      <c r="HP668" s="267"/>
      <c r="HQ668" s="267"/>
      <c r="HR668" s="267"/>
      <c r="HS668" s="267"/>
      <c r="HT668" s="267"/>
      <c r="HU668" s="267"/>
      <c r="IH668" s="267"/>
      <c r="IK668" s="267"/>
      <c r="IN668" s="267"/>
      <c r="IQ668" s="267"/>
      <c r="IR668" s="267"/>
      <c r="IS668" s="267"/>
    </row>
    <row r="669" spans="10:253">
      <c r="J669" s="267"/>
      <c r="K669" s="267"/>
      <c r="L669" s="267"/>
      <c r="M669" s="267"/>
      <c r="N669" s="267"/>
      <c r="O669" s="267"/>
      <c r="P669" s="267"/>
      <c r="Q669" s="267"/>
      <c r="S669" s="267"/>
      <c r="T669" s="267"/>
      <c r="U669" s="267"/>
      <c r="V669" s="267"/>
      <c r="W669" s="264"/>
      <c r="Y669" s="267"/>
      <c r="Z669" s="267"/>
      <c r="AA669" s="267"/>
      <c r="AB669" s="267"/>
      <c r="AE669" s="267"/>
      <c r="AF669" s="267"/>
      <c r="AG669" s="267"/>
      <c r="AH669" s="267"/>
      <c r="AK669" s="267"/>
      <c r="AL669" s="267"/>
      <c r="AM669" s="267"/>
      <c r="AN669" s="267"/>
      <c r="AQ669" s="267"/>
      <c r="AR669" s="267"/>
      <c r="AS669" s="267"/>
      <c r="AT669" s="267"/>
      <c r="AW669" s="267"/>
      <c r="AX669" s="267"/>
      <c r="AY669" s="267"/>
      <c r="AZ669" s="267"/>
      <c r="BG669" s="269"/>
      <c r="BM669" s="269"/>
      <c r="BS669" s="269"/>
      <c r="BU669" s="267"/>
      <c r="BY669" s="267"/>
      <c r="CC669" s="267"/>
      <c r="CG669" s="267"/>
      <c r="CS669" s="267"/>
      <c r="CW669" s="270"/>
      <c r="CX669" s="267"/>
      <c r="DC669" s="267"/>
      <c r="DH669" s="267"/>
      <c r="DM669" s="267"/>
      <c r="DR669" s="267"/>
      <c r="DW669" s="267"/>
      <c r="EB669" s="267"/>
      <c r="EG669" s="267"/>
      <c r="EL669" s="267"/>
      <c r="EQ669" s="267"/>
      <c r="EU669" s="270"/>
      <c r="EV669" s="267"/>
      <c r="FC669" s="267"/>
      <c r="FD669" s="267"/>
      <c r="FE669" s="267"/>
      <c r="FF669" s="267"/>
      <c r="FG669" s="267"/>
      <c r="FL669" s="267"/>
      <c r="FM669" s="267"/>
      <c r="FN669" s="267"/>
      <c r="FO669" s="267"/>
      <c r="FP669" s="267"/>
      <c r="FQ669" s="264"/>
      <c r="FR669" s="264"/>
      <c r="FS669" s="264"/>
      <c r="FT669" s="264"/>
      <c r="FU669" s="267"/>
      <c r="FV669" s="267"/>
      <c r="FW669" s="267"/>
      <c r="FX669" s="267"/>
      <c r="FY669" s="267"/>
      <c r="GD669" s="267"/>
      <c r="GE669" s="267"/>
      <c r="GF669" s="267"/>
      <c r="GG669" s="267"/>
      <c r="GH669" s="267"/>
      <c r="GI669" s="264"/>
      <c r="GJ669" s="264"/>
      <c r="GK669" s="264"/>
      <c r="GL669" s="264"/>
      <c r="HD669" s="267"/>
      <c r="HE669" s="267"/>
      <c r="HF669" s="267"/>
      <c r="HG669" s="267"/>
      <c r="HH669" s="267"/>
      <c r="HI669" s="267"/>
      <c r="HJ669" s="267"/>
      <c r="HK669" s="267"/>
      <c r="HL669" s="267"/>
      <c r="HM669" s="267"/>
      <c r="HN669" s="267"/>
      <c r="HO669" s="267"/>
      <c r="HP669" s="267"/>
      <c r="HQ669" s="267"/>
      <c r="HR669" s="267"/>
      <c r="HS669" s="267"/>
      <c r="HT669" s="267"/>
      <c r="HU669" s="267"/>
      <c r="IH669" s="267"/>
      <c r="IK669" s="267"/>
      <c r="IN669" s="267"/>
      <c r="IQ669" s="267"/>
      <c r="IR669" s="267"/>
      <c r="IS669" s="267"/>
    </row>
    <row r="670" spans="10:253">
      <c r="J670" s="267"/>
      <c r="K670" s="267"/>
      <c r="L670" s="267"/>
      <c r="M670" s="267"/>
      <c r="N670" s="267"/>
      <c r="O670" s="267"/>
      <c r="P670" s="267"/>
      <c r="Q670" s="267"/>
      <c r="S670" s="267"/>
      <c r="T670" s="267"/>
      <c r="U670" s="267"/>
      <c r="V670" s="267"/>
      <c r="W670" s="264"/>
      <c r="Y670" s="267"/>
      <c r="Z670" s="267"/>
      <c r="AA670" s="267"/>
      <c r="AB670" s="267"/>
      <c r="AE670" s="267"/>
      <c r="AF670" s="267"/>
      <c r="AG670" s="267"/>
      <c r="AH670" s="267"/>
      <c r="AK670" s="267"/>
      <c r="AL670" s="267"/>
      <c r="AM670" s="267"/>
      <c r="AN670" s="267"/>
      <c r="AQ670" s="267"/>
      <c r="AR670" s="267"/>
      <c r="AS670" s="267"/>
      <c r="AT670" s="267"/>
      <c r="AW670" s="267"/>
      <c r="AX670" s="267"/>
      <c r="AY670" s="267"/>
      <c r="AZ670" s="267"/>
      <c r="BG670" s="269"/>
      <c r="BM670" s="269"/>
      <c r="BS670" s="269"/>
      <c r="BU670" s="267"/>
      <c r="BY670" s="267"/>
      <c r="CC670" s="267"/>
      <c r="CG670" s="267"/>
      <c r="CS670" s="267"/>
      <c r="CW670" s="270"/>
      <c r="CX670" s="267"/>
      <c r="DC670" s="267"/>
      <c r="DH670" s="267"/>
      <c r="DM670" s="267"/>
      <c r="DR670" s="267"/>
      <c r="DW670" s="267"/>
      <c r="EB670" s="267"/>
      <c r="EG670" s="267"/>
      <c r="EL670" s="267"/>
      <c r="EQ670" s="267"/>
      <c r="EU670" s="270"/>
      <c r="EV670" s="267"/>
      <c r="FC670" s="267"/>
      <c r="FD670" s="267"/>
      <c r="FE670" s="267"/>
      <c r="FF670" s="267"/>
      <c r="FG670" s="267"/>
      <c r="FL670" s="267"/>
      <c r="FM670" s="267"/>
      <c r="FN670" s="267"/>
      <c r="FO670" s="267"/>
      <c r="FP670" s="267"/>
      <c r="FQ670" s="264"/>
      <c r="FR670" s="264"/>
      <c r="FS670" s="264"/>
      <c r="FT670" s="264"/>
      <c r="FU670" s="267"/>
      <c r="FV670" s="267"/>
      <c r="FW670" s="267"/>
      <c r="FX670" s="267"/>
      <c r="FY670" s="267"/>
      <c r="GD670" s="267"/>
      <c r="GE670" s="267"/>
      <c r="GF670" s="267"/>
      <c r="GG670" s="267"/>
      <c r="GH670" s="267"/>
      <c r="GI670" s="264"/>
      <c r="GJ670" s="264"/>
      <c r="GK670" s="264"/>
      <c r="GL670" s="264"/>
      <c r="HD670" s="267"/>
      <c r="HE670" s="267"/>
      <c r="HF670" s="267"/>
      <c r="HG670" s="267"/>
      <c r="HH670" s="267"/>
      <c r="HI670" s="267"/>
      <c r="HJ670" s="267"/>
      <c r="HK670" s="267"/>
      <c r="HL670" s="267"/>
      <c r="HM670" s="267"/>
      <c r="HN670" s="267"/>
      <c r="HO670" s="267"/>
      <c r="HP670" s="267"/>
      <c r="HQ670" s="267"/>
      <c r="HR670" s="267"/>
      <c r="HS670" s="267"/>
      <c r="HT670" s="267"/>
      <c r="HU670" s="267"/>
      <c r="IH670" s="267"/>
      <c r="IK670" s="267"/>
      <c r="IN670" s="267"/>
      <c r="IQ670" s="267"/>
      <c r="IR670" s="267"/>
      <c r="IS670" s="267"/>
    </row>
    <row r="671" spans="10:253">
      <c r="J671" s="267"/>
      <c r="K671" s="267"/>
      <c r="L671" s="267"/>
      <c r="M671" s="267"/>
      <c r="N671" s="267"/>
      <c r="O671" s="267"/>
      <c r="P671" s="267"/>
      <c r="Q671" s="267"/>
      <c r="S671" s="267"/>
      <c r="T671" s="267"/>
      <c r="U671" s="267"/>
      <c r="V671" s="267"/>
      <c r="W671" s="264"/>
      <c r="Y671" s="267"/>
      <c r="Z671" s="267"/>
      <c r="AA671" s="267"/>
      <c r="AB671" s="267"/>
      <c r="AE671" s="267"/>
      <c r="AF671" s="267"/>
      <c r="AG671" s="267"/>
      <c r="AH671" s="267"/>
      <c r="AK671" s="267"/>
      <c r="AL671" s="267"/>
      <c r="AM671" s="267"/>
      <c r="AN671" s="267"/>
      <c r="AQ671" s="267"/>
      <c r="AR671" s="267"/>
      <c r="AS671" s="267"/>
      <c r="AT671" s="267"/>
      <c r="AW671" s="267"/>
      <c r="AX671" s="267"/>
      <c r="AY671" s="267"/>
      <c r="AZ671" s="267"/>
      <c r="BG671" s="269"/>
      <c r="BM671" s="269"/>
      <c r="BS671" s="269"/>
      <c r="BU671" s="267"/>
      <c r="BY671" s="267"/>
      <c r="CC671" s="267"/>
      <c r="CG671" s="267"/>
      <c r="CS671" s="267"/>
      <c r="CW671" s="270"/>
      <c r="CX671" s="267"/>
      <c r="DC671" s="267"/>
      <c r="DH671" s="267"/>
      <c r="DM671" s="267"/>
      <c r="DR671" s="267"/>
      <c r="DW671" s="267"/>
      <c r="EB671" s="267"/>
      <c r="EG671" s="267"/>
      <c r="EL671" s="267"/>
      <c r="EQ671" s="267"/>
      <c r="EU671" s="270"/>
      <c r="EV671" s="267"/>
      <c r="FC671" s="267"/>
      <c r="FD671" s="267"/>
      <c r="FE671" s="267"/>
      <c r="FF671" s="267"/>
      <c r="FG671" s="267"/>
      <c r="FL671" s="267"/>
      <c r="FM671" s="267"/>
      <c r="FN671" s="267"/>
      <c r="FO671" s="267"/>
      <c r="FP671" s="267"/>
      <c r="FQ671" s="264"/>
      <c r="FR671" s="264"/>
      <c r="FS671" s="264"/>
      <c r="FT671" s="264"/>
      <c r="FU671" s="267"/>
      <c r="FV671" s="267"/>
      <c r="FW671" s="267"/>
      <c r="FX671" s="267"/>
      <c r="FY671" s="267"/>
      <c r="GD671" s="267"/>
      <c r="GE671" s="267"/>
      <c r="GF671" s="267"/>
      <c r="GG671" s="267"/>
      <c r="GH671" s="267"/>
      <c r="GI671" s="264"/>
      <c r="GJ671" s="264"/>
      <c r="GK671" s="264"/>
      <c r="GL671" s="264"/>
      <c r="HD671" s="267"/>
      <c r="HE671" s="267"/>
      <c r="HF671" s="267"/>
      <c r="HG671" s="267"/>
      <c r="HH671" s="267"/>
      <c r="HI671" s="267"/>
      <c r="HJ671" s="267"/>
      <c r="HK671" s="267"/>
      <c r="HL671" s="267"/>
      <c r="HM671" s="267"/>
      <c r="HN671" s="267"/>
      <c r="HO671" s="267"/>
      <c r="HP671" s="267"/>
      <c r="HQ671" s="267"/>
      <c r="HR671" s="267"/>
      <c r="HS671" s="267"/>
      <c r="HT671" s="267"/>
      <c r="HU671" s="267"/>
      <c r="IH671" s="267"/>
      <c r="IK671" s="267"/>
      <c r="IN671" s="267"/>
      <c r="IQ671" s="267"/>
      <c r="IR671" s="267"/>
      <c r="IS671" s="267"/>
    </row>
    <row r="672" spans="10:253">
      <c r="J672" s="267"/>
      <c r="K672" s="267"/>
      <c r="L672" s="267"/>
      <c r="M672" s="267"/>
      <c r="N672" s="267"/>
      <c r="O672" s="267"/>
      <c r="P672" s="267"/>
      <c r="Q672" s="267"/>
      <c r="S672" s="267"/>
      <c r="T672" s="267"/>
      <c r="U672" s="267"/>
      <c r="V672" s="267"/>
      <c r="W672" s="264"/>
      <c r="Y672" s="267"/>
      <c r="Z672" s="267"/>
      <c r="AA672" s="267"/>
      <c r="AB672" s="267"/>
      <c r="AE672" s="267"/>
      <c r="AF672" s="267"/>
      <c r="AG672" s="267"/>
      <c r="AH672" s="267"/>
      <c r="AK672" s="267"/>
      <c r="AL672" s="267"/>
      <c r="AM672" s="267"/>
      <c r="AN672" s="267"/>
      <c r="AQ672" s="267"/>
      <c r="AR672" s="267"/>
      <c r="AS672" s="267"/>
      <c r="AT672" s="267"/>
      <c r="AW672" s="267"/>
      <c r="AX672" s="267"/>
      <c r="AY672" s="267"/>
      <c r="AZ672" s="267"/>
      <c r="BG672" s="269"/>
      <c r="BM672" s="269"/>
      <c r="BS672" s="269"/>
      <c r="BU672" s="267"/>
      <c r="BY672" s="267"/>
      <c r="CC672" s="267"/>
      <c r="CG672" s="267"/>
      <c r="CS672" s="267"/>
      <c r="CW672" s="270"/>
      <c r="CX672" s="267"/>
      <c r="DC672" s="267"/>
      <c r="DH672" s="267"/>
      <c r="DM672" s="267"/>
      <c r="DR672" s="267"/>
      <c r="DW672" s="267"/>
      <c r="EB672" s="267"/>
      <c r="EG672" s="267"/>
      <c r="EL672" s="267"/>
      <c r="EQ672" s="267"/>
      <c r="EU672" s="270"/>
      <c r="EV672" s="267"/>
      <c r="FC672" s="267"/>
      <c r="FD672" s="267"/>
      <c r="FE672" s="267"/>
      <c r="FF672" s="267"/>
      <c r="FG672" s="267"/>
      <c r="FL672" s="267"/>
      <c r="FM672" s="267"/>
      <c r="FN672" s="267"/>
      <c r="FO672" s="267"/>
      <c r="FP672" s="267"/>
      <c r="FQ672" s="264"/>
      <c r="FR672" s="264"/>
      <c r="FS672" s="264"/>
      <c r="FT672" s="264"/>
      <c r="FU672" s="267"/>
      <c r="FV672" s="267"/>
      <c r="FW672" s="267"/>
      <c r="FX672" s="267"/>
      <c r="FY672" s="267"/>
      <c r="GD672" s="267"/>
      <c r="GE672" s="267"/>
      <c r="GF672" s="267"/>
      <c r="GG672" s="267"/>
      <c r="GH672" s="267"/>
      <c r="GI672" s="264"/>
      <c r="GJ672" s="264"/>
      <c r="GK672" s="264"/>
      <c r="GL672" s="264"/>
      <c r="HD672" s="267"/>
      <c r="HE672" s="267"/>
      <c r="HF672" s="267"/>
      <c r="HG672" s="267"/>
      <c r="HH672" s="267"/>
      <c r="HI672" s="267"/>
      <c r="HJ672" s="267"/>
      <c r="HK672" s="267"/>
      <c r="HL672" s="267"/>
      <c r="HM672" s="267"/>
      <c r="HN672" s="267"/>
      <c r="HO672" s="267"/>
      <c r="HP672" s="267"/>
      <c r="HQ672" s="267"/>
      <c r="HR672" s="267"/>
      <c r="HS672" s="267"/>
      <c r="HT672" s="267"/>
      <c r="HU672" s="267"/>
      <c r="IH672" s="267"/>
      <c r="IK672" s="267"/>
      <c r="IN672" s="267"/>
      <c r="IQ672" s="267"/>
      <c r="IR672" s="267"/>
      <c r="IS672" s="267"/>
    </row>
    <row r="673" spans="10:253">
      <c r="J673" s="267"/>
      <c r="K673" s="267"/>
      <c r="L673" s="267"/>
      <c r="M673" s="267"/>
      <c r="N673" s="267"/>
      <c r="O673" s="267"/>
      <c r="P673" s="267"/>
      <c r="Q673" s="267"/>
      <c r="S673" s="267"/>
      <c r="T673" s="267"/>
      <c r="U673" s="267"/>
      <c r="V673" s="267"/>
      <c r="W673" s="264"/>
      <c r="Y673" s="267"/>
      <c r="Z673" s="267"/>
      <c r="AA673" s="267"/>
      <c r="AB673" s="267"/>
      <c r="AE673" s="267"/>
      <c r="AF673" s="267"/>
      <c r="AG673" s="267"/>
      <c r="AH673" s="267"/>
      <c r="AK673" s="267"/>
      <c r="AL673" s="267"/>
      <c r="AM673" s="267"/>
      <c r="AN673" s="267"/>
      <c r="AQ673" s="267"/>
      <c r="AR673" s="267"/>
      <c r="AS673" s="267"/>
      <c r="AT673" s="267"/>
      <c r="AW673" s="267"/>
      <c r="AX673" s="267"/>
      <c r="AY673" s="267"/>
      <c r="AZ673" s="267"/>
      <c r="BG673" s="269"/>
      <c r="BM673" s="269"/>
      <c r="BS673" s="269"/>
      <c r="BU673" s="267"/>
      <c r="BY673" s="267"/>
      <c r="CC673" s="267"/>
      <c r="CG673" s="267"/>
      <c r="CS673" s="267"/>
      <c r="CW673" s="270"/>
      <c r="CX673" s="267"/>
      <c r="DC673" s="267"/>
      <c r="DH673" s="267"/>
      <c r="DM673" s="267"/>
      <c r="DR673" s="267"/>
      <c r="DW673" s="267"/>
      <c r="EB673" s="267"/>
      <c r="EG673" s="267"/>
      <c r="EL673" s="267"/>
      <c r="EQ673" s="267"/>
      <c r="EU673" s="270"/>
      <c r="EV673" s="267"/>
      <c r="FC673" s="267"/>
      <c r="FD673" s="267"/>
      <c r="FE673" s="267"/>
      <c r="FF673" s="267"/>
      <c r="FG673" s="267"/>
      <c r="FL673" s="267"/>
      <c r="FM673" s="267"/>
      <c r="FN673" s="267"/>
      <c r="FO673" s="267"/>
      <c r="FP673" s="267"/>
      <c r="FQ673" s="264"/>
      <c r="FR673" s="264"/>
      <c r="FS673" s="264"/>
      <c r="FT673" s="264"/>
      <c r="FU673" s="267"/>
      <c r="FV673" s="267"/>
      <c r="FW673" s="267"/>
      <c r="FX673" s="267"/>
      <c r="FY673" s="267"/>
      <c r="GD673" s="267"/>
      <c r="GE673" s="267"/>
      <c r="GF673" s="267"/>
      <c r="GG673" s="267"/>
      <c r="GH673" s="267"/>
      <c r="GI673" s="264"/>
      <c r="GJ673" s="264"/>
      <c r="GK673" s="264"/>
      <c r="GL673" s="264"/>
      <c r="HD673" s="267"/>
      <c r="HE673" s="267"/>
      <c r="HF673" s="267"/>
      <c r="HG673" s="267"/>
      <c r="HH673" s="267"/>
      <c r="HI673" s="267"/>
      <c r="HJ673" s="267"/>
      <c r="HK673" s="267"/>
      <c r="HL673" s="267"/>
      <c r="HM673" s="267"/>
      <c r="HN673" s="267"/>
      <c r="HO673" s="267"/>
      <c r="HP673" s="267"/>
      <c r="HQ673" s="267"/>
      <c r="HR673" s="267"/>
      <c r="HS673" s="267"/>
      <c r="HT673" s="267"/>
      <c r="HU673" s="267"/>
      <c r="IH673" s="267"/>
      <c r="IK673" s="267"/>
      <c r="IN673" s="267"/>
      <c r="IQ673" s="267"/>
      <c r="IR673" s="267"/>
      <c r="IS673" s="267"/>
    </row>
    <row r="674" spans="10:253">
      <c r="J674" s="267"/>
      <c r="K674" s="267"/>
      <c r="L674" s="267"/>
      <c r="M674" s="267"/>
      <c r="N674" s="267"/>
      <c r="O674" s="267"/>
      <c r="P674" s="267"/>
      <c r="Q674" s="267"/>
      <c r="S674" s="267"/>
      <c r="T674" s="267"/>
      <c r="U674" s="267"/>
      <c r="V674" s="267"/>
      <c r="W674" s="264"/>
      <c r="Y674" s="267"/>
      <c r="Z674" s="267"/>
      <c r="AA674" s="267"/>
      <c r="AB674" s="267"/>
      <c r="AE674" s="267"/>
      <c r="AF674" s="267"/>
      <c r="AG674" s="267"/>
      <c r="AH674" s="267"/>
      <c r="AK674" s="267"/>
      <c r="AL674" s="267"/>
      <c r="AM674" s="267"/>
      <c r="AN674" s="267"/>
      <c r="AQ674" s="267"/>
      <c r="AR674" s="267"/>
      <c r="AS674" s="267"/>
      <c r="AT674" s="267"/>
      <c r="AW674" s="267"/>
      <c r="AX674" s="267"/>
      <c r="AY674" s="267"/>
      <c r="AZ674" s="267"/>
      <c r="BG674" s="269"/>
      <c r="BM674" s="269"/>
      <c r="BS674" s="269"/>
      <c r="BU674" s="267"/>
      <c r="BY674" s="267"/>
      <c r="CC674" s="267"/>
      <c r="CG674" s="267"/>
      <c r="CS674" s="267"/>
      <c r="CW674" s="270"/>
      <c r="CX674" s="267"/>
      <c r="DC674" s="267"/>
      <c r="DH674" s="267"/>
      <c r="DM674" s="267"/>
      <c r="DR674" s="267"/>
      <c r="DW674" s="267"/>
      <c r="EB674" s="267"/>
      <c r="EG674" s="267"/>
      <c r="EL674" s="267"/>
      <c r="EQ674" s="267"/>
      <c r="EU674" s="270"/>
      <c r="EV674" s="267"/>
      <c r="FC674" s="267"/>
      <c r="FD674" s="267"/>
      <c r="FE674" s="267"/>
      <c r="FF674" s="267"/>
      <c r="FG674" s="267"/>
      <c r="FL674" s="267"/>
      <c r="FM674" s="267"/>
      <c r="FN674" s="267"/>
      <c r="FO674" s="267"/>
      <c r="FP674" s="267"/>
      <c r="FQ674" s="264"/>
      <c r="FR674" s="264"/>
      <c r="FS674" s="264"/>
      <c r="FT674" s="264"/>
      <c r="FU674" s="267"/>
      <c r="FV674" s="267"/>
      <c r="FW674" s="267"/>
      <c r="FX674" s="267"/>
      <c r="FY674" s="267"/>
      <c r="GD674" s="267"/>
      <c r="GE674" s="267"/>
      <c r="GF674" s="267"/>
      <c r="GG674" s="267"/>
      <c r="GH674" s="267"/>
      <c r="GI674" s="264"/>
      <c r="GJ674" s="264"/>
      <c r="GK674" s="264"/>
      <c r="GL674" s="264"/>
      <c r="HD674" s="267"/>
      <c r="HE674" s="267"/>
      <c r="HF674" s="267"/>
      <c r="HG674" s="267"/>
      <c r="HH674" s="267"/>
      <c r="HI674" s="267"/>
      <c r="HJ674" s="267"/>
      <c r="HK674" s="267"/>
      <c r="HL674" s="267"/>
      <c r="HM674" s="267"/>
      <c r="HN674" s="267"/>
      <c r="HO674" s="267"/>
      <c r="HP674" s="267"/>
      <c r="HQ674" s="267"/>
      <c r="HR674" s="267"/>
      <c r="HS674" s="267"/>
      <c r="HT674" s="267"/>
      <c r="HU674" s="267"/>
      <c r="IH674" s="267"/>
      <c r="IK674" s="267"/>
      <c r="IN674" s="267"/>
      <c r="IQ674" s="267"/>
      <c r="IR674" s="267"/>
      <c r="IS674" s="267"/>
    </row>
    <row r="675" spans="10:253">
      <c r="J675" s="267"/>
      <c r="K675" s="267"/>
      <c r="L675" s="267"/>
      <c r="M675" s="267"/>
      <c r="N675" s="267"/>
      <c r="O675" s="267"/>
      <c r="P675" s="267"/>
      <c r="Q675" s="267"/>
      <c r="S675" s="267"/>
      <c r="T675" s="267"/>
      <c r="U675" s="267"/>
      <c r="V675" s="267"/>
      <c r="W675" s="264"/>
      <c r="Y675" s="267"/>
      <c r="Z675" s="267"/>
      <c r="AA675" s="267"/>
      <c r="AB675" s="267"/>
      <c r="AE675" s="267"/>
      <c r="AF675" s="267"/>
      <c r="AG675" s="267"/>
      <c r="AH675" s="267"/>
      <c r="AK675" s="267"/>
      <c r="AL675" s="267"/>
      <c r="AM675" s="267"/>
      <c r="AN675" s="267"/>
      <c r="AQ675" s="267"/>
      <c r="AR675" s="267"/>
      <c r="AS675" s="267"/>
      <c r="AT675" s="267"/>
      <c r="AW675" s="267"/>
      <c r="AX675" s="267"/>
      <c r="AY675" s="267"/>
      <c r="AZ675" s="267"/>
      <c r="BG675" s="269"/>
      <c r="BM675" s="269"/>
      <c r="BS675" s="269"/>
      <c r="BU675" s="267"/>
      <c r="BY675" s="267"/>
      <c r="CC675" s="267"/>
      <c r="CG675" s="267"/>
      <c r="CS675" s="267"/>
      <c r="CW675" s="270"/>
      <c r="CX675" s="267"/>
      <c r="DC675" s="267"/>
      <c r="DH675" s="267"/>
      <c r="DM675" s="267"/>
      <c r="DR675" s="267"/>
      <c r="DW675" s="267"/>
      <c r="EB675" s="267"/>
      <c r="EG675" s="267"/>
      <c r="EL675" s="267"/>
      <c r="EQ675" s="267"/>
      <c r="EU675" s="270"/>
      <c r="EV675" s="267"/>
      <c r="FC675" s="267"/>
      <c r="FD675" s="267"/>
      <c r="FE675" s="267"/>
      <c r="FF675" s="267"/>
      <c r="FG675" s="267"/>
      <c r="FL675" s="267"/>
      <c r="FM675" s="267"/>
      <c r="FN675" s="267"/>
      <c r="FO675" s="267"/>
      <c r="FP675" s="267"/>
      <c r="FQ675" s="264"/>
      <c r="FR675" s="264"/>
      <c r="FS675" s="264"/>
      <c r="FT675" s="264"/>
      <c r="FU675" s="267"/>
      <c r="FV675" s="267"/>
      <c r="FW675" s="267"/>
      <c r="FX675" s="267"/>
      <c r="FY675" s="267"/>
      <c r="GD675" s="267"/>
      <c r="GE675" s="267"/>
      <c r="GF675" s="267"/>
      <c r="GG675" s="267"/>
      <c r="GH675" s="267"/>
      <c r="GI675" s="264"/>
      <c r="GJ675" s="264"/>
      <c r="GK675" s="264"/>
      <c r="GL675" s="264"/>
      <c r="HD675" s="267"/>
      <c r="HE675" s="267"/>
      <c r="HF675" s="267"/>
      <c r="HG675" s="267"/>
      <c r="HH675" s="267"/>
      <c r="HI675" s="267"/>
      <c r="HJ675" s="267"/>
      <c r="HK675" s="267"/>
      <c r="HL675" s="267"/>
      <c r="HM675" s="267"/>
      <c r="HN675" s="267"/>
      <c r="HO675" s="267"/>
      <c r="HP675" s="267"/>
      <c r="HQ675" s="267"/>
      <c r="HR675" s="267"/>
      <c r="HS675" s="267"/>
      <c r="HT675" s="267"/>
      <c r="HU675" s="267"/>
      <c r="IH675" s="267"/>
      <c r="IK675" s="267"/>
      <c r="IN675" s="267"/>
      <c r="IQ675" s="267"/>
      <c r="IR675" s="267"/>
      <c r="IS675" s="267"/>
    </row>
    <row r="676" spans="10:253">
      <c r="J676" s="267"/>
      <c r="K676" s="267"/>
      <c r="L676" s="267"/>
      <c r="M676" s="267"/>
      <c r="N676" s="267"/>
      <c r="O676" s="267"/>
      <c r="P676" s="267"/>
      <c r="Q676" s="267"/>
      <c r="S676" s="267"/>
      <c r="T676" s="267"/>
      <c r="U676" s="267"/>
      <c r="V676" s="267"/>
      <c r="W676" s="264"/>
      <c r="Y676" s="267"/>
      <c r="Z676" s="267"/>
      <c r="AA676" s="267"/>
      <c r="AB676" s="267"/>
      <c r="AE676" s="267"/>
      <c r="AF676" s="267"/>
      <c r="AG676" s="267"/>
      <c r="AH676" s="267"/>
      <c r="AK676" s="267"/>
      <c r="AL676" s="267"/>
      <c r="AM676" s="267"/>
      <c r="AN676" s="267"/>
      <c r="AQ676" s="267"/>
      <c r="AR676" s="267"/>
      <c r="AS676" s="267"/>
      <c r="AT676" s="267"/>
      <c r="AW676" s="267"/>
      <c r="AX676" s="267"/>
      <c r="AY676" s="267"/>
      <c r="AZ676" s="267"/>
      <c r="BG676" s="269"/>
      <c r="BM676" s="269"/>
      <c r="BS676" s="269"/>
      <c r="BU676" s="267"/>
      <c r="BY676" s="267"/>
      <c r="CC676" s="267"/>
      <c r="CG676" s="267"/>
      <c r="CS676" s="267"/>
      <c r="CW676" s="270"/>
      <c r="CX676" s="267"/>
      <c r="DC676" s="267"/>
      <c r="DH676" s="267"/>
      <c r="DM676" s="267"/>
      <c r="DR676" s="267"/>
      <c r="DW676" s="267"/>
      <c r="EB676" s="267"/>
      <c r="EG676" s="267"/>
      <c r="EL676" s="267"/>
      <c r="EQ676" s="267"/>
      <c r="EU676" s="270"/>
      <c r="EV676" s="267"/>
      <c r="FC676" s="267"/>
      <c r="FD676" s="267"/>
      <c r="FE676" s="267"/>
      <c r="FF676" s="267"/>
      <c r="FG676" s="267"/>
      <c r="FL676" s="267"/>
      <c r="FM676" s="267"/>
      <c r="FN676" s="267"/>
      <c r="FO676" s="267"/>
      <c r="FP676" s="267"/>
      <c r="FQ676" s="264"/>
      <c r="FR676" s="264"/>
      <c r="FS676" s="264"/>
      <c r="FT676" s="264"/>
      <c r="FU676" s="267"/>
      <c r="FV676" s="267"/>
      <c r="FW676" s="267"/>
      <c r="FX676" s="267"/>
      <c r="FY676" s="267"/>
      <c r="GD676" s="267"/>
      <c r="GE676" s="267"/>
      <c r="GF676" s="267"/>
      <c r="GG676" s="267"/>
      <c r="GH676" s="267"/>
      <c r="GI676" s="264"/>
      <c r="GJ676" s="264"/>
      <c r="GK676" s="264"/>
      <c r="GL676" s="264"/>
      <c r="HD676" s="267"/>
      <c r="HE676" s="267"/>
      <c r="HF676" s="267"/>
      <c r="HG676" s="267"/>
      <c r="HH676" s="267"/>
      <c r="HI676" s="267"/>
      <c r="HJ676" s="267"/>
      <c r="HK676" s="267"/>
      <c r="HL676" s="267"/>
      <c r="HM676" s="267"/>
      <c r="HN676" s="267"/>
      <c r="HO676" s="267"/>
      <c r="HP676" s="267"/>
      <c r="HQ676" s="267"/>
      <c r="HR676" s="267"/>
      <c r="HS676" s="267"/>
      <c r="HT676" s="267"/>
      <c r="HU676" s="267"/>
      <c r="IH676" s="267"/>
      <c r="IK676" s="267"/>
      <c r="IN676" s="267"/>
      <c r="IQ676" s="267"/>
      <c r="IR676" s="267"/>
      <c r="IS676" s="267"/>
    </row>
    <row r="677" spans="10:253">
      <c r="J677" s="267"/>
      <c r="K677" s="267"/>
      <c r="L677" s="267"/>
      <c r="M677" s="267"/>
      <c r="N677" s="267"/>
      <c r="O677" s="267"/>
      <c r="P677" s="267"/>
      <c r="Q677" s="267"/>
      <c r="S677" s="267"/>
      <c r="T677" s="267"/>
      <c r="U677" s="267"/>
      <c r="V677" s="267"/>
      <c r="W677" s="264"/>
      <c r="Y677" s="267"/>
      <c r="Z677" s="267"/>
      <c r="AA677" s="267"/>
      <c r="AB677" s="267"/>
      <c r="AE677" s="267"/>
      <c r="AF677" s="267"/>
      <c r="AG677" s="267"/>
      <c r="AH677" s="267"/>
      <c r="AK677" s="267"/>
      <c r="AL677" s="267"/>
      <c r="AM677" s="267"/>
      <c r="AN677" s="267"/>
      <c r="AQ677" s="267"/>
      <c r="AR677" s="267"/>
      <c r="AS677" s="267"/>
      <c r="AT677" s="267"/>
      <c r="AW677" s="267"/>
      <c r="AX677" s="267"/>
      <c r="AY677" s="267"/>
      <c r="AZ677" s="267"/>
      <c r="BG677" s="269"/>
      <c r="BM677" s="269"/>
      <c r="BS677" s="269"/>
      <c r="BU677" s="267"/>
      <c r="BY677" s="267"/>
      <c r="CC677" s="267"/>
      <c r="CG677" s="267"/>
      <c r="CS677" s="267"/>
      <c r="CW677" s="270"/>
      <c r="CX677" s="267"/>
      <c r="DC677" s="267"/>
      <c r="DH677" s="267"/>
      <c r="DM677" s="267"/>
      <c r="DR677" s="267"/>
      <c r="DW677" s="267"/>
      <c r="EB677" s="267"/>
      <c r="EG677" s="267"/>
      <c r="EL677" s="267"/>
      <c r="EQ677" s="267"/>
      <c r="EU677" s="270"/>
      <c r="EV677" s="267"/>
      <c r="FC677" s="267"/>
      <c r="FD677" s="267"/>
      <c r="FE677" s="267"/>
      <c r="FF677" s="267"/>
      <c r="FG677" s="267"/>
      <c r="FL677" s="267"/>
      <c r="FM677" s="267"/>
      <c r="FN677" s="267"/>
      <c r="FO677" s="267"/>
      <c r="FP677" s="267"/>
      <c r="FQ677" s="264"/>
      <c r="FR677" s="264"/>
      <c r="FS677" s="264"/>
      <c r="FT677" s="264"/>
      <c r="FU677" s="267"/>
      <c r="FV677" s="267"/>
      <c r="FW677" s="267"/>
      <c r="FX677" s="267"/>
      <c r="FY677" s="267"/>
      <c r="GD677" s="267"/>
      <c r="GE677" s="267"/>
      <c r="GF677" s="267"/>
      <c r="GG677" s="267"/>
      <c r="GH677" s="267"/>
      <c r="GI677" s="264"/>
      <c r="GJ677" s="264"/>
      <c r="GK677" s="264"/>
      <c r="GL677" s="264"/>
      <c r="HD677" s="267"/>
      <c r="HE677" s="267"/>
      <c r="HF677" s="267"/>
      <c r="HG677" s="267"/>
      <c r="HH677" s="267"/>
      <c r="HI677" s="267"/>
      <c r="HJ677" s="267"/>
      <c r="HK677" s="267"/>
      <c r="HL677" s="267"/>
      <c r="HM677" s="267"/>
      <c r="HN677" s="267"/>
      <c r="HO677" s="267"/>
      <c r="HP677" s="267"/>
      <c r="HQ677" s="267"/>
      <c r="HR677" s="267"/>
      <c r="HS677" s="267"/>
      <c r="HT677" s="267"/>
      <c r="HU677" s="267"/>
      <c r="IH677" s="267"/>
      <c r="IK677" s="267"/>
      <c r="IN677" s="267"/>
      <c r="IQ677" s="267"/>
      <c r="IR677" s="267"/>
      <c r="IS677" s="267"/>
    </row>
    <row r="678" spans="10:253">
      <c r="J678" s="267"/>
      <c r="K678" s="267"/>
      <c r="L678" s="267"/>
      <c r="M678" s="267"/>
      <c r="N678" s="267"/>
      <c r="O678" s="267"/>
      <c r="P678" s="267"/>
      <c r="Q678" s="267"/>
      <c r="S678" s="267"/>
      <c r="T678" s="267"/>
      <c r="U678" s="267"/>
      <c r="V678" s="267"/>
      <c r="W678" s="264"/>
      <c r="Y678" s="267"/>
      <c r="Z678" s="267"/>
      <c r="AA678" s="267"/>
      <c r="AB678" s="267"/>
      <c r="AE678" s="267"/>
      <c r="AF678" s="267"/>
      <c r="AG678" s="267"/>
      <c r="AH678" s="267"/>
      <c r="AK678" s="267"/>
      <c r="AL678" s="267"/>
      <c r="AM678" s="267"/>
      <c r="AN678" s="267"/>
      <c r="AQ678" s="267"/>
      <c r="AR678" s="267"/>
      <c r="AS678" s="267"/>
      <c r="AT678" s="267"/>
      <c r="AW678" s="267"/>
      <c r="AX678" s="267"/>
      <c r="AY678" s="267"/>
      <c r="AZ678" s="267"/>
      <c r="BG678" s="269"/>
      <c r="BM678" s="269"/>
      <c r="BS678" s="269"/>
      <c r="BU678" s="267"/>
      <c r="BY678" s="267"/>
      <c r="CC678" s="267"/>
      <c r="CG678" s="267"/>
      <c r="CS678" s="267"/>
      <c r="CW678" s="270"/>
      <c r="CX678" s="267"/>
      <c r="DC678" s="267"/>
      <c r="DH678" s="267"/>
      <c r="DM678" s="267"/>
      <c r="DR678" s="267"/>
      <c r="DW678" s="267"/>
      <c r="EB678" s="267"/>
      <c r="EG678" s="267"/>
      <c r="EL678" s="267"/>
      <c r="EQ678" s="267"/>
      <c r="EU678" s="270"/>
      <c r="EV678" s="267"/>
      <c r="FC678" s="267"/>
      <c r="FD678" s="267"/>
      <c r="FE678" s="267"/>
      <c r="FF678" s="267"/>
      <c r="FG678" s="267"/>
      <c r="FL678" s="267"/>
      <c r="FM678" s="267"/>
      <c r="FN678" s="267"/>
      <c r="FO678" s="267"/>
      <c r="FP678" s="267"/>
      <c r="FQ678" s="264"/>
      <c r="FR678" s="264"/>
      <c r="FS678" s="264"/>
      <c r="FT678" s="264"/>
      <c r="FU678" s="267"/>
      <c r="FV678" s="267"/>
      <c r="FW678" s="267"/>
      <c r="FX678" s="267"/>
      <c r="FY678" s="267"/>
      <c r="GD678" s="267"/>
      <c r="GE678" s="267"/>
      <c r="GF678" s="267"/>
      <c r="GG678" s="267"/>
      <c r="GH678" s="267"/>
      <c r="GI678" s="264"/>
      <c r="GJ678" s="264"/>
      <c r="GK678" s="264"/>
      <c r="GL678" s="264"/>
      <c r="HD678" s="267"/>
      <c r="HE678" s="267"/>
      <c r="HF678" s="267"/>
      <c r="HG678" s="267"/>
      <c r="HH678" s="267"/>
      <c r="HI678" s="267"/>
      <c r="HJ678" s="267"/>
      <c r="HK678" s="267"/>
      <c r="HL678" s="267"/>
      <c r="HM678" s="267"/>
      <c r="HN678" s="267"/>
      <c r="HO678" s="267"/>
      <c r="HP678" s="267"/>
      <c r="HQ678" s="267"/>
      <c r="HR678" s="267"/>
      <c r="HS678" s="267"/>
      <c r="HT678" s="267"/>
      <c r="HU678" s="267"/>
      <c r="IH678" s="267"/>
      <c r="IK678" s="267"/>
      <c r="IN678" s="267"/>
      <c r="IQ678" s="267"/>
      <c r="IR678" s="267"/>
      <c r="IS678" s="267"/>
    </row>
    <row r="679" spans="10:253">
      <c r="J679" s="267"/>
      <c r="K679" s="267"/>
      <c r="L679" s="267"/>
      <c r="M679" s="267"/>
      <c r="N679" s="267"/>
      <c r="O679" s="267"/>
      <c r="P679" s="267"/>
      <c r="Q679" s="267"/>
      <c r="S679" s="267"/>
      <c r="T679" s="267"/>
      <c r="U679" s="267"/>
      <c r="V679" s="267"/>
      <c r="W679" s="264"/>
      <c r="Y679" s="267"/>
      <c r="Z679" s="267"/>
      <c r="AA679" s="267"/>
      <c r="AB679" s="267"/>
      <c r="AE679" s="267"/>
      <c r="AF679" s="267"/>
      <c r="AG679" s="267"/>
      <c r="AH679" s="267"/>
      <c r="AK679" s="267"/>
      <c r="AL679" s="267"/>
      <c r="AM679" s="267"/>
      <c r="AN679" s="267"/>
      <c r="AQ679" s="267"/>
      <c r="AR679" s="267"/>
      <c r="AS679" s="267"/>
      <c r="AT679" s="267"/>
      <c r="AW679" s="267"/>
      <c r="AX679" s="267"/>
      <c r="AY679" s="267"/>
      <c r="AZ679" s="267"/>
      <c r="BG679" s="269"/>
      <c r="BM679" s="269"/>
      <c r="BS679" s="269"/>
      <c r="BU679" s="267"/>
      <c r="BY679" s="267"/>
      <c r="CC679" s="267"/>
      <c r="CG679" s="267"/>
      <c r="CS679" s="267"/>
      <c r="CW679" s="270"/>
      <c r="CX679" s="267"/>
      <c r="DC679" s="267"/>
      <c r="DH679" s="267"/>
      <c r="DM679" s="267"/>
      <c r="DR679" s="267"/>
      <c r="DW679" s="267"/>
      <c r="EB679" s="267"/>
      <c r="EG679" s="267"/>
      <c r="EL679" s="267"/>
      <c r="EQ679" s="267"/>
      <c r="EU679" s="270"/>
      <c r="EV679" s="267"/>
      <c r="FC679" s="267"/>
      <c r="FD679" s="267"/>
      <c r="FE679" s="267"/>
      <c r="FF679" s="267"/>
      <c r="FG679" s="267"/>
      <c r="FL679" s="267"/>
      <c r="FM679" s="267"/>
      <c r="FN679" s="267"/>
      <c r="FO679" s="267"/>
      <c r="FP679" s="267"/>
      <c r="FQ679" s="264"/>
      <c r="FR679" s="264"/>
      <c r="FS679" s="264"/>
      <c r="FT679" s="264"/>
      <c r="FU679" s="267"/>
      <c r="FV679" s="267"/>
      <c r="FW679" s="267"/>
      <c r="FX679" s="267"/>
      <c r="FY679" s="267"/>
      <c r="GD679" s="267"/>
      <c r="GE679" s="267"/>
      <c r="GF679" s="267"/>
      <c r="GG679" s="267"/>
      <c r="GH679" s="267"/>
      <c r="GI679" s="264"/>
      <c r="GJ679" s="264"/>
      <c r="GK679" s="264"/>
      <c r="GL679" s="264"/>
      <c r="HD679" s="267"/>
      <c r="HE679" s="267"/>
      <c r="HF679" s="267"/>
      <c r="HG679" s="267"/>
      <c r="HH679" s="267"/>
      <c r="HI679" s="267"/>
      <c r="HJ679" s="267"/>
      <c r="HK679" s="267"/>
      <c r="HL679" s="267"/>
      <c r="HM679" s="267"/>
      <c r="HN679" s="267"/>
      <c r="HO679" s="267"/>
      <c r="HP679" s="267"/>
      <c r="HQ679" s="267"/>
      <c r="HR679" s="267"/>
      <c r="HS679" s="267"/>
      <c r="HT679" s="267"/>
      <c r="HU679" s="267"/>
      <c r="IH679" s="267"/>
      <c r="IK679" s="267"/>
      <c r="IN679" s="267"/>
      <c r="IQ679" s="267"/>
      <c r="IR679" s="267"/>
      <c r="IS679" s="267"/>
    </row>
    <row r="680" spans="10:253">
      <c r="J680" s="267"/>
      <c r="K680" s="267"/>
      <c r="L680" s="267"/>
      <c r="M680" s="267"/>
      <c r="N680" s="267"/>
      <c r="O680" s="267"/>
      <c r="P680" s="267"/>
      <c r="Q680" s="267"/>
      <c r="S680" s="267"/>
      <c r="T680" s="267"/>
      <c r="U680" s="267"/>
      <c r="V680" s="267"/>
      <c r="W680" s="264"/>
      <c r="Y680" s="267"/>
      <c r="Z680" s="267"/>
      <c r="AA680" s="267"/>
      <c r="AB680" s="267"/>
      <c r="AE680" s="267"/>
      <c r="AF680" s="267"/>
      <c r="AG680" s="267"/>
      <c r="AH680" s="267"/>
      <c r="AK680" s="267"/>
      <c r="AL680" s="267"/>
      <c r="AM680" s="267"/>
      <c r="AN680" s="267"/>
      <c r="AQ680" s="267"/>
      <c r="AR680" s="267"/>
      <c r="AS680" s="267"/>
      <c r="AT680" s="267"/>
      <c r="AW680" s="267"/>
      <c r="AX680" s="267"/>
      <c r="AY680" s="267"/>
      <c r="AZ680" s="267"/>
      <c r="BG680" s="269"/>
      <c r="BM680" s="269"/>
      <c r="BS680" s="269"/>
      <c r="BU680" s="267"/>
      <c r="BY680" s="267"/>
      <c r="CC680" s="267"/>
      <c r="CG680" s="267"/>
      <c r="CS680" s="267"/>
      <c r="CW680" s="270"/>
      <c r="CX680" s="267"/>
      <c r="DC680" s="267"/>
      <c r="DH680" s="267"/>
      <c r="DM680" s="267"/>
      <c r="DR680" s="267"/>
      <c r="DW680" s="267"/>
      <c r="EB680" s="267"/>
      <c r="EG680" s="267"/>
      <c r="EL680" s="267"/>
      <c r="EQ680" s="267"/>
      <c r="EU680" s="270"/>
      <c r="EV680" s="267"/>
      <c r="FC680" s="267"/>
      <c r="FD680" s="267"/>
      <c r="FE680" s="267"/>
      <c r="FF680" s="267"/>
      <c r="FG680" s="267"/>
      <c r="FL680" s="267"/>
      <c r="FM680" s="267"/>
      <c r="FN680" s="267"/>
      <c r="FO680" s="267"/>
      <c r="FP680" s="267"/>
      <c r="FQ680" s="264"/>
      <c r="FR680" s="264"/>
      <c r="FS680" s="264"/>
      <c r="FT680" s="264"/>
      <c r="FU680" s="267"/>
      <c r="FV680" s="267"/>
      <c r="FW680" s="267"/>
      <c r="FX680" s="267"/>
      <c r="FY680" s="267"/>
      <c r="GD680" s="267"/>
      <c r="GE680" s="267"/>
      <c r="GF680" s="267"/>
      <c r="GG680" s="267"/>
      <c r="GH680" s="267"/>
      <c r="GI680" s="264"/>
      <c r="GJ680" s="264"/>
      <c r="GK680" s="264"/>
      <c r="GL680" s="264"/>
      <c r="HD680" s="267"/>
      <c r="HE680" s="267"/>
      <c r="HF680" s="267"/>
      <c r="HG680" s="267"/>
      <c r="HH680" s="267"/>
      <c r="HI680" s="267"/>
      <c r="HJ680" s="267"/>
      <c r="HK680" s="267"/>
      <c r="HL680" s="267"/>
      <c r="HM680" s="267"/>
      <c r="HN680" s="267"/>
      <c r="HO680" s="267"/>
      <c r="HP680" s="267"/>
      <c r="HQ680" s="267"/>
      <c r="HR680" s="267"/>
      <c r="HS680" s="267"/>
      <c r="HT680" s="267"/>
      <c r="HU680" s="267"/>
      <c r="IH680" s="267"/>
      <c r="IK680" s="267"/>
      <c r="IN680" s="267"/>
      <c r="IQ680" s="267"/>
      <c r="IR680" s="267"/>
      <c r="IS680" s="267"/>
    </row>
    <row r="681" spans="10:253">
      <c r="J681" s="267"/>
      <c r="K681" s="267"/>
      <c r="L681" s="267"/>
      <c r="M681" s="267"/>
      <c r="N681" s="267"/>
      <c r="O681" s="267"/>
      <c r="P681" s="267"/>
      <c r="Q681" s="267"/>
      <c r="S681" s="267"/>
      <c r="T681" s="267"/>
      <c r="U681" s="267"/>
      <c r="V681" s="267"/>
      <c r="W681" s="264"/>
      <c r="Y681" s="267"/>
      <c r="Z681" s="267"/>
      <c r="AA681" s="267"/>
      <c r="AB681" s="267"/>
      <c r="AE681" s="267"/>
      <c r="AF681" s="267"/>
      <c r="AG681" s="267"/>
      <c r="AH681" s="267"/>
      <c r="AK681" s="267"/>
      <c r="AL681" s="267"/>
      <c r="AM681" s="267"/>
      <c r="AN681" s="267"/>
      <c r="AQ681" s="267"/>
      <c r="AR681" s="267"/>
      <c r="AS681" s="267"/>
      <c r="AT681" s="267"/>
      <c r="AW681" s="267"/>
      <c r="AX681" s="267"/>
      <c r="AY681" s="267"/>
      <c r="AZ681" s="267"/>
      <c r="BG681" s="269"/>
      <c r="BM681" s="269"/>
      <c r="BS681" s="269"/>
      <c r="BU681" s="267"/>
      <c r="BY681" s="267"/>
      <c r="CC681" s="267"/>
      <c r="CG681" s="267"/>
      <c r="CS681" s="267"/>
      <c r="CW681" s="270"/>
      <c r="CX681" s="267"/>
      <c r="DC681" s="267"/>
      <c r="DH681" s="267"/>
      <c r="DM681" s="267"/>
      <c r="DR681" s="267"/>
      <c r="DW681" s="267"/>
      <c r="EB681" s="267"/>
      <c r="EG681" s="267"/>
      <c r="EL681" s="267"/>
      <c r="EQ681" s="267"/>
      <c r="EU681" s="270"/>
      <c r="EV681" s="267"/>
      <c r="FC681" s="267"/>
      <c r="FD681" s="267"/>
      <c r="FE681" s="267"/>
      <c r="FF681" s="267"/>
      <c r="FG681" s="267"/>
      <c r="FL681" s="267"/>
      <c r="FM681" s="267"/>
      <c r="FN681" s="267"/>
      <c r="FO681" s="267"/>
      <c r="FP681" s="267"/>
      <c r="FQ681" s="264"/>
      <c r="FR681" s="264"/>
      <c r="FS681" s="264"/>
      <c r="FT681" s="264"/>
      <c r="FU681" s="267"/>
      <c r="FV681" s="267"/>
      <c r="FW681" s="267"/>
      <c r="FX681" s="267"/>
      <c r="FY681" s="267"/>
      <c r="GD681" s="267"/>
      <c r="GE681" s="267"/>
      <c r="GF681" s="267"/>
      <c r="GG681" s="267"/>
      <c r="GH681" s="267"/>
      <c r="GI681" s="264"/>
      <c r="GJ681" s="264"/>
      <c r="GK681" s="264"/>
      <c r="GL681" s="264"/>
      <c r="HD681" s="267"/>
      <c r="HE681" s="267"/>
      <c r="HF681" s="267"/>
      <c r="HG681" s="267"/>
      <c r="HH681" s="267"/>
      <c r="HI681" s="267"/>
      <c r="HJ681" s="267"/>
      <c r="HK681" s="267"/>
      <c r="HL681" s="267"/>
      <c r="HM681" s="267"/>
      <c r="HN681" s="267"/>
      <c r="HO681" s="267"/>
      <c r="HP681" s="267"/>
      <c r="HQ681" s="267"/>
      <c r="HR681" s="267"/>
      <c r="HS681" s="267"/>
      <c r="HT681" s="267"/>
      <c r="HU681" s="267"/>
      <c r="IH681" s="267"/>
      <c r="IK681" s="267"/>
      <c r="IN681" s="267"/>
      <c r="IQ681" s="267"/>
      <c r="IR681" s="267"/>
      <c r="IS681" s="267"/>
    </row>
    <row r="682" spans="10:253">
      <c r="J682" s="267"/>
      <c r="K682" s="267"/>
      <c r="L682" s="267"/>
      <c r="M682" s="267"/>
      <c r="N682" s="267"/>
      <c r="O682" s="267"/>
      <c r="P682" s="267"/>
      <c r="Q682" s="267"/>
      <c r="S682" s="267"/>
      <c r="T682" s="267"/>
      <c r="U682" s="267"/>
      <c r="V682" s="267"/>
      <c r="W682" s="264"/>
      <c r="Y682" s="267"/>
      <c r="Z682" s="267"/>
      <c r="AA682" s="267"/>
      <c r="AB682" s="267"/>
      <c r="AE682" s="267"/>
      <c r="AF682" s="267"/>
      <c r="AG682" s="267"/>
      <c r="AH682" s="267"/>
      <c r="AK682" s="267"/>
      <c r="AL682" s="267"/>
      <c r="AM682" s="267"/>
      <c r="AN682" s="267"/>
      <c r="AQ682" s="267"/>
      <c r="AR682" s="267"/>
      <c r="AS682" s="267"/>
      <c r="AT682" s="267"/>
      <c r="AW682" s="267"/>
      <c r="AX682" s="267"/>
      <c r="AY682" s="267"/>
      <c r="AZ682" s="267"/>
      <c r="BG682" s="269"/>
      <c r="BM682" s="269"/>
      <c r="BS682" s="269"/>
      <c r="BU682" s="267"/>
      <c r="BY682" s="267"/>
      <c r="CC682" s="267"/>
      <c r="CG682" s="267"/>
      <c r="CS682" s="267"/>
      <c r="CW682" s="270"/>
      <c r="CX682" s="267"/>
      <c r="DC682" s="267"/>
      <c r="DH682" s="267"/>
      <c r="DM682" s="267"/>
      <c r="DR682" s="267"/>
      <c r="DW682" s="267"/>
      <c r="EB682" s="267"/>
      <c r="EG682" s="267"/>
      <c r="EL682" s="267"/>
      <c r="EQ682" s="267"/>
      <c r="EU682" s="270"/>
      <c r="EV682" s="267"/>
      <c r="FC682" s="267"/>
      <c r="FD682" s="267"/>
      <c r="FE682" s="267"/>
      <c r="FF682" s="267"/>
      <c r="FG682" s="267"/>
      <c r="FL682" s="267"/>
      <c r="FM682" s="267"/>
      <c r="FN682" s="267"/>
      <c r="FO682" s="267"/>
      <c r="FP682" s="267"/>
      <c r="FQ682" s="264"/>
      <c r="FR682" s="264"/>
      <c r="FS682" s="264"/>
      <c r="FT682" s="264"/>
      <c r="FU682" s="267"/>
      <c r="FV682" s="267"/>
      <c r="FW682" s="267"/>
      <c r="FX682" s="267"/>
      <c r="FY682" s="267"/>
      <c r="GD682" s="267"/>
      <c r="GE682" s="267"/>
      <c r="GF682" s="267"/>
      <c r="GG682" s="267"/>
      <c r="GH682" s="267"/>
      <c r="GI682" s="264"/>
      <c r="GJ682" s="264"/>
      <c r="GK682" s="264"/>
      <c r="GL682" s="264"/>
      <c r="HD682" s="267"/>
      <c r="HE682" s="267"/>
      <c r="HF682" s="267"/>
      <c r="HG682" s="267"/>
      <c r="HH682" s="267"/>
      <c r="HI682" s="267"/>
      <c r="HJ682" s="267"/>
      <c r="HK682" s="267"/>
      <c r="HL682" s="267"/>
      <c r="HM682" s="267"/>
      <c r="HN682" s="267"/>
      <c r="HO682" s="267"/>
      <c r="HP682" s="267"/>
      <c r="HQ682" s="267"/>
      <c r="HR682" s="267"/>
      <c r="HS682" s="267"/>
      <c r="HT682" s="267"/>
      <c r="HU682" s="267"/>
      <c r="IH682" s="267"/>
      <c r="IK682" s="267"/>
      <c r="IN682" s="267"/>
      <c r="IQ682" s="267"/>
      <c r="IR682" s="267"/>
      <c r="IS682" s="267"/>
    </row>
    <row r="683" spans="10:253">
      <c r="J683" s="267"/>
      <c r="K683" s="267"/>
      <c r="L683" s="267"/>
      <c r="M683" s="267"/>
      <c r="N683" s="267"/>
      <c r="O683" s="267"/>
      <c r="P683" s="267"/>
      <c r="Q683" s="267"/>
      <c r="S683" s="267"/>
      <c r="T683" s="267"/>
      <c r="U683" s="267"/>
      <c r="V683" s="267"/>
      <c r="W683" s="264"/>
      <c r="Y683" s="267"/>
      <c r="Z683" s="267"/>
      <c r="AA683" s="267"/>
      <c r="AB683" s="267"/>
      <c r="AE683" s="267"/>
      <c r="AF683" s="267"/>
      <c r="AG683" s="267"/>
      <c r="AH683" s="267"/>
      <c r="AK683" s="267"/>
      <c r="AL683" s="267"/>
      <c r="AM683" s="267"/>
      <c r="AN683" s="267"/>
      <c r="AQ683" s="267"/>
      <c r="AR683" s="267"/>
      <c r="AS683" s="267"/>
      <c r="AT683" s="267"/>
      <c r="AW683" s="267"/>
      <c r="AX683" s="267"/>
      <c r="AY683" s="267"/>
      <c r="AZ683" s="267"/>
      <c r="BG683" s="269"/>
      <c r="BM683" s="269"/>
      <c r="BS683" s="269"/>
      <c r="BU683" s="267"/>
      <c r="BY683" s="267"/>
      <c r="CC683" s="267"/>
      <c r="CG683" s="267"/>
      <c r="CS683" s="267"/>
      <c r="CW683" s="270"/>
      <c r="CX683" s="267"/>
      <c r="DC683" s="267"/>
      <c r="DH683" s="267"/>
      <c r="DM683" s="267"/>
      <c r="DR683" s="267"/>
      <c r="DW683" s="267"/>
      <c r="EB683" s="267"/>
      <c r="EG683" s="267"/>
      <c r="EL683" s="267"/>
      <c r="EQ683" s="267"/>
      <c r="EU683" s="270"/>
      <c r="EV683" s="267"/>
      <c r="FC683" s="267"/>
      <c r="FD683" s="267"/>
      <c r="FE683" s="267"/>
      <c r="FF683" s="267"/>
      <c r="FG683" s="267"/>
      <c r="FL683" s="267"/>
      <c r="FM683" s="267"/>
      <c r="FN683" s="267"/>
      <c r="FO683" s="267"/>
      <c r="FP683" s="267"/>
      <c r="FQ683" s="264"/>
      <c r="FR683" s="264"/>
      <c r="FS683" s="264"/>
      <c r="FT683" s="264"/>
      <c r="FU683" s="267"/>
      <c r="FV683" s="267"/>
      <c r="FW683" s="267"/>
      <c r="FX683" s="267"/>
      <c r="FY683" s="267"/>
      <c r="GD683" s="267"/>
      <c r="GE683" s="267"/>
      <c r="GF683" s="267"/>
      <c r="GG683" s="267"/>
      <c r="GH683" s="267"/>
      <c r="GI683" s="264"/>
      <c r="GJ683" s="264"/>
      <c r="GK683" s="264"/>
      <c r="GL683" s="264"/>
      <c r="HD683" s="267"/>
      <c r="HE683" s="267"/>
      <c r="HF683" s="267"/>
      <c r="HG683" s="267"/>
      <c r="HH683" s="267"/>
      <c r="HI683" s="267"/>
      <c r="HJ683" s="267"/>
      <c r="HK683" s="267"/>
      <c r="HL683" s="267"/>
      <c r="HM683" s="267"/>
      <c r="HN683" s="267"/>
      <c r="HO683" s="267"/>
      <c r="HP683" s="267"/>
      <c r="HQ683" s="267"/>
      <c r="HR683" s="267"/>
      <c r="HS683" s="267"/>
      <c r="HT683" s="267"/>
      <c r="HU683" s="267"/>
      <c r="IH683" s="267"/>
      <c r="IK683" s="267"/>
      <c r="IN683" s="267"/>
      <c r="IQ683" s="267"/>
      <c r="IR683" s="267"/>
      <c r="IS683" s="267"/>
    </row>
    <row r="684" spans="10:253">
      <c r="J684" s="267"/>
      <c r="K684" s="267"/>
      <c r="L684" s="267"/>
      <c r="M684" s="267"/>
      <c r="N684" s="267"/>
      <c r="O684" s="267"/>
      <c r="P684" s="267"/>
      <c r="Q684" s="267"/>
      <c r="S684" s="267"/>
      <c r="T684" s="267"/>
      <c r="U684" s="267"/>
      <c r="V684" s="267"/>
      <c r="W684" s="264"/>
      <c r="Y684" s="267"/>
      <c r="Z684" s="267"/>
      <c r="AA684" s="267"/>
      <c r="AB684" s="267"/>
      <c r="AE684" s="267"/>
      <c r="AF684" s="267"/>
      <c r="AG684" s="267"/>
      <c r="AH684" s="267"/>
      <c r="AK684" s="267"/>
      <c r="AL684" s="267"/>
      <c r="AM684" s="267"/>
      <c r="AN684" s="267"/>
      <c r="AQ684" s="267"/>
      <c r="AR684" s="267"/>
      <c r="AS684" s="267"/>
      <c r="AT684" s="267"/>
      <c r="AW684" s="267"/>
      <c r="AX684" s="267"/>
      <c r="AY684" s="267"/>
      <c r="AZ684" s="267"/>
      <c r="BG684" s="269"/>
      <c r="BM684" s="269"/>
      <c r="BS684" s="269"/>
      <c r="BU684" s="267"/>
      <c r="BY684" s="267"/>
      <c r="CC684" s="267"/>
      <c r="CG684" s="267"/>
      <c r="CS684" s="267"/>
      <c r="CW684" s="270"/>
      <c r="CX684" s="267"/>
      <c r="DC684" s="267"/>
      <c r="DH684" s="267"/>
      <c r="DM684" s="267"/>
      <c r="DR684" s="267"/>
      <c r="DW684" s="267"/>
      <c r="EB684" s="267"/>
      <c r="EG684" s="267"/>
      <c r="EL684" s="267"/>
      <c r="EQ684" s="267"/>
      <c r="EU684" s="270"/>
      <c r="EV684" s="267"/>
      <c r="FC684" s="267"/>
      <c r="FD684" s="267"/>
      <c r="FE684" s="267"/>
      <c r="FF684" s="267"/>
      <c r="FG684" s="267"/>
      <c r="FL684" s="267"/>
      <c r="FM684" s="267"/>
      <c r="FN684" s="267"/>
      <c r="FO684" s="267"/>
      <c r="FP684" s="267"/>
      <c r="FQ684" s="264"/>
      <c r="FR684" s="264"/>
      <c r="FS684" s="264"/>
      <c r="FT684" s="264"/>
      <c r="FU684" s="267"/>
      <c r="FV684" s="267"/>
      <c r="FW684" s="267"/>
      <c r="FX684" s="267"/>
      <c r="FY684" s="267"/>
      <c r="GD684" s="267"/>
      <c r="GE684" s="267"/>
      <c r="GF684" s="267"/>
      <c r="GG684" s="267"/>
      <c r="GH684" s="267"/>
      <c r="GI684" s="264"/>
      <c r="GJ684" s="264"/>
      <c r="GK684" s="264"/>
      <c r="GL684" s="264"/>
      <c r="HD684" s="267"/>
      <c r="HE684" s="267"/>
      <c r="HF684" s="267"/>
      <c r="HG684" s="267"/>
      <c r="HH684" s="267"/>
      <c r="HI684" s="267"/>
      <c r="HJ684" s="267"/>
      <c r="HK684" s="267"/>
      <c r="HL684" s="267"/>
      <c r="HM684" s="267"/>
      <c r="HN684" s="267"/>
      <c r="HO684" s="267"/>
      <c r="HP684" s="267"/>
      <c r="HQ684" s="267"/>
      <c r="HR684" s="267"/>
      <c r="HS684" s="267"/>
      <c r="HT684" s="267"/>
      <c r="HU684" s="267"/>
      <c r="IH684" s="267"/>
      <c r="IK684" s="267"/>
      <c r="IN684" s="267"/>
      <c r="IQ684" s="267"/>
      <c r="IR684" s="267"/>
      <c r="IS684" s="267"/>
    </row>
    <row r="685" spans="10:253">
      <c r="J685" s="267"/>
      <c r="K685" s="267"/>
      <c r="L685" s="267"/>
      <c r="M685" s="267"/>
      <c r="N685" s="267"/>
      <c r="O685" s="267"/>
      <c r="P685" s="267"/>
      <c r="Q685" s="267"/>
      <c r="S685" s="267"/>
      <c r="T685" s="267"/>
      <c r="U685" s="267"/>
      <c r="V685" s="267"/>
      <c r="W685" s="264"/>
      <c r="Y685" s="267"/>
      <c r="Z685" s="267"/>
      <c r="AA685" s="267"/>
      <c r="AB685" s="267"/>
      <c r="AE685" s="267"/>
      <c r="AF685" s="267"/>
      <c r="AG685" s="267"/>
      <c r="AH685" s="267"/>
      <c r="AK685" s="267"/>
      <c r="AL685" s="267"/>
      <c r="AM685" s="267"/>
      <c r="AN685" s="267"/>
      <c r="AQ685" s="267"/>
      <c r="AR685" s="267"/>
      <c r="AS685" s="267"/>
      <c r="AT685" s="267"/>
      <c r="AW685" s="267"/>
      <c r="AX685" s="267"/>
      <c r="AY685" s="267"/>
      <c r="AZ685" s="267"/>
      <c r="BG685" s="269"/>
      <c r="BM685" s="269"/>
      <c r="BS685" s="269"/>
      <c r="BU685" s="267"/>
      <c r="BY685" s="267"/>
      <c r="CC685" s="267"/>
      <c r="CG685" s="267"/>
      <c r="CS685" s="267"/>
      <c r="CW685" s="270"/>
      <c r="CX685" s="267"/>
      <c r="DC685" s="267"/>
      <c r="DH685" s="267"/>
      <c r="DM685" s="267"/>
      <c r="DR685" s="267"/>
      <c r="DW685" s="267"/>
      <c r="EB685" s="267"/>
      <c r="EG685" s="267"/>
      <c r="EL685" s="267"/>
      <c r="EQ685" s="267"/>
      <c r="EU685" s="270"/>
      <c r="EV685" s="267"/>
      <c r="FC685" s="267"/>
      <c r="FD685" s="267"/>
      <c r="FE685" s="267"/>
      <c r="FF685" s="267"/>
      <c r="FG685" s="267"/>
      <c r="FL685" s="267"/>
      <c r="FM685" s="267"/>
      <c r="FN685" s="267"/>
      <c r="FO685" s="267"/>
      <c r="FP685" s="267"/>
      <c r="FQ685" s="264"/>
      <c r="FR685" s="264"/>
      <c r="FS685" s="264"/>
      <c r="FT685" s="264"/>
      <c r="FU685" s="267"/>
      <c r="FV685" s="267"/>
      <c r="FW685" s="267"/>
      <c r="FX685" s="267"/>
      <c r="FY685" s="267"/>
      <c r="GD685" s="267"/>
      <c r="GE685" s="267"/>
      <c r="GF685" s="267"/>
      <c r="GG685" s="267"/>
      <c r="GH685" s="267"/>
      <c r="GI685" s="264"/>
      <c r="GJ685" s="264"/>
      <c r="GK685" s="264"/>
      <c r="GL685" s="264"/>
      <c r="HD685" s="267"/>
      <c r="HE685" s="267"/>
      <c r="HF685" s="267"/>
      <c r="HG685" s="267"/>
      <c r="HH685" s="267"/>
      <c r="HI685" s="267"/>
      <c r="HJ685" s="267"/>
      <c r="HK685" s="267"/>
      <c r="HL685" s="267"/>
      <c r="HM685" s="267"/>
      <c r="HN685" s="267"/>
      <c r="HO685" s="267"/>
      <c r="HP685" s="267"/>
      <c r="HQ685" s="267"/>
      <c r="HR685" s="267"/>
      <c r="HS685" s="267"/>
      <c r="HT685" s="267"/>
      <c r="HU685" s="267"/>
      <c r="IH685" s="267"/>
      <c r="IK685" s="267"/>
      <c r="IN685" s="267"/>
      <c r="IQ685" s="267"/>
      <c r="IR685" s="267"/>
      <c r="IS685" s="267"/>
    </row>
    <row r="686" spans="10:253">
      <c r="J686" s="267"/>
      <c r="K686" s="267"/>
      <c r="L686" s="267"/>
      <c r="M686" s="267"/>
      <c r="N686" s="267"/>
      <c r="O686" s="267"/>
      <c r="P686" s="267"/>
      <c r="Q686" s="267"/>
      <c r="S686" s="267"/>
      <c r="T686" s="267"/>
      <c r="U686" s="267"/>
      <c r="V686" s="267"/>
      <c r="W686" s="264"/>
      <c r="Y686" s="267"/>
      <c r="Z686" s="267"/>
      <c r="AA686" s="267"/>
      <c r="AB686" s="267"/>
      <c r="AE686" s="267"/>
      <c r="AF686" s="267"/>
      <c r="AG686" s="267"/>
      <c r="AH686" s="267"/>
      <c r="AK686" s="267"/>
      <c r="AL686" s="267"/>
      <c r="AM686" s="267"/>
      <c r="AN686" s="267"/>
      <c r="AQ686" s="267"/>
      <c r="AR686" s="267"/>
      <c r="AS686" s="267"/>
      <c r="AT686" s="267"/>
      <c r="AW686" s="267"/>
      <c r="AX686" s="267"/>
      <c r="AY686" s="267"/>
      <c r="AZ686" s="267"/>
      <c r="BG686" s="269"/>
      <c r="BM686" s="269"/>
      <c r="BS686" s="269"/>
      <c r="BU686" s="267"/>
      <c r="BY686" s="267"/>
      <c r="CC686" s="267"/>
      <c r="CG686" s="267"/>
      <c r="CS686" s="267"/>
      <c r="CW686" s="270"/>
      <c r="CX686" s="267"/>
      <c r="DC686" s="267"/>
      <c r="DH686" s="267"/>
      <c r="DM686" s="267"/>
      <c r="DR686" s="267"/>
      <c r="DW686" s="267"/>
      <c r="EB686" s="267"/>
      <c r="EG686" s="267"/>
      <c r="EL686" s="267"/>
      <c r="EQ686" s="267"/>
      <c r="EU686" s="270"/>
      <c r="EV686" s="267"/>
      <c r="FC686" s="267"/>
      <c r="FD686" s="267"/>
      <c r="FE686" s="267"/>
      <c r="FF686" s="267"/>
      <c r="FG686" s="267"/>
      <c r="FL686" s="267"/>
      <c r="FM686" s="267"/>
      <c r="FN686" s="267"/>
      <c r="FO686" s="267"/>
      <c r="FP686" s="267"/>
      <c r="FQ686" s="264"/>
      <c r="FR686" s="264"/>
      <c r="FS686" s="264"/>
      <c r="FT686" s="264"/>
      <c r="FU686" s="267"/>
      <c r="FV686" s="267"/>
      <c r="FW686" s="267"/>
      <c r="FX686" s="267"/>
      <c r="FY686" s="267"/>
      <c r="GD686" s="267"/>
      <c r="GE686" s="267"/>
      <c r="GF686" s="267"/>
      <c r="GG686" s="267"/>
      <c r="GH686" s="267"/>
      <c r="GI686" s="264"/>
      <c r="GJ686" s="264"/>
      <c r="GK686" s="264"/>
      <c r="GL686" s="264"/>
      <c r="HD686" s="267"/>
      <c r="HE686" s="267"/>
      <c r="HF686" s="267"/>
      <c r="HG686" s="267"/>
      <c r="HH686" s="267"/>
      <c r="HI686" s="267"/>
      <c r="HJ686" s="267"/>
      <c r="HK686" s="267"/>
      <c r="HL686" s="267"/>
      <c r="HM686" s="267"/>
      <c r="HN686" s="267"/>
      <c r="HO686" s="267"/>
      <c r="HP686" s="267"/>
      <c r="HQ686" s="267"/>
      <c r="HR686" s="267"/>
      <c r="HS686" s="267"/>
      <c r="HT686" s="267"/>
      <c r="HU686" s="267"/>
      <c r="IH686" s="267"/>
      <c r="IK686" s="267"/>
      <c r="IN686" s="267"/>
      <c r="IQ686" s="267"/>
      <c r="IR686" s="267"/>
      <c r="IS686" s="267"/>
    </row>
    <row r="687" spans="10:253">
      <c r="J687" s="267"/>
      <c r="K687" s="267"/>
      <c r="L687" s="267"/>
      <c r="M687" s="267"/>
      <c r="N687" s="267"/>
      <c r="O687" s="267"/>
      <c r="P687" s="267"/>
      <c r="Q687" s="267"/>
      <c r="S687" s="267"/>
      <c r="T687" s="267"/>
      <c r="U687" s="267"/>
      <c r="V687" s="267"/>
      <c r="W687" s="264"/>
      <c r="Y687" s="267"/>
      <c r="Z687" s="267"/>
      <c r="AA687" s="267"/>
      <c r="AB687" s="267"/>
      <c r="AE687" s="267"/>
      <c r="AF687" s="267"/>
      <c r="AG687" s="267"/>
      <c r="AH687" s="267"/>
      <c r="AK687" s="267"/>
      <c r="AL687" s="267"/>
      <c r="AM687" s="267"/>
      <c r="AN687" s="267"/>
      <c r="AQ687" s="267"/>
      <c r="AR687" s="267"/>
      <c r="AS687" s="267"/>
      <c r="AT687" s="267"/>
      <c r="AW687" s="267"/>
      <c r="AX687" s="267"/>
      <c r="AY687" s="267"/>
      <c r="AZ687" s="267"/>
      <c r="BG687" s="269"/>
      <c r="BM687" s="269"/>
      <c r="BS687" s="269"/>
      <c r="BU687" s="267"/>
      <c r="BY687" s="267"/>
      <c r="CC687" s="267"/>
      <c r="CG687" s="267"/>
      <c r="CS687" s="267"/>
      <c r="CW687" s="270"/>
      <c r="CX687" s="267"/>
      <c r="DC687" s="267"/>
      <c r="DH687" s="267"/>
      <c r="DM687" s="267"/>
      <c r="DR687" s="267"/>
      <c r="DW687" s="267"/>
      <c r="EB687" s="267"/>
      <c r="EG687" s="267"/>
      <c r="EL687" s="267"/>
      <c r="EQ687" s="267"/>
      <c r="EU687" s="270"/>
      <c r="EV687" s="267"/>
      <c r="FC687" s="267"/>
      <c r="FD687" s="267"/>
      <c r="FE687" s="267"/>
      <c r="FF687" s="267"/>
      <c r="FG687" s="267"/>
      <c r="FL687" s="267"/>
      <c r="FM687" s="267"/>
      <c r="FN687" s="267"/>
      <c r="FO687" s="267"/>
      <c r="FP687" s="267"/>
      <c r="FQ687" s="264"/>
      <c r="FR687" s="264"/>
      <c r="FS687" s="264"/>
      <c r="FT687" s="264"/>
      <c r="FU687" s="267"/>
      <c r="FV687" s="267"/>
      <c r="FW687" s="267"/>
      <c r="FX687" s="267"/>
      <c r="FY687" s="267"/>
      <c r="GD687" s="267"/>
      <c r="GE687" s="267"/>
      <c r="GF687" s="267"/>
      <c r="GG687" s="267"/>
      <c r="GH687" s="267"/>
      <c r="GI687" s="264"/>
      <c r="GJ687" s="264"/>
      <c r="GK687" s="264"/>
      <c r="GL687" s="264"/>
      <c r="HD687" s="267"/>
      <c r="HE687" s="267"/>
      <c r="HF687" s="267"/>
      <c r="HG687" s="267"/>
      <c r="HH687" s="267"/>
      <c r="HI687" s="267"/>
      <c r="HJ687" s="267"/>
      <c r="HK687" s="267"/>
      <c r="HL687" s="267"/>
      <c r="HM687" s="267"/>
      <c r="HN687" s="267"/>
      <c r="HO687" s="267"/>
      <c r="HP687" s="267"/>
      <c r="HQ687" s="267"/>
      <c r="HR687" s="267"/>
      <c r="HS687" s="267"/>
      <c r="HT687" s="267"/>
      <c r="HU687" s="267"/>
      <c r="IH687" s="267"/>
      <c r="IK687" s="267"/>
      <c r="IN687" s="267"/>
      <c r="IQ687" s="267"/>
      <c r="IR687" s="267"/>
      <c r="IS687" s="267"/>
    </row>
    <row r="688" spans="10:253">
      <c r="J688" s="267"/>
      <c r="K688" s="267"/>
      <c r="L688" s="267"/>
      <c r="M688" s="267"/>
      <c r="N688" s="267"/>
      <c r="O688" s="267"/>
      <c r="P688" s="267"/>
      <c r="Q688" s="267"/>
      <c r="S688" s="267"/>
      <c r="T688" s="267"/>
      <c r="U688" s="267"/>
      <c r="V688" s="267"/>
      <c r="W688" s="264"/>
      <c r="Y688" s="267"/>
      <c r="Z688" s="267"/>
      <c r="AA688" s="267"/>
      <c r="AB688" s="267"/>
      <c r="AE688" s="267"/>
      <c r="AF688" s="267"/>
      <c r="AG688" s="267"/>
      <c r="AH688" s="267"/>
      <c r="AK688" s="267"/>
      <c r="AL688" s="267"/>
      <c r="AM688" s="267"/>
      <c r="AN688" s="267"/>
      <c r="AQ688" s="267"/>
      <c r="AR688" s="267"/>
      <c r="AS688" s="267"/>
      <c r="AT688" s="267"/>
      <c r="AW688" s="267"/>
      <c r="AX688" s="267"/>
      <c r="AY688" s="267"/>
      <c r="AZ688" s="267"/>
      <c r="BG688" s="269"/>
      <c r="BM688" s="269"/>
      <c r="BS688" s="269"/>
      <c r="BU688" s="267"/>
      <c r="BY688" s="267"/>
      <c r="CC688" s="267"/>
      <c r="CG688" s="267"/>
      <c r="CS688" s="267"/>
      <c r="CW688" s="270"/>
      <c r="CX688" s="267"/>
      <c r="DC688" s="267"/>
      <c r="DH688" s="267"/>
      <c r="DM688" s="267"/>
      <c r="DR688" s="267"/>
      <c r="DW688" s="267"/>
      <c r="EB688" s="267"/>
      <c r="EG688" s="267"/>
      <c r="EL688" s="267"/>
      <c r="EQ688" s="267"/>
      <c r="EU688" s="270"/>
      <c r="EV688" s="267"/>
      <c r="FC688" s="267"/>
      <c r="FD688" s="267"/>
      <c r="FE688" s="267"/>
      <c r="FF688" s="267"/>
      <c r="FG688" s="267"/>
      <c r="FL688" s="267"/>
      <c r="FM688" s="267"/>
      <c r="FN688" s="267"/>
      <c r="FO688" s="267"/>
      <c r="FP688" s="267"/>
      <c r="FQ688" s="264"/>
      <c r="FR688" s="264"/>
      <c r="FS688" s="264"/>
      <c r="FT688" s="264"/>
      <c r="FU688" s="267"/>
      <c r="FV688" s="267"/>
      <c r="FW688" s="267"/>
      <c r="FX688" s="267"/>
      <c r="FY688" s="267"/>
      <c r="GD688" s="267"/>
      <c r="GE688" s="267"/>
      <c r="GF688" s="267"/>
      <c r="GG688" s="267"/>
      <c r="GH688" s="267"/>
      <c r="GI688" s="264"/>
      <c r="GJ688" s="264"/>
      <c r="GK688" s="264"/>
      <c r="GL688" s="264"/>
      <c r="HD688" s="267"/>
      <c r="HE688" s="267"/>
      <c r="HF688" s="267"/>
      <c r="HG688" s="267"/>
      <c r="HH688" s="267"/>
      <c r="HI688" s="267"/>
      <c r="HJ688" s="267"/>
      <c r="HK688" s="267"/>
      <c r="HL688" s="267"/>
      <c r="HM688" s="267"/>
      <c r="HN688" s="267"/>
      <c r="HO688" s="267"/>
      <c r="HP688" s="267"/>
      <c r="HQ688" s="267"/>
      <c r="HR688" s="267"/>
      <c r="HS688" s="267"/>
      <c r="HT688" s="267"/>
      <c r="HU688" s="267"/>
      <c r="IH688" s="267"/>
      <c r="IK688" s="267"/>
      <c r="IN688" s="267"/>
      <c r="IQ688" s="267"/>
      <c r="IR688" s="267"/>
      <c r="IS688" s="267"/>
    </row>
    <row r="689" spans="10:253">
      <c r="J689" s="267"/>
      <c r="K689" s="267"/>
      <c r="L689" s="267"/>
      <c r="M689" s="267"/>
      <c r="N689" s="267"/>
      <c r="O689" s="267"/>
      <c r="P689" s="267"/>
      <c r="Q689" s="267"/>
      <c r="S689" s="267"/>
      <c r="T689" s="267"/>
      <c r="U689" s="267"/>
      <c r="V689" s="267"/>
      <c r="W689" s="264"/>
      <c r="Y689" s="267"/>
      <c r="Z689" s="267"/>
      <c r="AA689" s="267"/>
      <c r="AB689" s="267"/>
      <c r="AE689" s="267"/>
      <c r="AF689" s="267"/>
      <c r="AG689" s="267"/>
      <c r="AH689" s="267"/>
      <c r="AK689" s="267"/>
      <c r="AL689" s="267"/>
      <c r="AM689" s="267"/>
      <c r="AN689" s="267"/>
      <c r="AQ689" s="267"/>
      <c r="AR689" s="267"/>
      <c r="AS689" s="267"/>
      <c r="AT689" s="267"/>
      <c r="AW689" s="267"/>
      <c r="AX689" s="267"/>
      <c r="AY689" s="267"/>
      <c r="AZ689" s="267"/>
      <c r="BG689" s="269"/>
      <c r="BM689" s="269"/>
      <c r="BS689" s="269"/>
      <c r="BU689" s="267"/>
      <c r="BY689" s="267"/>
      <c r="CC689" s="267"/>
      <c r="CG689" s="267"/>
      <c r="CS689" s="267"/>
      <c r="CW689" s="270"/>
      <c r="CX689" s="267"/>
      <c r="DC689" s="267"/>
      <c r="DH689" s="267"/>
      <c r="DM689" s="267"/>
      <c r="DR689" s="267"/>
      <c r="DW689" s="267"/>
      <c r="EB689" s="267"/>
      <c r="EG689" s="267"/>
      <c r="EL689" s="267"/>
      <c r="EQ689" s="267"/>
      <c r="EU689" s="270"/>
      <c r="EV689" s="267"/>
      <c r="FC689" s="267"/>
      <c r="FD689" s="267"/>
      <c r="FE689" s="267"/>
      <c r="FF689" s="267"/>
      <c r="FG689" s="267"/>
      <c r="FL689" s="267"/>
      <c r="FM689" s="267"/>
      <c r="FN689" s="267"/>
      <c r="FO689" s="267"/>
      <c r="FP689" s="267"/>
      <c r="FQ689" s="264"/>
      <c r="FR689" s="264"/>
      <c r="FS689" s="264"/>
      <c r="FT689" s="264"/>
      <c r="FU689" s="267"/>
      <c r="FV689" s="267"/>
      <c r="FW689" s="267"/>
      <c r="FX689" s="267"/>
      <c r="FY689" s="267"/>
      <c r="GD689" s="267"/>
      <c r="GE689" s="267"/>
      <c r="GF689" s="267"/>
      <c r="GG689" s="267"/>
      <c r="GH689" s="267"/>
      <c r="GI689" s="264"/>
      <c r="GJ689" s="264"/>
      <c r="GK689" s="264"/>
      <c r="GL689" s="264"/>
      <c r="HD689" s="267"/>
      <c r="HE689" s="267"/>
      <c r="HF689" s="267"/>
      <c r="HG689" s="267"/>
      <c r="HH689" s="267"/>
      <c r="HI689" s="267"/>
      <c r="HJ689" s="267"/>
      <c r="HK689" s="267"/>
      <c r="HL689" s="267"/>
      <c r="HM689" s="267"/>
      <c r="HN689" s="267"/>
      <c r="HO689" s="267"/>
      <c r="HP689" s="267"/>
      <c r="HQ689" s="267"/>
      <c r="HR689" s="267"/>
      <c r="HS689" s="267"/>
      <c r="HT689" s="267"/>
      <c r="HU689" s="267"/>
      <c r="IH689" s="267"/>
      <c r="IK689" s="267"/>
      <c r="IN689" s="267"/>
      <c r="IQ689" s="267"/>
      <c r="IR689" s="267"/>
      <c r="IS689" s="267"/>
    </row>
    <row r="690" spans="10:253">
      <c r="J690" s="267"/>
      <c r="K690" s="267"/>
      <c r="L690" s="267"/>
      <c r="M690" s="267"/>
      <c r="N690" s="267"/>
      <c r="O690" s="267"/>
      <c r="P690" s="267"/>
      <c r="Q690" s="267"/>
      <c r="S690" s="267"/>
      <c r="T690" s="267"/>
      <c r="U690" s="267"/>
      <c r="V690" s="267"/>
      <c r="W690" s="264"/>
      <c r="Y690" s="267"/>
      <c r="Z690" s="267"/>
      <c r="AA690" s="267"/>
      <c r="AB690" s="267"/>
      <c r="AE690" s="267"/>
      <c r="AF690" s="267"/>
      <c r="AG690" s="267"/>
      <c r="AH690" s="267"/>
      <c r="AK690" s="267"/>
      <c r="AL690" s="267"/>
      <c r="AM690" s="267"/>
      <c r="AN690" s="267"/>
      <c r="AQ690" s="267"/>
      <c r="AR690" s="267"/>
      <c r="AS690" s="267"/>
      <c r="AT690" s="267"/>
      <c r="AW690" s="267"/>
      <c r="AX690" s="267"/>
      <c r="AY690" s="267"/>
      <c r="AZ690" s="267"/>
      <c r="BG690" s="269"/>
      <c r="BM690" s="269"/>
      <c r="BS690" s="269"/>
      <c r="BU690" s="267"/>
      <c r="BY690" s="267"/>
      <c r="CC690" s="267"/>
      <c r="CG690" s="267"/>
      <c r="CS690" s="267"/>
      <c r="CW690" s="270"/>
      <c r="CX690" s="267"/>
      <c r="DC690" s="267"/>
      <c r="DH690" s="267"/>
      <c r="DM690" s="267"/>
      <c r="DR690" s="267"/>
      <c r="DW690" s="267"/>
      <c r="EB690" s="267"/>
      <c r="EG690" s="267"/>
      <c r="EL690" s="267"/>
      <c r="EQ690" s="267"/>
      <c r="EU690" s="270"/>
      <c r="EV690" s="267"/>
      <c r="FC690" s="267"/>
      <c r="FD690" s="267"/>
      <c r="FE690" s="267"/>
      <c r="FF690" s="267"/>
      <c r="FG690" s="267"/>
      <c r="FL690" s="267"/>
      <c r="FM690" s="267"/>
      <c r="FN690" s="267"/>
      <c r="FO690" s="267"/>
      <c r="FP690" s="267"/>
      <c r="FQ690" s="264"/>
      <c r="FR690" s="264"/>
      <c r="FS690" s="264"/>
      <c r="FT690" s="264"/>
      <c r="FU690" s="267"/>
      <c r="FV690" s="267"/>
      <c r="FW690" s="267"/>
      <c r="FX690" s="267"/>
      <c r="FY690" s="267"/>
      <c r="GD690" s="267"/>
      <c r="GE690" s="267"/>
      <c r="GF690" s="267"/>
      <c r="GG690" s="267"/>
      <c r="GH690" s="267"/>
      <c r="GI690" s="264"/>
      <c r="GJ690" s="264"/>
      <c r="GK690" s="264"/>
      <c r="GL690" s="264"/>
      <c r="HD690" s="267"/>
      <c r="HE690" s="267"/>
      <c r="HF690" s="267"/>
      <c r="HG690" s="267"/>
      <c r="HH690" s="267"/>
      <c r="HI690" s="267"/>
      <c r="HJ690" s="267"/>
      <c r="HK690" s="267"/>
      <c r="HL690" s="267"/>
      <c r="HM690" s="267"/>
      <c r="HN690" s="267"/>
      <c r="HO690" s="267"/>
      <c r="HP690" s="267"/>
      <c r="HQ690" s="267"/>
      <c r="HR690" s="267"/>
      <c r="HS690" s="267"/>
      <c r="HT690" s="267"/>
      <c r="HU690" s="267"/>
      <c r="IH690" s="267"/>
      <c r="IK690" s="267"/>
      <c r="IN690" s="267"/>
      <c r="IQ690" s="267"/>
      <c r="IR690" s="267"/>
      <c r="IS690" s="267"/>
    </row>
    <row r="691" spans="10:253">
      <c r="J691" s="267"/>
      <c r="K691" s="267"/>
      <c r="L691" s="267"/>
      <c r="M691" s="267"/>
      <c r="N691" s="267"/>
      <c r="O691" s="267"/>
      <c r="P691" s="267"/>
      <c r="Q691" s="267"/>
      <c r="S691" s="267"/>
      <c r="T691" s="267"/>
      <c r="U691" s="267"/>
      <c r="V691" s="267"/>
      <c r="W691" s="264"/>
      <c r="Y691" s="267"/>
      <c r="Z691" s="267"/>
      <c r="AA691" s="267"/>
      <c r="AB691" s="267"/>
      <c r="AE691" s="267"/>
      <c r="AF691" s="267"/>
      <c r="AG691" s="267"/>
      <c r="AH691" s="267"/>
      <c r="AK691" s="267"/>
      <c r="AL691" s="267"/>
      <c r="AM691" s="267"/>
      <c r="AN691" s="267"/>
      <c r="AQ691" s="267"/>
      <c r="AR691" s="267"/>
      <c r="AS691" s="267"/>
      <c r="AT691" s="267"/>
      <c r="AW691" s="267"/>
      <c r="AX691" s="267"/>
      <c r="AY691" s="267"/>
      <c r="AZ691" s="267"/>
      <c r="BG691" s="269"/>
      <c r="BM691" s="269"/>
      <c r="BS691" s="269"/>
      <c r="BU691" s="267"/>
      <c r="BY691" s="267"/>
      <c r="CC691" s="267"/>
      <c r="CG691" s="267"/>
      <c r="CS691" s="267"/>
      <c r="CW691" s="270"/>
      <c r="CX691" s="267"/>
      <c r="DC691" s="267"/>
      <c r="DH691" s="267"/>
      <c r="DM691" s="267"/>
      <c r="DR691" s="267"/>
      <c r="DW691" s="267"/>
      <c r="EB691" s="267"/>
      <c r="EG691" s="267"/>
      <c r="EL691" s="267"/>
      <c r="EQ691" s="267"/>
      <c r="EU691" s="270"/>
      <c r="EV691" s="267"/>
      <c r="FC691" s="267"/>
      <c r="FD691" s="267"/>
      <c r="FE691" s="267"/>
      <c r="FF691" s="267"/>
      <c r="FG691" s="267"/>
      <c r="FL691" s="267"/>
      <c r="FM691" s="267"/>
      <c r="FN691" s="267"/>
      <c r="FO691" s="267"/>
      <c r="FP691" s="267"/>
      <c r="FQ691" s="264"/>
      <c r="FR691" s="264"/>
      <c r="FS691" s="264"/>
      <c r="FT691" s="264"/>
      <c r="FU691" s="267"/>
      <c r="FV691" s="267"/>
      <c r="FW691" s="267"/>
      <c r="FX691" s="267"/>
      <c r="FY691" s="267"/>
      <c r="GD691" s="267"/>
      <c r="GE691" s="267"/>
      <c r="GF691" s="267"/>
      <c r="GG691" s="267"/>
      <c r="GH691" s="267"/>
      <c r="GI691" s="264"/>
      <c r="GJ691" s="264"/>
      <c r="GK691" s="264"/>
      <c r="GL691" s="264"/>
      <c r="HD691" s="267"/>
      <c r="HE691" s="267"/>
      <c r="HF691" s="267"/>
      <c r="HG691" s="267"/>
      <c r="HH691" s="267"/>
      <c r="HI691" s="267"/>
      <c r="HJ691" s="267"/>
      <c r="HK691" s="267"/>
      <c r="HL691" s="267"/>
      <c r="HM691" s="267"/>
      <c r="HN691" s="267"/>
      <c r="HO691" s="267"/>
      <c r="HP691" s="267"/>
      <c r="HQ691" s="267"/>
      <c r="HR691" s="267"/>
      <c r="HS691" s="267"/>
      <c r="HT691" s="267"/>
      <c r="HU691" s="267"/>
      <c r="IH691" s="267"/>
      <c r="IK691" s="267"/>
      <c r="IN691" s="267"/>
      <c r="IQ691" s="267"/>
      <c r="IR691" s="267"/>
      <c r="IS691" s="267"/>
    </row>
    <row r="692" spans="10:253">
      <c r="J692" s="267"/>
      <c r="K692" s="267"/>
      <c r="L692" s="267"/>
      <c r="M692" s="267"/>
      <c r="N692" s="267"/>
      <c r="O692" s="267"/>
      <c r="P692" s="267"/>
      <c r="Q692" s="267"/>
      <c r="S692" s="267"/>
      <c r="T692" s="267"/>
      <c r="U692" s="267"/>
      <c r="V692" s="267"/>
      <c r="W692" s="264"/>
      <c r="Y692" s="267"/>
      <c r="Z692" s="267"/>
      <c r="AA692" s="267"/>
      <c r="AB692" s="267"/>
      <c r="AE692" s="267"/>
      <c r="AF692" s="267"/>
      <c r="AG692" s="267"/>
      <c r="AH692" s="267"/>
      <c r="AK692" s="267"/>
      <c r="AL692" s="267"/>
      <c r="AM692" s="267"/>
      <c r="AN692" s="267"/>
      <c r="AQ692" s="267"/>
      <c r="AR692" s="267"/>
      <c r="AS692" s="267"/>
      <c r="AT692" s="267"/>
      <c r="AW692" s="267"/>
      <c r="AX692" s="267"/>
      <c r="AY692" s="267"/>
      <c r="AZ692" s="267"/>
      <c r="BG692" s="269"/>
      <c r="BM692" s="269"/>
      <c r="BS692" s="269"/>
      <c r="BU692" s="267"/>
      <c r="BY692" s="267"/>
      <c r="CC692" s="267"/>
      <c r="CG692" s="267"/>
      <c r="CS692" s="267"/>
      <c r="CW692" s="270"/>
      <c r="CX692" s="267"/>
      <c r="DC692" s="267"/>
      <c r="DH692" s="267"/>
      <c r="DM692" s="267"/>
      <c r="DR692" s="267"/>
      <c r="DW692" s="267"/>
      <c r="EB692" s="267"/>
      <c r="EG692" s="267"/>
      <c r="EL692" s="267"/>
      <c r="EQ692" s="267"/>
      <c r="EU692" s="270"/>
      <c r="EV692" s="267"/>
      <c r="FC692" s="267"/>
      <c r="FD692" s="267"/>
      <c r="FE692" s="267"/>
      <c r="FF692" s="267"/>
      <c r="FG692" s="267"/>
      <c r="FL692" s="267"/>
      <c r="FM692" s="267"/>
      <c r="FN692" s="267"/>
      <c r="FO692" s="267"/>
      <c r="FP692" s="267"/>
      <c r="FQ692" s="264"/>
      <c r="FR692" s="264"/>
      <c r="FS692" s="264"/>
      <c r="FT692" s="264"/>
      <c r="FU692" s="267"/>
      <c r="FV692" s="267"/>
      <c r="FW692" s="267"/>
      <c r="FX692" s="267"/>
      <c r="FY692" s="267"/>
      <c r="GD692" s="267"/>
      <c r="GE692" s="267"/>
      <c r="GF692" s="267"/>
      <c r="GG692" s="267"/>
      <c r="GH692" s="267"/>
      <c r="GI692" s="264"/>
      <c r="GJ692" s="264"/>
      <c r="GK692" s="264"/>
      <c r="GL692" s="264"/>
      <c r="HD692" s="267"/>
      <c r="HE692" s="267"/>
      <c r="HF692" s="267"/>
      <c r="HG692" s="267"/>
      <c r="HH692" s="267"/>
      <c r="HI692" s="267"/>
      <c r="HJ692" s="267"/>
      <c r="HK692" s="267"/>
      <c r="HL692" s="267"/>
      <c r="HM692" s="267"/>
      <c r="HN692" s="267"/>
      <c r="HO692" s="267"/>
      <c r="HP692" s="267"/>
      <c r="HQ692" s="267"/>
      <c r="HR692" s="267"/>
      <c r="HS692" s="267"/>
      <c r="HT692" s="267"/>
      <c r="HU692" s="267"/>
      <c r="IH692" s="267"/>
      <c r="IK692" s="267"/>
      <c r="IN692" s="267"/>
      <c r="IQ692" s="267"/>
      <c r="IR692" s="267"/>
      <c r="IS692" s="267"/>
    </row>
    <row r="693" spans="10:253">
      <c r="J693" s="267"/>
      <c r="K693" s="267"/>
      <c r="L693" s="267"/>
      <c r="M693" s="267"/>
      <c r="N693" s="267"/>
      <c r="O693" s="267"/>
      <c r="P693" s="267"/>
      <c r="Q693" s="267"/>
      <c r="S693" s="267"/>
      <c r="T693" s="267"/>
      <c r="U693" s="267"/>
      <c r="V693" s="267"/>
      <c r="W693" s="264"/>
      <c r="Y693" s="267"/>
      <c r="Z693" s="267"/>
      <c r="AA693" s="267"/>
      <c r="AB693" s="267"/>
      <c r="AE693" s="267"/>
      <c r="AF693" s="267"/>
      <c r="AG693" s="267"/>
      <c r="AH693" s="267"/>
      <c r="AK693" s="267"/>
      <c r="AL693" s="267"/>
      <c r="AM693" s="267"/>
      <c r="AN693" s="267"/>
      <c r="AQ693" s="267"/>
      <c r="AR693" s="267"/>
      <c r="AS693" s="267"/>
      <c r="AT693" s="267"/>
      <c r="AW693" s="267"/>
      <c r="AX693" s="267"/>
      <c r="AY693" s="267"/>
      <c r="AZ693" s="267"/>
      <c r="BG693" s="269"/>
      <c r="BM693" s="269"/>
      <c r="BS693" s="269"/>
      <c r="BU693" s="267"/>
      <c r="BY693" s="267"/>
      <c r="CC693" s="267"/>
      <c r="CG693" s="267"/>
      <c r="CS693" s="267"/>
      <c r="CW693" s="270"/>
      <c r="CX693" s="267"/>
      <c r="DC693" s="267"/>
      <c r="DH693" s="267"/>
      <c r="DM693" s="267"/>
      <c r="DR693" s="267"/>
      <c r="DW693" s="267"/>
      <c r="EB693" s="267"/>
      <c r="EG693" s="267"/>
      <c r="EL693" s="267"/>
      <c r="EQ693" s="267"/>
      <c r="EU693" s="270"/>
      <c r="EV693" s="267"/>
      <c r="FC693" s="267"/>
      <c r="FD693" s="267"/>
      <c r="FE693" s="267"/>
      <c r="FF693" s="267"/>
      <c r="FG693" s="267"/>
      <c r="FL693" s="267"/>
      <c r="FM693" s="267"/>
      <c r="FN693" s="267"/>
      <c r="FO693" s="267"/>
      <c r="FP693" s="267"/>
      <c r="FQ693" s="264"/>
      <c r="FR693" s="264"/>
      <c r="FS693" s="264"/>
      <c r="FT693" s="264"/>
      <c r="FU693" s="267"/>
      <c r="FV693" s="267"/>
      <c r="FW693" s="267"/>
      <c r="FX693" s="267"/>
      <c r="FY693" s="267"/>
      <c r="GD693" s="267"/>
      <c r="GE693" s="267"/>
      <c r="GF693" s="267"/>
      <c r="GG693" s="267"/>
      <c r="GH693" s="267"/>
      <c r="GI693" s="264"/>
      <c r="GJ693" s="264"/>
      <c r="GK693" s="264"/>
      <c r="GL693" s="264"/>
      <c r="HD693" s="267"/>
      <c r="HE693" s="267"/>
      <c r="HF693" s="267"/>
      <c r="HG693" s="267"/>
      <c r="HH693" s="267"/>
      <c r="HI693" s="267"/>
      <c r="HJ693" s="267"/>
      <c r="HK693" s="267"/>
      <c r="HL693" s="267"/>
      <c r="HM693" s="267"/>
      <c r="HN693" s="267"/>
      <c r="HO693" s="267"/>
      <c r="HP693" s="267"/>
      <c r="HQ693" s="267"/>
      <c r="HR693" s="267"/>
      <c r="HS693" s="267"/>
      <c r="HT693" s="267"/>
      <c r="HU693" s="267"/>
      <c r="IH693" s="267"/>
      <c r="IK693" s="267"/>
      <c r="IN693" s="267"/>
      <c r="IQ693" s="267"/>
      <c r="IR693" s="267"/>
      <c r="IS693" s="267"/>
    </row>
    <row r="694" spans="10:253">
      <c r="J694" s="267"/>
      <c r="K694" s="267"/>
      <c r="L694" s="267"/>
      <c r="M694" s="267"/>
      <c r="N694" s="267"/>
      <c r="O694" s="267"/>
      <c r="P694" s="267"/>
      <c r="Q694" s="267"/>
      <c r="S694" s="267"/>
      <c r="T694" s="267"/>
      <c r="U694" s="267"/>
      <c r="V694" s="267"/>
      <c r="W694" s="264"/>
      <c r="Y694" s="267"/>
      <c r="Z694" s="267"/>
      <c r="AA694" s="267"/>
      <c r="AB694" s="267"/>
      <c r="AE694" s="267"/>
      <c r="AF694" s="267"/>
      <c r="AG694" s="267"/>
      <c r="AH694" s="267"/>
      <c r="AK694" s="267"/>
      <c r="AL694" s="267"/>
      <c r="AM694" s="267"/>
      <c r="AN694" s="267"/>
      <c r="AQ694" s="267"/>
      <c r="AR694" s="267"/>
      <c r="AS694" s="267"/>
      <c r="AT694" s="267"/>
      <c r="AW694" s="267"/>
      <c r="AX694" s="267"/>
      <c r="AY694" s="267"/>
      <c r="AZ694" s="267"/>
      <c r="BG694" s="269"/>
      <c r="BM694" s="269"/>
      <c r="BS694" s="269"/>
      <c r="BU694" s="267"/>
      <c r="BY694" s="267"/>
      <c r="CC694" s="267"/>
      <c r="CG694" s="267"/>
      <c r="CS694" s="267"/>
      <c r="CW694" s="270"/>
      <c r="CX694" s="267"/>
      <c r="DC694" s="267"/>
      <c r="DH694" s="267"/>
      <c r="DM694" s="267"/>
      <c r="DR694" s="267"/>
      <c r="DW694" s="267"/>
      <c r="EB694" s="267"/>
      <c r="EG694" s="267"/>
      <c r="EL694" s="267"/>
      <c r="EQ694" s="267"/>
      <c r="EU694" s="270"/>
      <c r="EV694" s="267"/>
      <c r="FC694" s="267"/>
      <c r="FD694" s="267"/>
      <c r="FE694" s="267"/>
      <c r="FF694" s="267"/>
      <c r="FG694" s="267"/>
      <c r="FL694" s="267"/>
      <c r="FM694" s="267"/>
      <c r="FN694" s="267"/>
      <c r="FO694" s="267"/>
      <c r="FP694" s="267"/>
      <c r="FQ694" s="264"/>
      <c r="FR694" s="264"/>
      <c r="FS694" s="264"/>
      <c r="FT694" s="264"/>
      <c r="FU694" s="267"/>
      <c r="FV694" s="267"/>
      <c r="FW694" s="267"/>
      <c r="FX694" s="267"/>
      <c r="FY694" s="267"/>
      <c r="GD694" s="267"/>
      <c r="GE694" s="267"/>
      <c r="GF694" s="267"/>
      <c r="GG694" s="267"/>
      <c r="GH694" s="267"/>
      <c r="GI694" s="264"/>
      <c r="GJ694" s="264"/>
      <c r="GK694" s="264"/>
      <c r="GL694" s="264"/>
      <c r="HD694" s="267"/>
      <c r="HE694" s="267"/>
      <c r="HF694" s="267"/>
      <c r="HG694" s="267"/>
      <c r="HH694" s="267"/>
      <c r="HI694" s="267"/>
      <c r="HJ694" s="267"/>
      <c r="HK694" s="267"/>
      <c r="HL694" s="267"/>
      <c r="HM694" s="267"/>
      <c r="HN694" s="267"/>
      <c r="HO694" s="267"/>
      <c r="HP694" s="267"/>
      <c r="HQ694" s="267"/>
      <c r="HR694" s="267"/>
      <c r="HS694" s="267"/>
      <c r="HT694" s="267"/>
      <c r="HU694" s="267"/>
      <c r="IH694" s="267"/>
      <c r="IK694" s="267"/>
      <c r="IN694" s="267"/>
      <c r="IQ694" s="267"/>
      <c r="IR694" s="267"/>
      <c r="IS694" s="267"/>
    </row>
    <row r="695" spans="10:253">
      <c r="J695" s="267"/>
      <c r="K695" s="267"/>
      <c r="L695" s="267"/>
      <c r="M695" s="267"/>
      <c r="N695" s="267"/>
      <c r="O695" s="267"/>
      <c r="P695" s="267"/>
      <c r="Q695" s="267"/>
      <c r="S695" s="267"/>
      <c r="T695" s="267"/>
      <c r="U695" s="267"/>
      <c r="V695" s="267"/>
      <c r="W695" s="264"/>
      <c r="Y695" s="267"/>
      <c r="Z695" s="267"/>
      <c r="AA695" s="267"/>
      <c r="AB695" s="267"/>
      <c r="AE695" s="267"/>
      <c r="AF695" s="267"/>
      <c r="AG695" s="267"/>
      <c r="AH695" s="267"/>
      <c r="AK695" s="267"/>
      <c r="AL695" s="267"/>
      <c r="AM695" s="267"/>
      <c r="AN695" s="267"/>
      <c r="AQ695" s="267"/>
      <c r="AR695" s="267"/>
      <c r="AS695" s="267"/>
      <c r="AT695" s="267"/>
      <c r="AW695" s="267"/>
      <c r="AX695" s="267"/>
      <c r="AY695" s="267"/>
      <c r="AZ695" s="267"/>
      <c r="BG695" s="269"/>
      <c r="BM695" s="269"/>
      <c r="BS695" s="269"/>
      <c r="BU695" s="267"/>
      <c r="BY695" s="267"/>
      <c r="CC695" s="267"/>
      <c r="CG695" s="267"/>
      <c r="CS695" s="267"/>
      <c r="CW695" s="270"/>
      <c r="CX695" s="267"/>
      <c r="DC695" s="267"/>
      <c r="DH695" s="267"/>
      <c r="DM695" s="267"/>
      <c r="DR695" s="267"/>
      <c r="DW695" s="267"/>
      <c r="EB695" s="267"/>
      <c r="EG695" s="267"/>
      <c r="EL695" s="267"/>
      <c r="EQ695" s="267"/>
      <c r="EU695" s="270"/>
      <c r="EV695" s="267"/>
      <c r="FC695" s="267"/>
      <c r="FD695" s="267"/>
      <c r="FE695" s="267"/>
      <c r="FF695" s="267"/>
      <c r="FG695" s="267"/>
      <c r="FL695" s="267"/>
      <c r="FM695" s="267"/>
      <c r="FN695" s="267"/>
      <c r="FO695" s="267"/>
      <c r="FP695" s="267"/>
      <c r="FQ695" s="264"/>
      <c r="FR695" s="264"/>
      <c r="FS695" s="264"/>
      <c r="FT695" s="264"/>
      <c r="FU695" s="267"/>
      <c r="FV695" s="267"/>
      <c r="FW695" s="267"/>
      <c r="FX695" s="267"/>
      <c r="FY695" s="267"/>
      <c r="GD695" s="267"/>
      <c r="GE695" s="267"/>
      <c r="GF695" s="267"/>
      <c r="GG695" s="267"/>
      <c r="GH695" s="267"/>
      <c r="GI695" s="264"/>
      <c r="GJ695" s="264"/>
      <c r="GK695" s="264"/>
      <c r="GL695" s="264"/>
      <c r="HD695" s="267"/>
      <c r="HE695" s="267"/>
      <c r="HF695" s="267"/>
      <c r="HG695" s="267"/>
      <c r="HH695" s="267"/>
      <c r="HI695" s="267"/>
      <c r="HJ695" s="267"/>
      <c r="HK695" s="267"/>
      <c r="HL695" s="267"/>
      <c r="HM695" s="267"/>
      <c r="HN695" s="267"/>
      <c r="HO695" s="267"/>
      <c r="HP695" s="267"/>
      <c r="HQ695" s="267"/>
      <c r="HR695" s="267"/>
      <c r="HS695" s="267"/>
      <c r="HT695" s="267"/>
      <c r="HU695" s="267"/>
      <c r="IH695" s="267"/>
      <c r="IK695" s="267"/>
      <c r="IN695" s="267"/>
      <c r="IQ695" s="267"/>
      <c r="IR695" s="267"/>
      <c r="IS695" s="267"/>
    </row>
    <row r="696" spans="10:253">
      <c r="J696" s="267"/>
      <c r="K696" s="267"/>
      <c r="L696" s="267"/>
      <c r="M696" s="267"/>
      <c r="N696" s="267"/>
      <c r="O696" s="267"/>
      <c r="P696" s="267"/>
      <c r="Q696" s="267"/>
      <c r="S696" s="267"/>
      <c r="T696" s="267"/>
      <c r="U696" s="267"/>
      <c r="V696" s="267"/>
      <c r="W696" s="264"/>
      <c r="Y696" s="267"/>
      <c r="Z696" s="267"/>
      <c r="AA696" s="267"/>
      <c r="AB696" s="267"/>
      <c r="AE696" s="267"/>
      <c r="AF696" s="267"/>
      <c r="AG696" s="267"/>
      <c r="AH696" s="267"/>
      <c r="AK696" s="267"/>
      <c r="AL696" s="267"/>
      <c r="AM696" s="267"/>
      <c r="AN696" s="267"/>
      <c r="AQ696" s="267"/>
      <c r="AR696" s="267"/>
      <c r="AS696" s="267"/>
      <c r="AT696" s="267"/>
      <c r="AW696" s="267"/>
      <c r="AX696" s="267"/>
      <c r="AY696" s="267"/>
      <c r="AZ696" s="267"/>
      <c r="BG696" s="269"/>
      <c r="BM696" s="269"/>
      <c r="BS696" s="269"/>
      <c r="BU696" s="267"/>
      <c r="BY696" s="267"/>
      <c r="CC696" s="267"/>
      <c r="CG696" s="267"/>
      <c r="CS696" s="267"/>
      <c r="CW696" s="270"/>
      <c r="CX696" s="267"/>
      <c r="DC696" s="267"/>
      <c r="DH696" s="267"/>
      <c r="DM696" s="267"/>
      <c r="DR696" s="267"/>
      <c r="DW696" s="267"/>
      <c r="EB696" s="267"/>
      <c r="EG696" s="267"/>
      <c r="EL696" s="267"/>
      <c r="EQ696" s="267"/>
      <c r="EU696" s="270"/>
      <c r="EV696" s="267"/>
      <c r="FC696" s="267"/>
      <c r="FD696" s="267"/>
      <c r="FE696" s="267"/>
      <c r="FF696" s="267"/>
      <c r="FG696" s="267"/>
      <c r="FL696" s="267"/>
      <c r="FM696" s="267"/>
      <c r="FN696" s="267"/>
      <c r="FO696" s="267"/>
      <c r="FP696" s="267"/>
      <c r="FQ696" s="264"/>
      <c r="FR696" s="264"/>
      <c r="FS696" s="264"/>
      <c r="FT696" s="264"/>
      <c r="FU696" s="267"/>
      <c r="FV696" s="267"/>
      <c r="FW696" s="267"/>
      <c r="FX696" s="267"/>
      <c r="FY696" s="267"/>
      <c r="GD696" s="267"/>
      <c r="GE696" s="267"/>
      <c r="GF696" s="267"/>
      <c r="GG696" s="267"/>
      <c r="GH696" s="267"/>
      <c r="GI696" s="264"/>
      <c r="GJ696" s="264"/>
      <c r="GK696" s="264"/>
      <c r="GL696" s="264"/>
      <c r="HD696" s="267"/>
      <c r="HE696" s="267"/>
      <c r="HF696" s="267"/>
      <c r="HG696" s="267"/>
      <c r="HH696" s="267"/>
      <c r="HI696" s="267"/>
      <c r="HJ696" s="267"/>
      <c r="HK696" s="267"/>
      <c r="HL696" s="267"/>
      <c r="HM696" s="267"/>
      <c r="HN696" s="267"/>
      <c r="HO696" s="267"/>
      <c r="HP696" s="267"/>
      <c r="HQ696" s="267"/>
      <c r="HR696" s="267"/>
      <c r="HS696" s="267"/>
      <c r="HT696" s="267"/>
      <c r="HU696" s="267"/>
      <c r="IH696" s="267"/>
      <c r="IK696" s="267"/>
      <c r="IN696" s="267"/>
      <c r="IQ696" s="267"/>
      <c r="IR696" s="267"/>
      <c r="IS696" s="267"/>
    </row>
    <row r="697" spans="10:253">
      <c r="J697" s="267"/>
      <c r="K697" s="267"/>
      <c r="L697" s="267"/>
      <c r="M697" s="267"/>
      <c r="N697" s="267"/>
      <c r="O697" s="267"/>
      <c r="P697" s="267"/>
      <c r="Q697" s="267"/>
      <c r="S697" s="267"/>
      <c r="T697" s="267"/>
      <c r="U697" s="267"/>
      <c r="V697" s="267"/>
      <c r="W697" s="264"/>
      <c r="Y697" s="267"/>
      <c r="Z697" s="267"/>
      <c r="AA697" s="267"/>
      <c r="AB697" s="267"/>
      <c r="AE697" s="267"/>
      <c r="AF697" s="267"/>
      <c r="AG697" s="267"/>
      <c r="AH697" s="267"/>
      <c r="AK697" s="267"/>
      <c r="AL697" s="267"/>
      <c r="AM697" s="267"/>
      <c r="AN697" s="267"/>
      <c r="AQ697" s="267"/>
      <c r="AR697" s="267"/>
      <c r="AS697" s="267"/>
      <c r="AT697" s="267"/>
      <c r="AW697" s="267"/>
      <c r="AX697" s="267"/>
      <c r="AY697" s="267"/>
      <c r="AZ697" s="267"/>
      <c r="BG697" s="269"/>
      <c r="BM697" s="269"/>
      <c r="BS697" s="269"/>
      <c r="BU697" s="267"/>
      <c r="BY697" s="267"/>
      <c r="CC697" s="267"/>
      <c r="CG697" s="267"/>
      <c r="CS697" s="267"/>
      <c r="CW697" s="270"/>
      <c r="CX697" s="267"/>
      <c r="DC697" s="267"/>
      <c r="DH697" s="267"/>
      <c r="DM697" s="267"/>
      <c r="DR697" s="267"/>
      <c r="DW697" s="267"/>
      <c r="EB697" s="267"/>
      <c r="EG697" s="267"/>
      <c r="EL697" s="267"/>
      <c r="EQ697" s="267"/>
      <c r="EU697" s="270"/>
      <c r="EV697" s="267"/>
      <c r="FC697" s="267"/>
      <c r="FD697" s="267"/>
      <c r="FE697" s="267"/>
      <c r="FF697" s="267"/>
      <c r="FG697" s="267"/>
      <c r="FL697" s="267"/>
      <c r="FM697" s="267"/>
      <c r="FN697" s="267"/>
      <c r="FO697" s="267"/>
      <c r="FP697" s="267"/>
      <c r="FQ697" s="264"/>
      <c r="FR697" s="264"/>
      <c r="FS697" s="264"/>
      <c r="FT697" s="264"/>
      <c r="FU697" s="267"/>
      <c r="FV697" s="267"/>
      <c r="FW697" s="267"/>
      <c r="FX697" s="267"/>
      <c r="FY697" s="267"/>
      <c r="GD697" s="267"/>
      <c r="GE697" s="267"/>
      <c r="GF697" s="267"/>
      <c r="GG697" s="267"/>
      <c r="GH697" s="267"/>
      <c r="GI697" s="264"/>
      <c r="GJ697" s="264"/>
      <c r="GK697" s="264"/>
      <c r="GL697" s="264"/>
      <c r="HD697" s="267"/>
      <c r="HE697" s="267"/>
      <c r="HF697" s="267"/>
      <c r="HG697" s="267"/>
      <c r="HH697" s="267"/>
      <c r="HI697" s="267"/>
      <c r="HJ697" s="267"/>
      <c r="HK697" s="267"/>
      <c r="HL697" s="267"/>
      <c r="HM697" s="267"/>
      <c r="HN697" s="267"/>
      <c r="HO697" s="267"/>
      <c r="HP697" s="267"/>
      <c r="HQ697" s="267"/>
      <c r="HR697" s="267"/>
      <c r="HS697" s="267"/>
      <c r="HT697" s="267"/>
      <c r="HU697" s="267"/>
      <c r="IH697" s="267"/>
      <c r="IK697" s="267"/>
      <c r="IN697" s="267"/>
      <c r="IQ697" s="267"/>
      <c r="IR697" s="267"/>
      <c r="IS697" s="267"/>
    </row>
    <row r="698" spans="10:253">
      <c r="J698" s="267"/>
      <c r="K698" s="267"/>
      <c r="L698" s="267"/>
      <c r="M698" s="267"/>
      <c r="N698" s="267"/>
      <c r="O698" s="267"/>
      <c r="P698" s="267"/>
      <c r="Q698" s="267"/>
      <c r="S698" s="267"/>
      <c r="T698" s="267"/>
      <c r="U698" s="267"/>
      <c r="V698" s="267"/>
      <c r="W698" s="264"/>
      <c r="Y698" s="267"/>
      <c r="Z698" s="267"/>
      <c r="AA698" s="267"/>
      <c r="AB698" s="267"/>
      <c r="AE698" s="267"/>
      <c r="AF698" s="267"/>
      <c r="AG698" s="267"/>
      <c r="AH698" s="267"/>
      <c r="AK698" s="267"/>
      <c r="AL698" s="267"/>
      <c r="AM698" s="267"/>
      <c r="AN698" s="267"/>
      <c r="AQ698" s="267"/>
      <c r="AR698" s="267"/>
      <c r="AS698" s="267"/>
      <c r="AT698" s="267"/>
      <c r="AW698" s="267"/>
      <c r="AX698" s="267"/>
      <c r="AY698" s="267"/>
      <c r="AZ698" s="267"/>
      <c r="BG698" s="269"/>
      <c r="BM698" s="269"/>
      <c r="BS698" s="269"/>
      <c r="BU698" s="267"/>
      <c r="BY698" s="267"/>
      <c r="CC698" s="267"/>
      <c r="CG698" s="267"/>
      <c r="CS698" s="267"/>
      <c r="CW698" s="270"/>
      <c r="CX698" s="267"/>
      <c r="DC698" s="267"/>
      <c r="DH698" s="267"/>
      <c r="DM698" s="267"/>
      <c r="DR698" s="267"/>
      <c r="DW698" s="267"/>
      <c r="EB698" s="267"/>
      <c r="EG698" s="267"/>
      <c r="EL698" s="267"/>
      <c r="EQ698" s="267"/>
      <c r="EU698" s="270"/>
      <c r="EV698" s="267"/>
      <c r="FC698" s="267"/>
      <c r="FD698" s="267"/>
      <c r="FE698" s="267"/>
      <c r="FF698" s="267"/>
      <c r="FG698" s="267"/>
      <c r="FL698" s="267"/>
      <c r="FM698" s="267"/>
      <c r="FN698" s="267"/>
      <c r="FO698" s="267"/>
      <c r="FP698" s="267"/>
      <c r="FQ698" s="264"/>
      <c r="FR698" s="264"/>
      <c r="FS698" s="264"/>
      <c r="FT698" s="264"/>
      <c r="FU698" s="267"/>
      <c r="FV698" s="267"/>
      <c r="FW698" s="267"/>
      <c r="FX698" s="267"/>
      <c r="FY698" s="267"/>
      <c r="GD698" s="267"/>
      <c r="GE698" s="267"/>
      <c r="GF698" s="267"/>
      <c r="GG698" s="267"/>
      <c r="GH698" s="267"/>
      <c r="GI698" s="264"/>
      <c r="GJ698" s="264"/>
      <c r="GK698" s="264"/>
      <c r="GL698" s="264"/>
      <c r="HD698" s="267"/>
      <c r="HE698" s="267"/>
      <c r="HF698" s="267"/>
      <c r="HG698" s="267"/>
      <c r="HH698" s="267"/>
      <c r="HI698" s="267"/>
      <c r="HJ698" s="267"/>
      <c r="HK698" s="267"/>
      <c r="HL698" s="267"/>
      <c r="HM698" s="267"/>
      <c r="HN698" s="267"/>
      <c r="HO698" s="267"/>
      <c r="HP698" s="267"/>
      <c r="HQ698" s="267"/>
      <c r="HR698" s="267"/>
      <c r="HS698" s="267"/>
      <c r="HT698" s="267"/>
      <c r="HU698" s="267"/>
      <c r="IH698" s="267"/>
      <c r="IK698" s="267"/>
      <c r="IN698" s="267"/>
      <c r="IQ698" s="267"/>
      <c r="IR698" s="267"/>
      <c r="IS698" s="267"/>
    </row>
    <row r="699" spans="10:253">
      <c r="J699" s="267"/>
      <c r="K699" s="267"/>
      <c r="L699" s="267"/>
      <c r="M699" s="267"/>
      <c r="N699" s="267"/>
      <c r="O699" s="267"/>
      <c r="P699" s="267"/>
      <c r="Q699" s="267"/>
      <c r="S699" s="267"/>
      <c r="T699" s="267"/>
      <c r="U699" s="267"/>
      <c r="V699" s="267"/>
      <c r="W699" s="264"/>
      <c r="Y699" s="267"/>
      <c r="Z699" s="267"/>
      <c r="AA699" s="267"/>
      <c r="AB699" s="267"/>
      <c r="AE699" s="267"/>
      <c r="AF699" s="267"/>
      <c r="AG699" s="267"/>
      <c r="AH699" s="267"/>
      <c r="AK699" s="267"/>
      <c r="AL699" s="267"/>
      <c r="AM699" s="267"/>
      <c r="AN699" s="267"/>
      <c r="AQ699" s="267"/>
      <c r="AR699" s="267"/>
      <c r="AS699" s="267"/>
      <c r="AT699" s="267"/>
      <c r="AW699" s="267"/>
      <c r="AX699" s="267"/>
      <c r="AY699" s="267"/>
      <c r="AZ699" s="267"/>
      <c r="BG699" s="269"/>
      <c r="BM699" s="269"/>
      <c r="BS699" s="269"/>
      <c r="BU699" s="267"/>
      <c r="BY699" s="267"/>
      <c r="CC699" s="267"/>
      <c r="CG699" s="267"/>
      <c r="CS699" s="267"/>
      <c r="CW699" s="270"/>
      <c r="CX699" s="267"/>
      <c r="DC699" s="267"/>
      <c r="DH699" s="267"/>
      <c r="DM699" s="267"/>
      <c r="DR699" s="267"/>
      <c r="DW699" s="267"/>
      <c r="EB699" s="267"/>
      <c r="EG699" s="267"/>
      <c r="EL699" s="267"/>
      <c r="EQ699" s="267"/>
      <c r="EU699" s="270"/>
      <c r="EV699" s="267"/>
      <c r="FC699" s="267"/>
      <c r="FD699" s="267"/>
      <c r="FE699" s="267"/>
      <c r="FF699" s="267"/>
      <c r="FG699" s="267"/>
      <c r="FL699" s="267"/>
      <c r="FM699" s="267"/>
      <c r="FN699" s="267"/>
      <c r="FO699" s="267"/>
      <c r="FP699" s="267"/>
      <c r="FQ699" s="264"/>
      <c r="FR699" s="264"/>
      <c r="FS699" s="264"/>
      <c r="FT699" s="264"/>
      <c r="FU699" s="267"/>
      <c r="FV699" s="267"/>
      <c r="FW699" s="267"/>
      <c r="FX699" s="267"/>
      <c r="FY699" s="267"/>
      <c r="GD699" s="267"/>
      <c r="GE699" s="267"/>
      <c r="GF699" s="267"/>
      <c r="GG699" s="267"/>
      <c r="GH699" s="267"/>
      <c r="GI699" s="264"/>
      <c r="GJ699" s="264"/>
      <c r="GK699" s="264"/>
      <c r="GL699" s="264"/>
      <c r="HD699" s="267"/>
      <c r="HE699" s="267"/>
      <c r="HF699" s="267"/>
      <c r="HG699" s="267"/>
      <c r="HH699" s="267"/>
      <c r="HI699" s="267"/>
      <c r="HJ699" s="267"/>
      <c r="HK699" s="267"/>
      <c r="HL699" s="267"/>
      <c r="HM699" s="267"/>
      <c r="HN699" s="267"/>
      <c r="HO699" s="267"/>
      <c r="HP699" s="267"/>
      <c r="HQ699" s="267"/>
      <c r="HR699" s="267"/>
      <c r="HS699" s="267"/>
      <c r="HT699" s="267"/>
      <c r="HU699" s="267"/>
      <c r="IH699" s="267"/>
      <c r="IK699" s="267"/>
      <c r="IN699" s="267"/>
      <c r="IQ699" s="267"/>
      <c r="IR699" s="267"/>
      <c r="IS699" s="267"/>
    </row>
    <row r="700" spans="10:253">
      <c r="J700" s="267"/>
      <c r="K700" s="267"/>
      <c r="L700" s="267"/>
      <c r="M700" s="267"/>
      <c r="N700" s="267"/>
      <c r="O700" s="267"/>
      <c r="P700" s="267"/>
      <c r="Q700" s="267"/>
      <c r="S700" s="267"/>
      <c r="T700" s="267"/>
      <c r="U700" s="267"/>
      <c r="V700" s="267"/>
      <c r="W700" s="264"/>
      <c r="Y700" s="267"/>
      <c r="Z700" s="267"/>
      <c r="AA700" s="267"/>
      <c r="AB700" s="267"/>
      <c r="AE700" s="267"/>
      <c r="AF700" s="267"/>
      <c r="AG700" s="267"/>
      <c r="AH700" s="267"/>
      <c r="AK700" s="267"/>
      <c r="AL700" s="267"/>
      <c r="AM700" s="267"/>
      <c r="AN700" s="267"/>
      <c r="AQ700" s="267"/>
      <c r="AR700" s="267"/>
      <c r="AS700" s="267"/>
      <c r="AT700" s="267"/>
      <c r="AW700" s="267"/>
      <c r="AX700" s="267"/>
      <c r="AY700" s="267"/>
      <c r="AZ700" s="267"/>
      <c r="BG700" s="269"/>
      <c r="BM700" s="269"/>
      <c r="BS700" s="269"/>
      <c r="BU700" s="267"/>
      <c r="BY700" s="267"/>
      <c r="CC700" s="267"/>
      <c r="CG700" s="267"/>
      <c r="CS700" s="267"/>
      <c r="CW700" s="270"/>
      <c r="CX700" s="267"/>
      <c r="DC700" s="267"/>
      <c r="DH700" s="267"/>
      <c r="DM700" s="267"/>
      <c r="DR700" s="267"/>
      <c r="DW700" s="267"/>
      <c r="EB700" s="267"/>
      <c r="EG700" s="267"/>
      <c r="EL700" s="267"/>
      <c r="EQ700" s="267"/>
      <c r="EU700" s="270"/>
      <c r="EV700" s="267"/>
      <c r="FC700" s="267"/>
      <c r="FD700" s="267"/>
      <c r="FE700" s="267"/>
      <c r="FF700" s="267"/>
      <c r="FG700" s="267"/>
      <c r="FL700" s="267"/>
      <c r="FM700" s="267"/>
      <c r="FN700" s="267"/>
      <c r="FO700" s="267"/>
      <c r="FP700" s="267"/>
      <c r="FQ700" s="264"/>
      <c r="FR700" s="264"/>
      <c r="FS700" s="264"/>
      <c r="FT700" s="264"/>
      <c r="FU700" s="267"/>
      <c r="FV700" s="267"/>
      <c r="FW700" s="267"/>
      <c r="FX700" s="267"/>
      <c r="FY700" s="267"/>
      <c r="GD700" s="267"/>
      <c r="GE700" s="267"/>
      <c r="GF700" s="267"/>
      <c r="GG700" s="267"/>
      <c r="GH700" s="267"/>
      <c r="GI700" s="264"/>
      <c r="GJ700" s="264"/>
      <c r="GK700" s="264"/>
      <c r="GL700" s="264"/>
      <c r="HD700" s="267"/>
      <c r="HE700" s="267"/>
      <c r="HF700" s="267"/>
      <c r="HG700" s="267"/>
      <c r="HH700" s="267"/>
      <c r="HI700" s="267"/>
      <c r="HJ700" s="267"/>
      <c r="HK700" s="267"/>
      <c r="HL700" s="267"/>
      <c r="HM700" s="267"/>
      <c r="HN700" s="267"/>
      <c r="HO700" s="267"/>
      <c r="HP700" s="267"/>
      <c r="HQ700" s="267"/>
      <c r="HR700" s="267"/>
      <c r="HS700" s="267"/>
      <c r="HT700" s="267"/>
      <c r="HU700" s="267"/>
      <c r="IH700" s="267"/>
      <c r="IK700" s="267"/>
      <c r="IN700" s="267"/>
      <c r="IQ700" s="267"/>
      <c r="IR700" s="267"/>
      <c r="IS700" s="267"/>
    </row>
    <row r="701" spans="10:253">
      <c r="J701" s="267"/>
      <c r="K701" s="267"/>
      <c r="L701" s="267"/>
      <c r="M701" s="267"/>
      <c r="N701" s="267"/>
      <c r="O701" s="267"/>
      <c r="P701" s="267"/>
      <c r="Q701" s="267"/>
      <c r="S701" s="267"/>
      <c r="T701" s="267"/>
      <c r="U701" s="267"/>
      <c r="V701" s="267"/>
      <c r="W701" s="264"/>
      <c r="Y701" s="267"/>
      <c r="Z701" s="267"/>
      <c r="AA701" s="267"/>
      <c r="AB701" s="267"/>
      <c r="AE701" s="267"/>
      <c r="AF701" s="267"/>
      <c r="AG701" s="267"/>
      <c r="AH701" s="267"/>
      <c r="AK701" s="267"/>
      <c r="AL701" s="267"/>
      <c r="AM701" s="267"/>
      <c r="AN701" s="267"/>
      <c r="AQ701" s="267"/>
      <c r="AR701" s="267"/>
      <c r="AS701" s="267"/>
      <c r="AT701" s="267"/>
      <c r="AW701" s="267"/>
      <c r="AX701" s="267"/>
      <c r="AY701" s="267"/>
      <c r="AZ701" s="267"/>
      <c r="BG701" s="269"/>
      <c r="BM701" s="269"/>
      <c r="BS701" s="269"/>
      <c r="BU701" s="267"/>
      <c r="BY701" s="267"/>
      <c r="CC701" s="267"/>
      <c r="CG701" s="267"/>
      <c r="CS701" s="267"/>
      <c r="CW701" s="270"/>
      <c r="CX701" s="267"/>
      <c r="DC701" s="267"/>
      <c r="DH701" s="267"/>
      <c r="DM701" s="267"/>
      <c r="DR701" s="267"/>
      <c r="DW701" s="267"/>
      <c r="EB701" s="267"/>
      <c r="EG701" s="267"/>
      <c r="EL701" s="267"/>
      <c r="EQ701" s="267"/>
      <c r="EU701" s="270"/>
      <c r="EV701" s="267"/>
      <c r="FC701" s="267"/>
      <c r="FD701" s="267"/>
      <c r="FE701" s="267"/>
      <c r="FF701" s="267"/>
      <c r="FG701" s="267"/>
      <c r="FL701" s="267"/>
      <c r="FM701" s="267"/>
      <c r="FN701" s="267"/>
      <c r="FO701" s="267"/>
      <c r="FP701" s="267"/>
      <c r="FQ701" s="264"/>
      <c r="FR701" s="264"/>
      <c r="FS701" s="264"/>
      <c r="FT701" s="264"/>
      <c r="FU701" s="267"/>
      <c r="FV701" s="267"/>
      <c r="FW701" s="267"/>
      <c r="FX701" s="267"/>
      <c r="FY701" s="267"/>
      <c r="GD701" s="267"/>
      <c r="GE701" s="267"/>
      <c r="GF701" s="267"/>
      <c r="GG701" s="267"/>
      <c r="GH701" s="267"/>
      <c r="GI701" s="264"/>
      <c r="GJ701" s="264"/>
      <c r="GK701" s="264"/>
      <c r="GL701" s="264"/>
      <c r="HD701" s="267"/>
      <c r="HE701" s="267"/>
      <c r="HF701" s="267"/>
      <c r="HG701" s="267"/>
      <c r="HH701" s="267"/>
      <c r="HI701" s="267"/>
      <c r="HJ701" s="267"/>
      <c r="HK701" s="267"/>
      <c r="HL701" s="267"/>
      <c r="HM701" s="267"/>
      <c r="HN701" s="267"/>
      <c r="HO701" s="267"/>
      <c r="HP701" s="267"/>
      <c r="HQ701" s="267"/>
      <c r="HR701" s="267"/>
      <c r="HS701" s="267"/>
      <c r="HT701" s="267"/>
      <c r="HU701" s="267"/>
      <c r="IH701" s="267"/>
      <c r="IK701" s="267"/>
      <c r="IN701" s="267"/>
      <c r="IQ701" s="267"/>
      <c r="IR701" s="267"/>
      <c r="IS701" s="267"/>
    </row>
    <row r="702" spans="10:253">
      <c r="J702" s="267"/>
      <c r="K702" s="267"/>
      <c r="L702" s="267"/>
      <c r="M702" s="267"/>
      <c r="N702" s="267"/>
      <c r="O702" s="267"/>
      <c r="P702" s="267"/>
      <c r="Q702" s="267"/>
      <c r="S702" s="267"/>
      <c r="T702" s="267"/>
      <c r="U702" s="267"/>
      <c r="V702" s="267"/>
      <c r="W702" s="264"/>
      <c r="Y702" s="267"/>
      <c r="Z702" s="267"/>
      <c r="AA702" s="267"/>
      <c r="AB702" s="267"/>
      <c r="AE702" s="267"/>
      <c r="AF702" s="267"/>
      <c r="AG702" s="267"/>
      <c r="AH702" s="267"/>
      <c r="AK702" s="267"/>
      <c r="AL702" s="267"/>
      <c r="AM702" s="267"/>
      <c r="AN702" s="267"/>
      <c r="AQ702" s="267"/>
      <c r="AR702" s="267"/>
      <c r="AS702" s="267"/>
      <c r="AT702" s="267"/>
      <c r="AW702" s="267"/>
      <c r="AX702" s="267"/>
      <c r="AY702" s="267"/>
      <c r="AZ702" s="267"/>
      <c r="BG702" s="269"/>
      <c r="BM702" s="269"/>
      <c r="BS702" s="269"/>
      <c r="BU702" s="267"/>
      <c r="BY702" s="267"/>
      <c r="CC702" s="267"/>
      <c r="CG702" s="267"/>
      <c r="CS702" s="267"/>
      <c r="CW702" s="270"/>
      <c r="CX702" s="267"/>
      <c r="DC702" s="267"/>
      <c r="DH702" s="267"/>
      <c r="DM702" s="267"/>
      <c r="DR702" s="267"/>
      <c r="DW702" s="267"/>
      <c r="EB702" s="267"/>
      <c r="EG702" s="267"/>
      <c r="EL702" s="267"/>
      <c r="EQ702" s="267"/>
      <c r="EU702" s="270"/>
      <c r="EV702" s="267"/>
      <c r="FC702" s="267"/>
      <c r="FD702" s="267"/>
      <c r="FE702" s="267"/>
      <c r="FF702" s="267"/>
      <c r="FG702" s="267"/>
      <c r="FL702" s="267"/>
      <c r="FM702" s="267"/>
      <c r="FN702" s="267"/>
      <c r="FO702" s="267"/>
      <c r="FP702" s="267"/>
      <c r="FQ702" s="264"/>
      <c r="FR702" s="264"/>
      <c r="FS702" s="264"/>
      <c r="FT702" s="264"/>
      <c r="FU702" s="267"/>
      <c r="FV702" s="267"/>
      <c r="FW702" s="267"/>
      <c r="FX702" s="267"/>
      <c r="FY702" s="267"/>
      <c r="GD702" s="267"/>
      <c r="GE702" s="267"/>
      <c r="GF702" s="267"/>
      <c r="GG702" s="267"/>
      <c r="GH702" s="267"/>
      <c r="GI702" s="264"/>
      <c r="GJ702" s="264"/>
      <c r="GK702" s="264"/>
      <c r="GL702" s="264"/>
      <c r="HD702" s="267"/>
      <c r="HE702" s="267"/>
      <c r="HF702" s="267"/>
      <c r="HG702" s="267"/>
      <c r="HH702" s="267"/>
      <c r="HI702" s="267"/>
      <c r="HJ702" s="267"/>
      <c r="HK702" s="267"/>
      <c r="HL702" s="267"/>
      <c r="HM702" s="267"/>
      <c r="HN702" s="267"/>
      <c r="HO702" s="267"/>
      <c r="HP702" s="267"/>
      <c r="HQ702" s="267"/>
      <c r="HR702" s="267"/>
      <c r="HS702" s="267"/>
      <c r="HT702" s="267"/>
      <c r="HU702" s="267"/>
      <c r="IH702" s="267"/>
      <c r="IK702" s="267"/>
      <c r="IN702" s="267"/>
      <c r="IQ702" s="267"/>
      <c r="IR702" s="267"/>
      <c r="IS702" s="267"/>
    </row>
    <row r="703" spans="10:253">
      <c r="J703" s="267"/>
      <c r="K703" s="267"/>
      <c r="L703" s="267"/>
      <c r="M703" s="267"/>
      <c r="N703" s="267"/>
      <c r="O703" s="267"/>
      <c r="P703" s="267"/>
      <c r="Q703" s="267"/>
      <c r="S703" s="267"/>
      <c r="T703" s="267"/>
      <c r="U703" s="267"/>
      <c r="V703" s="267"/>
      <c r="W703" s="264"/>
      <c r="Y703" s="267"/>
      <c r="Z703" s="267"/>
      <c r="AA703" s="267"/>
      <c r="AB703" s="267"/>
      <c r="AE703" s="267"/>
      <c r="AF703" s="267"/>
      <c r="AG703" s="267"/>
      <c r="AH703" s="267"/>
      <c r="AK703" s="267"/>
      <c r="AL703" s="267"/>
      <c r="AM703" s="267"/>
      <c r="AN703" s="267"/>
      <c r="AQ703" s="267"/>
      <c r="AR703" s="267"/>
      <c r="AS703" s="267"/>
      <c r="AT703" s="267"/>
      <c r="AW703" s="267"/>
      <c r="AX703" s="267"/>
      <c r="AY703" s="267"/>
      <c r="AZ703" s="267"/>
      <c r="BG703" s="269"/>
      <c r="BM703" s="269"/>
      <c r="BS703" s="269"/>
      <c r="BU703" s="267"/>
      <c r="BY703" s="267"/>
      <c r="CC703" s="267"/>
      <c r="CG703" s="267"/>
      <c r="CS703" s="267"/>
      <c r="CW703" s="270"/>
      <c r="CX703" s="267"/>
      <c r="DC703" s="267"/>
      <c r="DH703" s="267"/>
      <c r="DM703" s="267"/>
      <c r="DR703" s="267"/>
      <c r="DW703" s="267"/>
      <c r="EB703" s="267"/>
      <c r="EG703" s="267"/>
      <c r="EL703" s="267"/>
      <c r="EQ703" s="267"/>
      <c r="EU703" s="270"/>
      <c r="EV703" s="267"/>
      <c r="FC703" s="267"/>
      <c r="FD703" s="267"/>
      <c r="FE703" s="267"/>
      <c r="FF703" s="267"/>
      <c r="FG703" s="267"/>
      <c r="FL703" s="267"/>
      <c r="FM703" s="267"/>
      <c r="FN703" s="267"/>
      <c r="FO703" s="267"/>
      <c r="FP703" s="267"/>
      <c r="FQ703" s="264"/>
      <c r="FR703" s="264"/>
      <c r="FS703" s="264"/>
      <c r="FT703" s="264"/>
      <c r="FU703" s="267"/>
      <c r="FV703" s="267"/>
      <c r="FW703" s="267"/>
      <c r="FX703" s="267"/>
      <c r="FY703" s="267"/>
      <c r="GD703" s="267"/>
      <c r="GE703" s="267"/>
      <c r="GF703" s="267"/>
      <c r="GG703" s="267"/>
      <c r="GH703" s="267"/>
      <c r="GI703" s="264"/>
      <c r="GJ703" s="264"/>
      <c r="GK703" s="264"/>
      <c r="GL703" s="264"/>
      <c r="HD703" s="267"/>
      <c r="HE703" s="267"/>
      <c r="HF703" s="267"/>
      <c r="HG703" s="267"/>
      <c r="HH703" s="267"/>
      <c r="HI703" s="267"/>
      <c r="HJ703" s="267"/>
      <c r="HK703" s="267"/>
      <c r="HL703" s="267"/>
      <c r="HM703" s="267"/>
      <c r="HN703" s="267"/>
      <c r="HO703" s="267"/>
      <c r="HP703" s="267"/>
      <c r="HQ703" s="267"/>
      <c r="HR703" s="267"/>
      <c r="HS703" s="267"/>
      <c r="HT703" s="267"/>
      <c r="HU703" s="267"/>
      <c r="IH703" s="267"/>
      <c r="IK703" s="267"/>
      <c r="IN703" s="267"/>
      <c r="IQ703" s="267"/>
      <c r="IR703" s="267"/>
      <c r="IS703" s="267"/>
    </row>
    <row r="704" spans="10:253">
      <c r="J704" s="267"/>
      <c r="K704" s="267"/>
      <c r="L704" s="267"/>
      <c r="M704" s="267"/>
      <c r="N704" s="267"/>
      <c r="O704" s="267"/>
      <c r="P704" s="267"/>
      <c r="Q704" s="267"/>
      <c r="S704" s="267"/>
      <c r="T704" s="267"/>
      <c r="U704" s="267"/>
      <c r="V704" s="267"/>
      <c r="W704" s="264"/>
      <c r="Y704" s="267"/>
      <c r="Z704" s="267"/>
      <c r="AA704" s="267"/>
      <c r="AB704" s="267"/>
      <c r="AE704" s="267"/>
      <c r="AF704" s="267"/>
      <c r="AG704" s="267"/>
      <c r="AH704" s="267"/>
      <c r="AK704" s="267"/>
      <c r="AL704" s="267"/>
      <c r="AM704" s="267"/>
      <c r="AN704" s="267"/>
      <c r="AQ704" s="267"/>
      <c r="AR704" s="267"/>
      <c r="AS704" s="267"/>
      <c r="AT704" s="267"/>
      <c r="AW704" s="267"/>
      <c r="AX704" s="267"/>
      <c r="AY704" s="267"/>
      <c r="AZ704" s="267"/>
      <c r="BG704" s="269"/>
      <c r="BM704" s="269"/>
      <c r="BS704" s="269"/>
      <c r="BU704" s="267"/>
      <c r="BY704" s="267"/>
      <c r="CC704" s="267"/>
      <c r="CG704" s="267"/>
      <c r="CS704" s="267"/>
      <c r="CW704" s="270"/>
      <c r="CX704" s="267"/>
      <c r="DC704" s="267"/>
      <c r="DH704" s="267"/>
      <c r="DM704" s="267"/>
      <c r="DR704" s="267"/>
      <c r="DW704" s="267"/>
      <c r="EB704" s="267"/>
      <c r="EG704" s="267"/>
      <c r="EL704" s="267"/>
      <c r="EQ704" s="267"/>
      <c r="EU704" s="270"/>
      <c r="EV704" s="267"/>
      <c r="FC704" s="267"/>
      <c r="FD704" s="267"/>
      <c r="FE704" s="267"/>
      <c r="FF704" s="267"/>
      <c r="FG704" s="267"/>
      <c r="FL704" s="267"/>
      <c r="FM704" s="267"/>
      <c r="FN704" s="267"/>
      <c r="FO704" s="267"/>
      <c r="FP704" s="267"/>
      <c r="FQ704" s="264"/>
      <c r="FR704" s="264"/>
      <c r="FS704" s="264"/>
      <c r="FT704" s="264"/>
      <c r="FU704" s="267"/>
      <c r="FV704" s="267"/>
      <c r="FW704" s="267"/>
      <c r="FX704" s="267"/>
      <c r="FY704" s="267"/>
      <c r="GD704" s="267"/>
      <c r="GE704" s="267"/>
      <c r="GF704" s="267"/>
      <c r="GG704" s="267"/>
      <c r="GH704" s="267"/>
      <c r="GI704" s="264"/>
      <c r="GJ704" s="264"/>
      <c r="GK704" s="264"/>
      <c r="GL704" s="264"/>
      <c r="HD704" s="267"/>
      <c r="HE704" s="267"/>
      <c r="HF704" s="267"/>
      <c r="HG704" s="267"/>
      <c r="HH704" s="267"/>
      <c r="HI704" s="267"/>
      <c r="HJ704" s="267"/>
      <c r="HK704" s="267"/>
      <c r="HL704" s="267"/>
      <c r="HM704" s="267"/>
      <c r="HN704" s="267"/>
      <c r="HO704" s="267"/>
      <c r="HP704" s="267"/>
      <c r="HQ704" s="267"/>
      <c r="HR704" s="267"/>
      <c r="HS704" s="267"/>
      <c r="HT704" s="267"/>
      <c r="HU704" s="267"/>
      <c r="IH704" s="267"/>
      <c r="IK704" s="267"/>
      <c r="IN704" s="267"/>
      <c r="IQ704" s="267"/>
      <c r="IR704" s="267"/>
      <c r="IS704" s="267"/>
    </row>
    <row r="705" spans="10:253">
      <c r="J705" s="267"/>
      <c r="K705" s="267"/>
      <c r="L705" s="267"/>
      <c r="M705" s="267"/>
      <c r="N705" s="267"/>
      <c r="O705" s="267"/>
      <c r="P705" s="267"/>
      <c r="Q705" s="267"/>
      <c r="S705" s="267"/>
      <c r="T705" s="267"/>
      <c r="U705" s="267"/>
      <c r="V705" s="267"/>
      <c r="W705" s="264"/>
      <c r="Y705" s="267"/>
      <c r="Z705" s="267"/>
      <c r="AA705" s="267"/>
      <c r="AB705" s="267"/>
      <c r="AE705" s="267"/>
      <c r="AF705" s="267"/>
      <c r="AG705" s="267"/>
      <c r="AH705" s="267"/>
      <c r="AK705" s="267"/>
      <c r="AL705" s="267"/>
      <c r="AM705" s="267"/>
      <c r="AN705" s="267"/>
      <c r="AQ705" s="267"/>
      <c r="AR705" s="267"/>
      <c r="AS705" s="267"/>
      <c r="AT705" s="267"/>
      <c r="AW705" s="267"/>
      <c r="AX705" s="267"/>
      <c r="AY705" s="267"/>
      <c r="AZ705" s="267"/>
      <c r="BG705" s="269"/>
      <c r="BM705" s="269"/>
      <c r="BS705" s="269"/>
      <c r="BU705" s="267"/>
      <c r="BY705" s="267"/>
      <c r="CC705" s="267"/>
      <c r="CG705" s="267"/>
      <c r="CS705" s="267"/>
      <c r="CW705" s="270"/>
      <c r="CX705" s="267"/>
      <c r="DC705" s="267"/>
      <c r="DH705" s="267"/>
      <c r="DM705" s="267"/>
      <c r="DR705" s="267"/>
      <c r="DW705" s="267"/>
      <c r="EB705" s="267"/>
      <c r="EG705" s="267"/>
      <c r="EL705" s="267"/>
      <c r="EQ705" s="267"/>
      <c r="EU705" s="270"/>
      <c r="EV705" s="267"/>
      <c r="FC705" s="267"/>
      <c r="FD705" s="267"/>
      <c r="FE705" s="267"/>
      <c r="FF705" s="267"/>
      <c r="FG705" s="267"/>
      <c r="FL705" s="267"/>
      <c r="FM705" s="267"/>
      <c r="FN705" s="267"/>
      <c r="FO705" s="267"/>
      <c r="FP705" s="267"/>
      <c r="FQ705" s="264"/>
      <c r="FR705" s="264"/>
      <c r="FS705" s="264"/>
      <c r="FT705" s="264"/>
      <c r="FU705" s="267"/>
      <c r="FV705" s="267"/>
      <c r="FW705" s="267"/>
      <c r="FX705" s="267"/>
      <c r="FY705" s="267"/>
      <c r="GD705" s="267"/>
      <c r="GE705" s="267"/>
      <c r="GF705" s="267"/>
      <c r="GG705" s="267"/>
      <c r="GH705" s="267"/>
      <c r="GI705" s="264"/>
      <c r="GJ705" s="264"/>
      <c r="GK705" s="264"/>
      <c r="GL705" s="264"/>
      <c r="HD705" s="267"/>
      <c r="HE705" s="267"/>
      <c r="HF705" s="267"/>
      <c r="HG705" s="267"/>
      <c r="HH705" s="267"/>
      <c r="HI705" s="267"/>
      <c r="HJ705" s="267"/>
      <c r="HK705" s="267"/>
      <c r="HL705" s="267"/>
      <c r="HM705" s="267"/>
      <c r="HN705" s="267"/>
      <c r="HO705" s="267"/>
      <c r="HP705" s="267"/>
      <c r="HQ705" s="267"/>
      <c r="HR705" s="267"/>
      <c r="HS705" s="267"/>
      <c r="HT705" s="267"/>
      <c r="HU705" s="267"/>
      <c r="IH705" s="267"/>
      <c r="IK705" s="267"/>
      <c r="IN705" s="267"/>
      <c r="IQ705" s="267"/>
      <c r="IR705" s="267"/>
      <c r="IS705" s="267"/>
    </row>
    <row r="706" spans="10:253">
      <c r="J706" s="267"/>
      <c r="K706" s="267"/>
      <c r="L706" s="267"/>
      <c r="M706" s="267"/>
      <c r="N706" s="267"/>
      <c r="O706" s="267"/>
      <c r="P706" s="267"/>
      <c r="Q706" s="267"/>
      <c r="S706" s="267"/>
      <c r="T706" s="267"/>
      <c r="U706" s="267"/>
      <c r="V706" s="267"/>
      <c r="W706" s="264"/>
      <c r="Y706" s="267"/>
      <c r="Z706" s="267"/>
      <c r="AA706" s="267"/>
      <c r="AB706" s="267"/>
      <c r="AE706" s="267"/>
      <c r="AF706" s="267"/>
      <c r="AG706" s="267"/>
      <c r="AH706" s="267"/>
      <c r="AK706" s="267"/>
      <c r="AL706" s="267"/>
      <c r="AM706" s="267"/>
      <c r="AN706" s="267"/>
      <c r="AQ706" s="267"/>
      <c r="AR706" s="267"/>
      <c r="AS706" s="267"/>
      <c r="AT706" s="267"/>
      <c r="AW706" s="267"/>
      <c r="AX706" s="267"/>
      <c r="AY706" s="267"/>
      <c r="AZ706" s="267"/>
      <c r="BG706" s="269"/>
      <c r="BM706" s="269"/>
      <c r="BS706" s="269"/>
      <c r="BU706" s="267"/>
      <c r="BY706" s="267"/>
      <c r="CC706" s="267"/>
      <c r="CG706" s="267"/>
      <c r="CS706" s="267"/>
      <c r="CW706" s="270"/>
      <c r="CX706" s="267"/>
      <c r="DC706" s="267"/>
      <c r="DH706" s="267"/>
      <c r="DM706" s="267"/>
      <c r="DR706" s="267"/>
      <c r="DW706" s="267"/>
      <c r="EB706" s="267"/>
      <c r="EG706" s="267"/>
      <c r="EL706" s="267"/>
      <c r="EQ706" s="267"/>
      <c r="EU706" s="270"/>
      <c r="EV706" s="267"/>
      <c r="FC706" s="267"/>
      <c r="FD706" s="267"/>
      <c r="FE706" s="267"/>
      <c r="FF706" s="267"/>
      <c r="FG706" s="267"/>
      <c r="FL706" s="267"/>
      <c r="FM706" s="267"/>
      <c r="FN706" s="267"/>
      <c r="FO706" s="267"/>
      <c r="FP706" s="267"/>
      <c r="FQ706" s="264"/>
      <c r="FR706" s="264"/>
      <c r="FS706" s="264"/>
      <c r="FT706" s="264"/>
      <c r="FU706" s="267"/>
      <c r="FV706" s="267"/>
      <c r="FW706" s="267"/>
      <c r="FX706" s="267"/>
      <c r="FY706" s="267"/>
      <c r="GD706" s="267"/>
      <c r="GE706" s="267"/>
      <c r="GF706" s="267"/>
      <c r="GG706" s="267"/>
      <c r="GH706" s="267"/>
      <c r="GI706" s="264"/>
      <c r="GJ706" s="264"/>
      <c r="GK706" s="264"/>
      <c r="GL706" s="264"/>
      <c r="HD706" s="267"/>
      <c r="HE706" s="267"/>
      <c r="HF706" s="267"/>
      <c r="HG706" s="267"/>
      <c r="HH706" s="267"/>
      <c r="HI706" s="267"/>
      <c r="HJ706" s="267"/>
      <c r="HK706" s="267"/>
      <c r="HL706" s="267"/>
      <c r="HM706" s="267"/>
      <c r="HN706" s="267"/>
      <c r="HO706" s="267"/>
      <c r="HP706" s="267"/>
      <c r="HQ706" s="267"/>
      <c r="HR706" s="267"/>
      <c r="HS706" s="267"/>
      <c r="HT706" s="267"/>
      <c r="HU706" s="267"/>
      <c r="IH706" s="267"/>
      <c r="IK706" s="267"/>
      <c r="IN706" s="267"/>
      <c r="IQ706" s="267"/>
      <c r="IR706" s="267"/>
      <c r="IS706" s="267"/>
    </row>
    <row r="707" spans="10:253">
      <c r="J707" s="267"/>
      <c r="K707" s="267"/>
      <c r="L707" s="267"/>
      <c r="M707" s="267"/>
      <c r="N707" s="267"/>
      <c r="O707" s="267"/>
      <c r="P707" s="267"/>
      <c r="Q707" s="267"/>
      <c r="S707" s="267"/>
      <c r="T707" s="267"/>
      <c r="U707" s="267"/>
      <c r="V707" s="267"/>
      <c r="W707" s="264"/>
      <c r="Y707" s="267"/>
      <c r="Z707" s="267"/>
      <c r="AA707" s="267"/>
      <c r="AB707" s="267"/>
      <c r="AE707" s="267"/>
      <c r="AF707" s="267"/>
      <c r="AG707" s="267"/>
      <c r="AH707" s="267"/>
      <c r="AK707" s="267"/>
      <c r="AL707" s="267"/>
      <c r="AM707" s="267"/>
      <c r="AN707" s="267"/>
      <c r="AQ707" s="267"/>
      <c r="AR707" s="267"/>
      <c r="AS707" s="267"/>
      <c r="AT707" s="267"/>
      <c r="AW707" s="267"/>
      <c r="AX707" s="267"/>
      <c r="AY707" s="267"/>
      <c r="AZ707" s="267"/>
      <c r="BG707" s="269"/>
      <c r="BM707" s="269"/>
      <c r="BS707" s="269"/>
      <c r="BU707" s="267"/>
      <c r="BY707" s="267"/>
      <c r="CC707" s="267"/>
      <c r="CG707" s="267"/>
      <c r="CS707" s="267"/>
      <c r="CW707" s="270"/>
      <c r="CX707" s="267"/>
      <c r="DC707" s="267"/>
      <c r="DH707" s="267"/>
      <c r="DM707" s="267"/>
      <c r="DR707" s="267"/>
      <c r="DW707" s="267"/>
      <c r="EB707" s="267"/>
      <c r="EG707" s="267"/>
      <c r="EL707" s="267"/>
      <c r="EQ707" s="267"/>
      <c r="EU707" s="270"/>
      <c r="EV707" s="267"/>
      <c r="FC707" s="267"/>
      <c r="FD707" s="267"/>
      <c r="FE707" s="267"/>
      <c r="FF707" s="267"/>
      <c r="FG707" s="267"/>
      <c r="FL707" s="267"/>
      <c r="FM707" s="267"/>
      <c r="FN707" s="267"/>
      <c r="FO707" s="267"/>
      <c r="FP707" s="267"/>
      <c r="FQ707" s="264"/>
      <c r="FR707" s="264"/>
      <c r="FS707" s="264"/>
      <c r="FT707" s="264"/>
      <c r="FU707" s="267"/>
      <c r="FV707" s="267"/>
      <c r="FW707" s="267"/>
      <c r="FX707" s="267"/>
      <c r="FY707" s="267"/>
      <c r="GD707" s="267"/>
      <c r="GE707" s="267"/>
      <c r="GF707" s="267"/>
      <c r="GG707" s="267"/>
      <c r="GH707" s="267"/>
      <c r="GI707" s="264"/>
      <c r="GJ707" s="264"/>
      <c r="GK707" s="264"/>
      <c r="GL707" s="264"/>
      <c r="HD707" s="267"/>
      <c r="HE707" s="267"/>
      <c r="HF707" s="267"/>
      <c r="HG707" s="267"/>
      <c r="HH707" s="267"/>
      <c r="HI707" s="267"/>
      <c r="HJ707" s="267"/>
      <c r="HK707" s="267"/>
      <c r="HL707" s="267"/>
      <c r="HM707" s="267"/>
      <c r="HN707" s="267"/>
      <c r="HO707" s="267"/>
      <c r="HP707" s="267"/>
      <c r="HQ707" s="267"/>
      <c r="HR707" s="267"/>
      <c r="HS707" s="267"/>
      <c r="HT707" s="267"/>
      <c r="HU707" s="267"/>
      <c r="IH707" s="267"/>
      <c r="IK707" s="267"/>
      <c r="IN707" s="267"/>
      <c r="IQ707" s="267"/>
      <c r="IR707" s="267"/>
      <c r="IS707" s="267"/>
    </row>
    <row r="708" spans="10:253">
      <c r="J708" s="267"/>
      <c r="K708" s="267"/>
      <c r="L708" s="267"/>
      <c r="M708" s="267"/>
      <c r="N708" s="267"/>
      <c r="O708" s="267"/>
      <c r="P708" s="267"/>
      <c r="Q708" s="267"/>
      <c r="S708" s="267"/>
      <c r="T708" s="267"/>
      <c r="U708" s="267"/>
      <c r="V708" s="267"/>
      <c r="W708" s="264"/>
      <c r="Y708" s="267"/>
      <c r="Z708" s="267"/>
      <c r="AA708" s="267"/>
      <c r="AB708" s="267"/>
      <c r="AE708" s="267"/>
      <c r="AF708" s="267"/>
      <c r="AG708" s="267"/>
      <c r="AH708" s="267"/>
      <c r="AK708" s="267"/>
      <c r="AL708" s="267"/>
      <c r="AM708" s="267"/>
      <c r="AN708" s="267"/>
      <c r="AQ708" s="267"/>
      <c r="AR708" s="267"/>
      <c r="AS708" s="267"/>
      <c r="AT708" s="267"/>
      <c r="AW708" s="267"/>
      <c r="AX708" s="267"/>
      <c r="AY708" s="267"/>
      <c r="AZ708" s="267"/>
      <c r="BG708" s="269"/>
      <c r="BM708" s="269"/>
      <c r="BS708" s="269"/>
      <c r="BU708" s="267"/>
      <c r="BY708" s="267"/>
      <c r="CC708" s="267"/>
      <c r="CG708" s="267"/>
      <c r="CS708" s="267"/>
      <c r="CW708" s="270"/>
      <c r="CX708" s="267"/>
      <c r="DC708" s="267"/>
      <c r="DH708" s="267"/>
      <c r="DM708" s="267"/>
      <c r="DR708" s="267"/>
      <c r="DW708" s="267"/>
      <c r="EB708" s="267"/>
      <c r="EG708" s="267"/>
      <c r="EL708" s="267"/>
      <c r="EQ708" s="267"/>
      <c r="EU708" s="270"/>
      <c r="EV708" s="267"/>
      <c r="FC708" s="267"/>
      <c r="FD708" s="267"/>
      <c r="FE708" s="267"/>
      <c r="FF708" s="267"/>
      <c r="FG708" s="267"/>
      <c r="FL708" s="267"/>
      <c r="FM708" s="267"/>
      <c r="FN708" s="267"/>
      <c r="FO708" s="267"/>
      <c r="FP708" s="267"/>
      <c r="FQ708" s="264"/>
      <c r="FR708" s="264"/>
      <c r="FS708" s="264"/>
      <c r="FT708" s="264"/>
      <c r="FU708" s="267"/>
      <c r="FV708" s="267"/>
      <c r="FW708" s="267"/>
      <c r="FX708" s="267"/>
      <c r="FY708" s="267"/>
      <c r="GD708" s="267"/>
      <c r="GE708" s="267"/>
      <c r="GF708" s="267"/>
      <c r="GG708" s="267"/>
      <c r="GH708" s="267"/>
      <c r="GI708" s="264"/>
      <c r="GJ708" s="264"/>
      <c r="GK708" s="264"/>
      <c r="GL708" s="264"/>
      <c r="HD708" s="267"/>
      <c r="HE708" s="267"/>
      <c r="HF708" s="267"/>
      <c r="HG708" s="267"/>
      <c r="HH708" s="267"/>
      <c r="HI708" s="267"/>
      <c r="HJ708" s="267"/>
      <c r="HK708" s="267"/>
      <c r="HL708" s="267"/>
      <c r="HM708" s="267"/>
      <c r="HN708" s="267"/>
      <c r="HO708" s="267"/>
      <c r="HP708" s="267"/>
      <c r="HQ708" s="267"/>
      <c r="HR708" s="267"/>
      <c r="HS708" s="267"/>
      <c r="HT708" s="267"/>
      <c r="HU708" s="267"/>
      <c r="IH708" s="267"/>
      <c r="IK708" s="267"/>
      <c r="IN708" s="267"/>
      <c r="IQ708" s="267"/>
      <c r="IR708" s="267"/>
      <c r="IS708" s="267"/>
    </row>
    <row r="709" spans="10:253">
      <c r="J709" s="267"/>
      <c r="K709" s="267"/>
      <c r="L709" s="267"/>
      <c r="M709" s="267"/>
      <c r="N709" s="267"/>
      <c r="O709" s="267"/>
      <c r="P709" s="267"/>
      <c r="Q709" s="267"/>
      <c r="S709" s="267"/>
      <c r="T709" s="267"/>
      <c r="U709" s="267"/>
      <c r="V709" s="267"/>
      <c r="W709" s="264"/>
      <c r="Y709" s="267"/>
      <c r="Z709" s="267"/>
      <c r="AA709" s="267"/>
      <c r="AB709" s="267"/>
      <c r="AE709" s="267"/>
      <c r="AF709" s="267"/>
      <c r="AG709" s="267"/>
      <c r="AH709" s="267"/>
      <c r="AK709" s="267"/>
      <c r="AL709" s="267"/>
      <c r="AM709" s="267"/>
      <c r="AN709" s="267"/>
      <c r="AQ709" s="267"/>
      <c r="AR709" s="267"/>
      <c r="AS709" s="267"/>
      <c r="AT709" s="267"/>
      <c r="AW709" s="267"/>
      <c r="AX709" s="267"/>
      <c r="AY709" s="267"/>
      <c r="AZ709" s="267"/>
      <c r="BG709" s="269"/>
      <c r="BM709" s="269"/>
      <c r="BS709" s="269"/>
      <c r="BU709" s="267"/>
      <c r="BY709" s="267"/>
      <c r="CC709" s="267"/>
      <c r="CG709" s="267"/>
      <c r="CS709" s="267"/>
      <c r="CW709" s="270"/>
      <c r="CX709" s="267"/>
      <c r="DC709" s="267"/>
      <c r="DH709" s="267"/>
      <c r="DM709" s="267"/>
      <c r="DR709" s="267"/>
      <c r="DW709" s="267"/>
      <c r="EB709" s="267"/>
      <c r="EG709" s="267"/>
      <c r="EL709" s="267"/>
      <c r="EQ709" s="267"/>
      <c r="EU709" s="270"/>
      <c r="EV709" s="267"/>
      <c r="FC709" s="267"/>
      <c r="FD709" s="267"/>
      <c r="FE709" s="267"/>
      <c r="FF709" s="267"/>
      <c r="FG709" s="267"/>
      <c r="FL709" s="267"/>
      <c r="FM709" s="267"/>
      <c r="FN709" s="267"/>
      <c r="FO709" s="267"/>
      <c r="FP709" s="267"/>
      <c r="FQ709" s="264"/>
      <c r="FR709" s="264"/>
      <c r="FS709" s="264"/>
      <c r="FT709" s="264"/>
      <c r="FU709" s="267"/>
      <c r="FV709" s="267"/>
      <c r="FW709" s="267"/>
      <c r="FX709" s="267"/>
      <c r="FY709" s="267"/>
      <c r="GD709" s="267"/>
      <c r="GE709" s="267"/>
      <c r="GF709" s="267"/>
      <c r="GG709" s="267"/>
      <c r="GH709" s="267"/>
      <c r="GI709" s="264"/>
      <c r="GJ709" s="264"/>
      <c r="GK709" s="264"/>
      <c r="GL709" s="264"/>
      <c r="HD709" s="267"/>
      <c r="HE709" s="267"/>
      <c r="HF709" s="267"/>
      <c r="HG709" s="267"/>
      <c r="HH709" s="267"/>
      <c r="HI709" s="267"/>
      <c r="HJ709" s="267"/>
      <c r="HK709" s="267"/>
      <c r="HL709" s="267"/>
      <c r="HM709" s="267"/>
      <c r="HN709" s="267"/>
      <c r="HO709" s="267"/>
      <c r="HP709" s="267"/>
      <c r="HQ709" s="267"/>
      <c r="HR709" s="267"/>
      <c r="HS709" s="267"/>
      <c r="HT709" s="267"/>
      <c r="HU709" s="267"/>
      <c r="IH709" s="267"/>
      <c r="IK709" s="267"/>
      <c r="IN709" s="267"/>
      <c r="IQ709" s="267"/>
      <c r="IR709" s="267"/>
      <c r="IS709" s="267"/>
    </row>
    <row r="710" spans="10:253">
      <c r="J710" s="267"/>
      <c r="K710" s="267"/>
      <c r="L710" s="267"/>
      <c r="M710" s="267"/>
      <c r="N710" s="267"/>
      <c r="O710" s="267"/>
      <c r="P710" s="267"/>
      <c r="Q710" s="267"/>
      <c r="S710" s="267"/>
      <c r="T710" s="267"/>
      <c r="U710" s="267"/>
      <c r="V710" s="267"/>
      <c r="W710" s="264"/>
      <c r="Y710" s="267"/>
      <c r="Z710" s="267"/>
      <c r="AA710" s="267"/>
      <c r="AB710" s="267"/>
      <c r="AE710" s="267"/>
      <c r="AF710" s="267"/>
      <c r="AG710" s="267"/>
      <c r="AH710" s="267"/>
      <c r="AK710" s="267"/>
      <c r="AL710" s="267"/>
      <c r="AM710" s="267"/>
      <c r="AN710" s="267"/>
      <c r="AQ710" s="267"/>
      <c r="AR710" s="267"/>
      <c r="AS710" s="267"/>
      <c r="AT710" s="267"/>
      <c r="AW710" s="267"/>
      <c r="AX710" s="267"/>
      <c r="AY710" s="267"/>
      <c r="AZ710" s="267"/>
      <c r="BG710" s="269"/>
      <c r="BM710" s="269"/>
      <c r="BS710" s="269"/>
      <c r="BU710" s="267"/>
      <c r="BY710" s="267"/>
      <c r="CC710" s="267"/>
      <c r="CG710" s="267"/>
      <c r="CS710" s="267"/>
      <c r="CW710" s="270"/>
      <c r="CX710" s="267"/>
      <c r="DC710" s="267"/>
      <c r="DH710" s="267"/>
      <c r="DM710" s="267"/>
      <c r="DR710" s="267"/>
      <c r="DW710" s="267"/>
      <c r="EB710" s="267"/>
      <c r="EG710" s="267"/>
      <c r="EL710" s="267"/>
      <c r="EQ710" s="267"/>
      <c r="EU710" s="270"/>
      <c r="EV710" s="267"/>
      <c r="FC710" s="267"/>
      <c r="FD710" s="267"/>
      <c r="FE710" s="267"/>
      <c r="FF710" s="267"/>
      <c r="FG710" s="267"/>
      <c r="FL710" s="267"/>
      <c r="FM710" s="267"/>
      <c r="FN710" s="267"/>
      <c r="FO710" s="267"/>
      <c r="FP710" s="267"/>
      <c r="FQ710" s="264"/>
      <c r="FR710" s="264"/>
      <c r="FS710" s="264"/>
      <c r="FT710" s="264"/>
      <c r="FU710" s="267"/>
      <c r="FV710" s="267"/>
      <c r="FW710" s="267"/>
      <c r="FX710" s="267"/>
      <c r="FY710" s="267"/>
      <c r="GD710" s="267"/>
      <c r="GE710" s="267"/>
      <c r="GF710" s="267"/>
      <c r="GG710" s="267"/>
      <c r="GH710" s="267"/>
      <c r="GI710" s="264"/>
      <c r="GJ710" s="264"/>
      <c r="GK710" s="264"/>
      <c r="GL710" s="264"/>
      <c r="HD710" s="267"/>
      <c r="HE710" s="267"/>
      <c r="HF710" s="267"/>
      <c r="HG710" s="267"/>
      <c r="HH710" s="267"/>
      <c r="HI710" s="267"/>
      <c r="HJ710" s="267"/>
      <c r="HK710" s="267"/>
      <c r="HL710" s="267"/>
      <c r="HM710" s="267"/>
      <c r="HN710" s="267"/>
      <c r="HO710" s="267"/>
      <c r="HP710" s="267"/>
      <c r="HQ710" s="267"/>
      <c r="HR710" s="267"/>
      <c r="HS710" s="267"/>
      <c r="HT710" s="267"/>
      <c r="HU710" s="267"/>
      <c r="IH710" s="267"/>
      <c r="IK710" s="267"/>
      <c r="IN710" s="267"/>
      <c r="IQ710" s="267"/>
      <c r="IR710" s="267"/>
      <c r="IS710" s="267"/>
    </row>
    <row r="711" spans="10:253">
      <c r="J711" s="267"/>
      <c r="K711" s="267"/>
      <c r="L711" s="267"/>
      <c r="M711" s="267"/>
      <c r="N711" s="267"/>
      <c r="O711" s="267"/>
      <c r="P711" s="267"/>
      <c r="Q711" s="267"/>
      <c r="S711" s="267"/>
      <c r="T711" s="267"/>
      <c r="U711" s="267"/>
      <c r="V711" s="267"/>
      <c r="W711" s="264"/>
      <c r="Y711" s="267"/>
      <c r="Z711" s="267"/>
      <c r="AA711" s="267"/>
      <c r="AB711" s="267"/>
      <c r="AE711" s="267"/>
      <c r="AF711" s="267"/>
      <c r="AG711" s="267"/>
      <c r="AH711" s="267"/>
      <c r="AK711" s="267"/>
      <c r="AL711" s="267"/>
      <c r="AM711" s="267"/>
      <c r="AN711" s="267"/>
      <c r="AQ711" s="267"/>
      <c r="AR711" s="267"/>
      <c r="AS711" s="267"/>
      <c r="AT711" s="267"/>
      <c r="AW711" s="267"/>
      <c r="AX711" s="267"/>
      <c r="AY711" s="267"/>
      <c r="AZ711" s="267"/>
      <c r="BG711" s="269"/>
      <c r="BM711" s="269"/>
      <c r="BS711" s="269"/>
      <c r="BU711" s="267"/>
      <c r="BY711" s="267"/>
      <c r="CC711" s="267"/>
      <c r="CG711" s="267"/>
      <c r="CS711" s="267"/>
      <c r="CW711" s="270"/>
      <c r="CX711" s="267"/>
      <c r="DC711" s="267"/>
      <c r="DH711" s="267"/>
      <c r="DM711" s="267"/>
      <c r="DR711" s="267"/>
      <c r="DW711" s="267"/>
      <c r="EB711" s="267"/>
      <c r="EG711" s="267"/>
      <c r="EL711" s="267"/>
      <c r="EQ711" s="267"/>
      <c r="EU711" s="270"/>
      <c r="EV711" s="267"/>
      <c r="FC711" s="267"/>
      <c r="FD711" s="267"/>
      <c r="FE711" s="267"/>
      <c r="FF711" s="267"/>
      <c r="FG711" s="267"/>
      <c r="FL711" s="267"/>
      <c r="FM711" s="267"/>
      <c r="FN711" s="267"/>
      <c r="FO711" s="267"/>
      <c r="FP711" s="267"/>
      <c r="FQ711" s="264"/>
      <c r="FR711" s="264"/>
      <c r="FS711" s="264"/>
      <c r="FT711" s="264"/>
      <c r="FU711" s="267"/>
      <c r="FV711" s="267"/>
      <c r="FW711" s="267"/>
      <c r="FX711" s="267"/>
      <c r="FY711" s="267"/>
      <c r="GD711" s="267"/>
      <c r="GE711" s="267"/>
      <c r="GF711" s="267"/>
      <c r="GG711" s="267"/>
      <c r="GH711" s="267"/>
      <c r="GI711" s="264"/>
      <c r="GJ711" s="264"/>
      <c r="GK711" s="264"/>
      <c r="GL711" s="264"/>
      <c r="HD711" s="267"/>
      <c r="HE711" s="267"/>
      <c r="HF711" s="267"/>
      <c r="HG711" s="267"/>
      <c r="HH711" s="267"/>
      <c r="HI711" s="267"/>
      <c r="HJ711" s="267"/>
      <c r="HK711" s="267"/>
      <c r="HL711" s="267"/>
      <c r="HM711" s="267"/>
      <c r="HN711" s="267"/>
      <c r="HO711" s="267"/>
      <c r="HP711" s="267"/>
      <c r="HQ711" s="267"/>
      <c r="HR711" s="267"/>
      <c r="HS711" s="267"/>
      <c r="HT711" s="267"/>
      <c r="HU711" s="267"/>
      <c r="IH711" s="267"/>
      <c r="IK711" s="267"/>
      <c r="IN711" s="267"/>
      <c r="IQ711" s="267"/>
      <c r="IR711" s="267"/>
      <c r="IS711" s="267"/>
    </row>
    <row r="712" spans="10:253">
      <c r="J712" s="267"/>
      <c r="K712" s="267"/>
      <c r="L712" s="267"/>
      <c r="M712" s="267"/>
      <c r="N712" s="267"/>
      <c r="O712" s="267"/>
      <c r="P712" s="267"/>
      <c r="Q712" s="267"/>
      <c r="S712" s="267"/>
      <c r="T712" s="267"/>
      <c r="U712" s="267"/>
      <c r="V712" s="267"/>
      <c r="W712" s="264"/>
      <c r="Y712" s="267"/>
      <c r="Z712" s="267"/>
      <c r="AA712" s="267"/>
      <c r="AB712" s="267"/>
      <c r="AE712" s="267"/>
      <c r="AF712" s="267"/>
      <c r="AG712" s="267"/>
      <c r="AH712" s="267"/>
      <c r="AK712" s="267"/>
      <c r="AL712" s="267"/>
      <c r="AM712" s="267"/>
      <c r="AN712" s="267"/>
      <c r="AQ712" s="267"/>
      <c r="AR712" s="267"/>
      <c r="AS712" s="267"/>
      <c r="AT712" s="267"/>
      <c r="AW712" s="267"/>
      <c r="AX712" s="267"/>
      <c r="AY712" s="267"/>
      <c r="AZ712" s="267"/>
      <c r="BG712" s="269"/>
      <c r="BM712" s="269"/>
      <c r="BS712" s="269"/>
      <c r="BU712" s="267"/>
      <c r="BY712" s="267"/>
      <c r="CC712" s="267"/>
      <c r="CG712" s="267"/>
      <c r="CS712" s="267"/>
      <c r="CW712" s="270"/>
      <c r="CX712" s="267"/>
      <c r="DC712" s="267"/>
      <c r="DH712" s="267"/>
      <c r="DM712" s="267"/>
      <c r="DR712" s="267"/>
      <c r="DW712" s="267"/>
      <c r="EB712" s="267"/>
      <c r="EG712" s="267"/>
      <c r="EL712" s="267"/>
      <c r="EQ712" s="267"/>
      <c r="EU712" s="270"/>
      <c r="EV712" s="267"/>
      <c r="FC712" s="267"/>
      <c r="FD712" s="267"/>
      <c r="FE712" s="267"/>
      <c r="FF712" s="267"/>
      <c r="FG712" s="267"/>
      <c r="FL712" s="267"/>
      <c r="FM712" s="267"/>
      <c r="FN712" s="267"/>
      <c r="FO712" s="267"/>
      <c r="FP712" s="267"/>
      <c r="FQ712" s="264"/>
      <c r="FR712" s="264"/>
      <c r="FS712" s="264"/>
      <c r="FT712" s="264"/>
      <c r="FU712" s="267"/>
      <c r="FV712" s="267"/>
      <c r="FW712" s="267"/>
      <c r="FX712" s="267"/>
      <c r="FY712" s="267"/>
      <c r="GD712" s="267"/>
      <c r="GE712" s="267"/>
      <c r="GF712" s="267"/>
      <c r="GG712" s="267"/>
      <c r="GH712" s="267"/>
      <c r="GI712" s="264"/>
      <c r="GJ712" s="264"/>
      <c r="GK712" s="264"/>
      <c r="GL712" s="264"/>
      <c r="HD712" s="267"/>
      <c r="HE712" s="267"/>
      <c r="HF712" s="267"/>
      <c r="HG712" s="267"/>
      <c r="HH712" s="267"/>
      <c r="HI712" s="267"/>
      <c r="HJ712" s="267"/>
      <c r="HK712" s="267"/>
      <c r="HL712" s="267"/>
      <c r="HM712" s="267"/>
      <c r="HN712" s="267"/>
      <c r="HO712" s="267"/>
      <c r="HP712" s="267"/>
      <c r="HQ712" s="267"/>
      <c r="HR712" s="267"/>
      <c r="HS712" s="267"/>
      <c r="HT712" s="267"/>
      <c r="HU712" s="267"/>
      <c r="IH712" s="267"/>
      <c r="IK712" s="267"/>
      <c r="IN712" s="267"/>
      <c r="IQ712" s="267"/>
      <c r="IR712" s="267"/>
      <c r="IS712" s="267"/>
    </row>
    <row r="713" spans="10:253">
      <c r="J713" s="267"/>
      <c r="K713" s="267"/>
      <c r="L713" s="267"/>
      <c r="M713" s="267"/>
      <c r="N713" s="267"/>
      <c r="O713" s="267"/>
      <c r="P713" s="267"/>
      <c r="Q713" s="267"/>
      <c r="S713" s="267"/>
      <c r="T713" s="267"/>
      <c r="U713" s="267"/>
      <c r="V713" s="267"/>
      <c r="W713" s="264"/>
      <c r="Y713" s="267"/>
      <c r="Z713" s="267"/>
      <c r="AA713" s="267"/>
      <c r="AB713" s="267"/>
      <c r="AE713" s="267"/>
      <c r="AF713" s="267"/>
      <c r="AG713" s="267"/>
      <c r="AH713" s="267"/>
      <c r="AK713" s="267"/>
      <c r="AL713" s="267"/>
      <c r="AM713" s="267"/>
      <c r="AN713" s="267"/>
      <c r="AQ713" s="267"/>
      <c r="AR713" s="267"/>
      <c r="AS713" s="267"/>
      <c r="AT713" s="267"/>
      <c r="AW713" s="267"/>
      <c r="AX713" s="267"/>
      <c r="AY713" s="267"/>
      <c r="AZ713" s="267"/>
      <c r="BG713" s="269"/>
      <c r="BM713" s="269"/>
      <c r="BS713" s="269"/>
      <c r="BU713" s="267"/>
      <c r="BY713" s="267"/>
      <c r="CC713" s="267"/>
      <c r="CG713" s="267"/>
      <c r="CS713" s="267"/>
      <c r="CW713" s="270"/>
      <c r="CX713" s="267"/>
      <c r="DC713" s="267"/>
      <c r="DH713" s="267"/>
      <c r="DM713" s="267"/>
      <c r="DR713" s="267"/>
      <c r="DW713" s="267"/>
      <c r="EB713" s="267"/>
      <c r="EG713" s="267"/>
      <c r="EL713" s="267"/>
      <c r="EQ713" s="267"/>
      <c r="EU713" s="270"/>
      <c r="EV713" s="267"/>
      <c r="FC713" s="267"/>
      <c r="FD713" s="267"/>
      <c r="FE713" s="267"/>
      <c r="FF713" s="267"/>
      <c r="FG713" s="267"/>
      <c r="FL713" s="267"/>
      <c r="FM713" s="267"/>
      <c r="FN713" s="267"/>
      <c r="FO713" s="267"/>
      <c r="FP713" s="267"/>
      <c r="FQ713" s="264"/>
      <c r="FR713" s="264"/>
      <c r="FS713" s="264"/>
      <c r="FT713" s="264"/>
      <c r="FU713" s="267"/>
      <c r="FV713" s="267"/>
      <c r="FW713" s="267"/>
      <c r="FX713" s="267"/>
      <c r="FY713" s="267"/>
      <c r="GD713" s="267"/>
      <c r="GE713" s="267"/>
      <c r="GF713" s="267"/>
      <c r="GG713" s="267"/>
      <c r="GH713" s="267"/>
      <c r="GI713" s="264"/>
      <c r="GJ713" s="264"/>
      <c r="GK713" s="264"/>
      <c r="GL713" s="264"/>
      <c r="HD713" s="267"/>
      <c r="HE713" s="267"/>
      <c r="HF713" s="267"/>
      <c r="HG713" s="267"/>
      <c r="HH713" s="267"/>
      <c r="HI713" s="267"/>
      <c r="HJ713" s="267"/>
      <c r="HK713" s="267"/>
      <c r="HL713" s="267"/>
      <c r="HM713" s="267"/>
      <c r="HN713" s="267"/>
      <c r="HO713" s="267"/>
      <c r="HP713" s="267"/>
      <c r="HQ713" s="267"/>
      <c r="HR713" s="267"/>
      <c r="HS713" s="267"/>
      <c r="HT713" s="267"/>
      <c r="HU713" s="267"/>
      <c r="IH713" s="267"/>
      <c r="IK713" s="267"/>
      <c r="IN713" s="267"/>
      <c r="IQ713" s="267"/>
      <c r="IR713" s="267"/>
      <c r="IS713" s="267"/>
    </row>
    <row r="714" spans="10:253">
      <c r="J714" s="267"/>
      <c r="K714" s="267"/>
      <c r="L714" s="267"/>
      <c r="M714" s="267"/>
      <c r="N714" s="267"/>
      <c r="O714" s="267"/>
      <c r="P714" s="267"/>
      <c r="Q714" s="267"/>
      <c r="S714" s="267"/>
      <c r="T714" s="267"/>
      <c r="U714" s="267"/>
      <c r="V714" s="267"/>
      <c r="W714" s="264"/>
      <c r="Y714" s="267"/>
      <c r="Z714" s="267"/>
      <c r="AA714" s="267"/>
      <c r="AB714" s="267"/>
      <c r="AE714" s="267"/>
      <c r="AF714" s="267"/>
      <c r="AG714" s="267"/>
      <c r="AH714" s="267"/>
      <c r="AK714" s="267"/>
      <c r="AL714" s="267"/>
      <c r="AM714" s="267"/>
      <c r="AN714" s="267"/>
      <c r="AQ714" s="267"/>
      <c r="AR714" s="267"/>
      <c r="AS714" s="267"/>
      <c r="AT714" s="267"/>
      <c r="AW714" s="267"/>
      <c r="AX714" s="267"/>
      <c r="AY714" s="267"/>
      <c r="AZ714" s="267"/>
      <c r="BG714" s="269"/>
      <c r="BM714" s="269"/>
      <c r="BS714" s="269"/>
      <c r="BU714" s="267"/>
      <c r="BY714" s="267"/>
      <c r="CC714" s="267"/>
      <c r="CG714" s="267"/>
      <c r="CS714" s="267"/>
      <c r="CW714" s="270"/>
      <c r="CX714" s="267"/>
      <c r="DC714" s="267"/>
      <c r="DH714" s="267"/>
      <c r="DM714" s="267"/>
      <c r="DR714" s="267"/>
      <c r="DW714" s="267"/>
      <c r="EB714" s="267"/>
      <c r="EG714" s="267"/>
      <c r="EL714" s="267"/>
      <c r="EQ714" s="267"/>
      <c r="EU714" s="270"/>
      <c r="EV714" s="267"/>
      <c r="FC714" s="267"/>
      <c r="FD714" s="267"/>
      <c r="FE714" s="267"/>
      <c r="FF714" s="267"/>
      <c r="FG714" s="267"/>
      <c r="FL714" s="267"/>
      <c r="FM714" s="267"/>
      <c r="FN714" s="267"/>
      <c r="FO714" s="267"/>
      <c r="FP714" s="267"/>
      <c r="FQ714" s="264"/>
      <c r="FR714" s="264"/>
      <c r="FS714" s="264"/>
      <c r="FT714" s="264"/>
      <c r="FU714" s="267"/>
      <c r="FV714" s="267"/>
      <c r="FW714" s="267"/>
      <c r="FX714" s="267"/>
      <c r="FY714" s="267"/>
      <c r="GD714" s="267"/>
      <c r="GE714" s="267"/>
      <c r="GF714" s="267"/>
      <c r="GG714" s="267"/>
      <c r="GH714" s="267"/>
      <c r="GI714" s="264"/>
      <c r="GJ714" s="264"/>
      <c r="GK714" s="264"/>
      <c r="GL714" s="264"/>
      <c r="HD714" s="267"/>
      <c r="HE714" s="267"/>
      <c r="HF714" s="267"/>
      <c r="HG714" s="267"/>
      <c r="HH714" s="267"/>
      <c r="HI714" s="267"/>
      <c r="HJ714" s="267"/>
      <c r="HK714" s="267"/>
      <c r="HL714" s="267"/>
      <c r="HM714" s="267"/>
      <c r="HN714" s="267"/>
      <c r="HO714" s="267"/>
      <c r="HP714" s="267"/>
      <c r="HQ714" s="267"/>
      <c r="HR714" s="267"/>
      <c r="HS714" s="267"/>
      <c r="HT714" s="267"/>
      <c r="HU714" s="267"/>
      <c r="IH714" s="267"/>
      <c r="IK714" s="267"/>
      <c r="IN714" s="267"/>
      <c r="IQ714" s="267"/>
      <c r="IR714" s="267"/>
      <c r="IS714" s="267"/>
    </row>
    <row r="715" spans="10:253">
      <c r="J715" s="267"/>
      <c r="K715" s="267"/>
      <c r="L715" s="267"/>
      <c r="M715" s="267"/>
      <c r="N715" s="267"/>
      <c r="O715" s="267"/>
      <c r="P715" s="267"/>
      <c r="Q715" s="267"/>
      <c r="S715" s="267"/>
      <c r="T715" s="267"/>
      <c r="U715" s="267"/>
      <c r="V715" s="267"/>
      <c r="W715" s="264"/>
      <c r="Y715" s="267"/>
      <c r="Z715" s="267"/>
      <c r="AA715" s="267"/>
      <c r="AB715" s="267"/>
      <c r="AE715" s="267"/>
      <c r="AF715" s="267"/>
      <c r="AG715" s="267"/>
      <c r="AH715" s="267"/>
      <c r="AK715" s="267"/>
      <c r="AL715" s="267"/>
      <c r="AM715" s="267"/>
      <c r="AN715" s="267"/>
      <c r="AQ715" s="267"/>
      <c r="AR715" s="267"/>
      <c r="AS715" s="267"/>
      <c r="AT715" s="267"/>
      <c r="AW715" s="267"/>
      <c r="AX715" s="267"/>
      <c r="AY715" s="267"/>
      <c r="AZ715" s="267"/>
      <c r="BG715" s="269"/>
      <c r="BM715" s="269"/>
      <c r="BS715" s="269"/>
      <c r="BU715" s="267"/>
      <c r="BY715" s="267"/>
      <c r="CC715" s="267"/>
      <c r="CG715" s="267"/>
      <c r="CS715" s="267"/>
      <c r="CW715" s="270"/>
      <c r="CX715" s="267"/>
      <c r="DC715" s="267"/>
      <c r="DH715" s="267"/>
      <c r="DM715" s="267"/>
      <c r="DR715" s="267"/>
      <c r="DW715" s="267"/>
      <c r="EB715" s="267"/>
      <c r="EG715" s="267"/>
      <c r="EL715" s="267"/>
      <c r="EQ715" s="267"/>
      <c r="EU715" s="270"/>
      <c r="EV715" s="267"/>
      <c r="FC715" s="267"/>
      <c r="FD715" s="267"/>
      <c r="FE715" s="267"/>
      <c r="FF715" s="267"/>
      <c r="FG715" s="267"/>
      <c r="FL715" s="267"/>
      <c r="FM715" s="267"/>
      <c r="FN715" s="267"/>
      <c r="FO715" s="267"/>
      <c r="FP715" s="267"/>
      <c r="FQ715" s="264"/>
      <c r="FR715" s="264"/>
      <c r="FS715" s="264"/>
      <c r="FT715" s="264"/>
      <c r="FU715" s="267"/>
      <c r="FV715" s="267"/>
      <c r="FW715" s="267"/>
      <c r="FX715" s="267"/>
      <c r="FY715" s="267"/>
      <c r="GD715" s="267"/>
      <c r="GE715" s="267"/>
      <c r="GF715" s="267"/>
      <c r="GG715" s="267"/>
      <c r="GH715" s="267"/>
      <c r="GI715" s="264"/>
      <c r="GJ715" s="264"/>
      <c r="GK715" s="264"/>
      <c r="GL715" s="264"/>
      <c r="HD715" s="267"/>
      <c r="HE715" s="267"/>
      <c r="HF715" s="267"/>
      <c r="HG715" s="267"/>
      <c r="HH715" s="267"/>
      <c r="HI715" s="267"/>
      <c r="HJ715" s="267"/>
      <c r="HK715" s="267"/>
      <c r="HL715" s="267"/>
      <c r="HM715" s="267"/>
      <c r="HN715" s="267"/>
      <c r="HO715" s="267"/>
      <c r="HP715" s="267"/>
      <c r="HQ715" s="267"/>
      <c r="HR715" s="267"/>
      <c r="HS715" s="267"/>
      <c r="HT715" s="267"/>
      <c r="HU715" s="267"/>
      <c r="IH715" s="267"/>
      <c r="IK715" s="267"/>
      <c r="IN715" s="267"/>
      <c r="IQ715" s="267"/>
      <c r="IR715" s="267"/>
      <c r="IS715" s="267"/>
    </row>
    <row r="716" spans="10:253">
      <c r="J716" s="267"/>
      <c r="K716" s="267"/>
      <c r="L716" s="267"/>
      <c r="M716" s="267"/>
      <c r="N716" s="267"/>
      <c r="O716" s="267"/>
      <c r="P716" s="267"/>
      <c r="Q716" s="267"/>
      <c r="S716" s="267"/>
      <c r="T716" s="267"/>
      <c r="U716" s="267"/>
      <c r="V716" s="267"/>
      <c r="W716" s="264"/>
      <c r="Y716" s="267"/>
      <c r="Z716" s="267"/>
      <c r="AA716" s="267"/>
      <c r="AB716" s="267"/>
      <c r="AE716" s="267"/>
      <c r="AF716" s="267"/>
      <c r="AG716" s="267"/>
      <c r="AH716" s="267"/>
      <c r="AK716" s="267"/>
      <c r="AL716" s="267"/>
      <c r="AM716" s="267"/>
      <c r="AN716" s="267"/>
      <c r="AQ716" s="267"/>
      <c r="AR716" s="267"/>
      <c r="AS716" s="267"/>
      <c r="AT716" s="267"/>
      <c r="AW716" s="267"/>
      <c r="AX716" s="267"/>
      <c r="AY716" s="267"/>
      <c r="AZ716" s="267"/>
      <c r="BG716" s="269"/>
      <c r="BM716" s="269"/>
      <c r="BS716" s="269"/>
      <c r="BU716" s="267"/>
      <c r="BY716" s="267"/>
      <c r="CC716" s="267"/>
      <c r="CG716" s="267"/>
      <c r="CS716" s="267"/>
      <c r="CW716" s="270"/>
      <c r="CX716" s="267"/>
      <c r="DC716" s="267"/>
      <c r="DH716" s="267"/>
      <c r="DM716" s="267"/>
      <c r="DR716" s="267"/>
      <c r="DW716" s="267"/>
      <c r="EB716" s="267"/>
      <c r="EG716" s="267"/>
      <c r="EL716" s="267"/>
      <c r="EQ716" s="267"/>
      <c r="EU716" s="270"/>
      <c r="EV716" s="267"/>
      <c r="FC716" s="267"/>
      <c r="FD716" s="267"/>
      <c r="FE716" s="267"/>
      <c r="FF716" s="267"/>
      <c r="FG716" s="267"/>
      <c r="FL716" s="267"/>
      <c r="FM716" s="267"/>
      <c r="FN716" s="267"/>
      <c r="FO716" s="267"/>
      <c r="FP716" s="267"/>
      <c r="FQ716" s="264"/>
      <c r="FR716" s="264"/>
      <c r="FS716" s="264"/>
      <c r="FT716" s="264"/>
      <c r="FU716" s="267"/>
      <c r="FV716" s="267"/>
      <c r="FW716" s="267"/>
      <c r="FX716" s="267"/>
      <c r="FY716" s="267"/>
      <c r="GD716" s="267"/>
      <c r="GE716" s="267"/>
      <c r="GF716" s="267"/>
      <c r="GG716" s="267"/>
      <c r="GH716" s="267"/>
      <c r="GI716" s="264"/>
      <c r="GJ716" s="264"/>
      <c r="GK716" s="264"/>
      <c r="GL716" s="264"/>
      <c r="HD716" s="267"/>
      <c r="HE716" s="267"/>
      <c r="HF716" s="267"/>
      <c r="HG716" s="267"/>
      <c r="HH716" s="267"/>
      <c r="HI716" s="267"/>
      <c r="HJ716" s="267"/>
      <c r="HK716" s="267"/>
      <c r="HL716" s="267"/>
      <c r="HM716" s="267"/>
      <c r="HN716" s="267"/>
      <c r="HO716" s="267"/>
      <c r="HP716" s="267"/>
      <c r="HQ716" s="267"/>
      <c r="HR716" s="267"/>
      <c r="HS716" s="267"/>
      <c r="HT716" s="267"/>
      <c r="HU716" s="267"/>
      <c r="IH716" s="267"/>
      <c r="IK716" s="267"/>
      <c r="IN716" s="267"/>
      <c r="IQ716" s="267"/>
      <c r="IR716" s="267"/>
      <c r="IS716" s="267"/>
    </row>
    <row r="717" spans="10:253">
      <c r="J717" s="267"/>
      <c r="K717" s="267"/>
      <c r="L717" s="267"/>
      <c r="M717" s="267"/>
      <c r="N717" s="267"/>
      <c r="O717" s="267"/>
      <c r="P717" s="267"/>
      <c r="Q717" s="267"/>
      <c r="S717" s="267"/>
      <c r="T717" s="267"/>
      <c r="U717" s="267"/>
      <c r="V717" s="267"/>
      <c r="W717" s="264"/>
      <c r="Y717" s="267"/>
      <c r="Z717" s="267"/>
      <c r="AA717" s="267"/>
      <c r="AB717" s="267"/>
      <c r="AE717" s="267"/>
      <c r="AF717" s="267"/>
      <c r="AG717" s="267"/>
      <c r="AH717" s="267"/>
      <c r="AK717" s="267"/>
      <c r="AL717" s="267"/>
      <c r="AM717" s="267"/>
      <c r="AN717" s="267"/>
      <c r="AQ717" s="267"/>
      <c r="AR717" s="267"/>
      <c r="AS717" s="267"/>
      <c r="AT717" s="267"/>
      <c r="AW717" s="267"/>
      <c r="AX717" s="267"/>
      <c r="AY717" s="267"/>
      <c r="AZ717" s="267"/>
      <c r="BG717" s="269"/>
      <c r="BM717" s="269"/>
      <c r="BS717" s="269"/>
      <c r="BU717" s="267"/>
      <c r="BY717" s="267"/>
      <c r="CC717" s="267"/>
      <c r="CG717" s="267"/>
      <c r="CS717" s="267"/>
      <c r="CW717" s="270"/>
      <c r="CX717" s="267"/>
      <c r="DC717" s="267"/>
      <c r="DH717" s="267"/>
      <c r="DM717" s="267"/>
      <c r="DR717" s="267"/>
      <c r="DW717" s="267"/>
      <c r="EB717" s="267"/>
      <c r="EG717" s="267"/>
      <c r="EL717" s="267"/>
      <c r="EQ717" s="267"/>
      <c r="EU717" s="270"/>
      <c r="EV717" s="267"/>
      <c r="FC717" s="267"/>
      <c r="FD717" s="267"/>
      <c r="FE717" s="267"/>
      <c r="FF717" s="267"/>
      <c r="FG717" s="267"/>
      <c r="FL717" s="267"/>
      <c r="FM717" s="267"/>
      <c r="FN717" s="267"/>
      <c r="FO717" s="267"/>
      <c r="FP717" s="267"/>
      <c r="FQ717" s="264"/>
      <c r="FR717" s="264"/>
      <c r="FS717" s="264"/>
      <c r="FT717" s="264"/>
      <c r="FU717" s="267"/>
      <c r="FV717" s="267"/>
      <c r="FW717" s="267"/>
      <c r="FX717" s="267"/>
      <c r="FY717" s="267"/>
      <c r="GD717" s="267"/>
      <c r="GE717" s="267"/>
      <c r="GF717" s="267"/>
      <c r="GG717" s="267"/>
      <c r="GH717" s="267"/>
      <c r="GI717" s="264"/>
      <c r="GJ717" s="264"/>
      <c r="GK717" s="264"/>
      <c r="GL717" s="264"/>
      <c r="HD717" s="267"/>
      <c r="HE717" s="267"/>
      <c r="HF717" s="267"/>
      <c r="HG717" s="267"/>
      <c r="HH717" s="267"/>
      <c r="HI717" s="267"/>
      <c r="HJ717" s="267"/>
      <c r="HK717" s="267"/>
      <c r="HL717" s="267"/>
      <c r="HM717" s="267"/>
      <c r="HN717" s="267"/>
      <c r="HO717" s="267"/>
      <c r="HP717" s="267"/>
      <c r="HQ717" s="267"/>
      <c r="HR717" s="267"/>
      <c r="HS717" s="267"/>
      <c r="HT717" s="267"/>
      <c r="HU717" s="267"/>
      <c r="IH717" s="267"/>
      <c r="IK717" s="267"/>
      <c r="IN717" s="267"/>
      <c r="IQ717" s="267"/>
      <c r="IR717" s="267"/>
      <c r="IS717" s="267"/>
    </row>
    <row r="718" spans="10:253">
      <c r="J718" s="267"/>
      <c r="K718" s="267"/>
      <c r="L718" s="267"/>
      <c r="M718" s="267"/>
      <c r="N718" s="267"/>
      <c r="O718" s="267"/>
      <c r="P718" s="267"/>
      <c r="Q718" s="267"/>
      <c r="S718" s="267"/>
      <c r="T718" s="267"/>
      <c r="U718" s="267"/>
      <c r="V718" s="267"/>
      <c r="W718" s="264"/>
      <c r="Y718" s="267"/>
      <c r="Z718" s="267"/>
      <c r="AA718" s="267"/>
      <c r="AB718" s="267"/>
      <c r="AE718" s="267"/>
      <c r="AF718" s="267"/>
      <c r="AG718" s="267"/>
      <c r="AH718" s="267"/>
      <c r="AK718" s="267"/>
      <c r="AL718" s="267"/>
      <c r="AM718" s="267"/>
      <c r="AN718" s="267"/>
      <c r="AQ718" s="267"/>
      <c r="AR718" s="267"/>
      <c r="AS718" s="267"/>
      <c r="AT718" s="267"/>
      <c r="AW718" s="267"/>
      <c r="AX718" s="267"/>
      <c r="AY718" s="267"/>
      <c r="AZ718" s="267"/>
      <c r="BG718" s="269"/>
      <c r="BM718" s="269"/>
      <c r="BS718" s="269"/>
      <c r="BU718" s="267"/>
      <c r="BY718" s="267"/>
      <c r="CC718" s="267"/>
      <c r="CG718" s="267"/>
      <c r="CS718" s="267"/>
      <c r="CW718" s="270"/>
      <c r="CX718" s="267"/>
      <c r="DC718" s="267"/>
      <c r="DH718" s="267"/>
      <c r="DM718" s="267"/>
      <c r="DR718" s="267"/>
      <c r="DW718" s="267"/>
      <c r="EB718" s="267"/>
      <c r="EG718" s="267"/>
      <c r="EL718" s="267"/>
      <c r="EQ718" s="267"/>
      <c r="EU718" s="270"/>
      <c r="EV718" s="267"/>
      <c r="FC718" s="267"/>
      <c r="FD718" s="267"/>
      <c r="FE718" s="267"/>
      <c r="FF718" s="267"/>
      <c r="FG718" s="267"/>
      <c r="FL718" s="267"/>
      <c r="FM718" s="267"/>
      <c r="FN718" s="267"/>
      <c r="FO718" s="267"/>
      <c r="FP718" s="267"/>
      <c r="FQ718" s="264"/>
      <c r="FR718" s="264"/>
      <c r="FS718" s="264"/>
      <c r="FT718" s="264"/>
      <c r="FU718" s="267"/>
      <c r="FV718" s="267"/>
      <c r="FW718" s="267"/>
      <c r="FX718" s="267"/>
      <c r="FY718" s="267"/>
      <c r="GD718" s="267"/>
      <c r="GE718" s="267"/>
      <c r="GF718" s="267"/>
      <c r="GG718" s="267"/>
      <c r="GH718" s="267"/>
      <c r="GI718" s="264"/>
      <c r="GJ718" s="264"/>
      <c r="GK718" s="264"/>
      <c r="GL718" s="264"/>
      <c r="HD718" s="267"/>
      <c r="HE718" s="267"/>
      <c r="HF718" s="267"/>
      <c r="HG718" s="267"/>
      <c r="HH718" s="267"/>
      <c r="HI718" s="267"/>
      <c r="HJ718" s="267"/>
      <c r="HK718" s="267"/>
      <c r="HL718" s="267"/>
      <c r="HM718" s="267"/>
      <c r="HN718" s="267"/>
      <c r="HO718" s="267"/>
      <c r="HP718" s="267"/>
      <c r="HQ718" s="267"/>
      <c r="HR718" s="267"/>
      <c r="HS718" s="267"/>
      <c r="HT718" s="267"/>
      <c r="HU718" s="267"/>
      <c r="IH718" s="267"/>
      <c r="IK718" s="267"/>
      <c r="IN718" s="267"/>
      <c r="IQ718" s="267"/>
      <c r="IR718" s="267"/>
      <c r="IS718" s="267"/>
    </row>
    <row r="719" spans="10:253">
      <c r="J719" s="267"/>
      <c r="K719" s="267"/>
      <c r="L719" s="267"/>
      <c r="M719" s="267"/>
      <c r="N719" s="267"/>
      <c r="O719" s="267"/>
      <c r="P719" s="267"/>
      <c r="Q719" s="267"/>
      <c r="S719" s="267"/>
      <c r="T719" s="267"/>
      <c r="U719" s="267"/>
      <c r="V719" s="267"/>
      <c r="W719" s="264"/>
      <c r="Y719" s="267"/>
      <c r="Z719" s="267"/>
      <c r="AA719" s="267"/>
      <c r="AB719" s="267"/>
      <c r="AE719" s="267"/>
      <c r="AF719" s="267"/>
      <c r="AG719" s="267"/>
      <c r="AH719" s="267"/>
      <c r="AK719" s="267"/>
      <c r="AL719" s="267"/>
      <c r="AM719" s="267"/>
      <c r="AN719" s="267"/>
      <c r="AQ719" s="267"/>
      <c r="AR719" s="267"/>
      <c r="AS719" s="267"/>
      <c r="AT719" s="267"/>
      <c r="AW719" s="267"/>
      <c r="AX719" s="267"/>
      <c r="AY719" s="267"/>
      <c r="AZ719" s="267"/>
      <c r="BG719" s="269"/>
      <c r="BM719" s="269"/>
      <c r="BS719" s="269"/>
      <c r="BU719" s="267"/>
      <c r="BY719" s="267"/>
      <c r="CC719" s="267"/>
      <c r="CG719" s="267"/>
      <c r="CS719" s="267"/>
      <c r="CW719" s="270"/>
      <c r="CX719" s="267"/>
      <c r="DC719" s="267"/>
      <c r="DH719" s="267"/>
      <c r="DM719" s="267"/>
      <c r="DR719" s="267"/>
      <c r="DW719" s="267"/>
      <c r="EB719" s="267"/>
      <c r="EG719" s="267"/>
      <c r="EL719" s="267"/>
      <c r="EQ719" s="267"/>
      <c r="EU719" s="270"/>
      <c r="EV719" s="267"/>
      <c r="FC719" s="267"/>
      <c r="FD719" s="267"/>
      <c r="FE719" s="267"/>
      <c r="FF719" s="267"/>
      <c r="FG719" s="267"/>
      <c r="FL719" s="267"/>
      <c r="FM719" s="267"/>
      <c r="FN719" s="267"/>
      <c r="FO719" s="267"/>
      <c r="FP719" s="267"/>
      <c r="FQ719" s="264"/>
      <c r="FR719" s="264"/>
      <c r="FS719" s="264"/>
      <c r="FT719" s="264"/>
      <c r="FU719" s="267"/>
      <c r="FV719" s="267"/>
      <c r="FW719" s="267"/>
      <c r="FX719" s="267"/>
      <c r="FY719" s="267"/>
      <c r="GD719" s="267"/>
      <c r="GE719" s="267"/>
      <c r="GF719" s="267"/>
      <c r="GG719" s="267"/>
      <c r="GH719" s="267"/>
      <c r="GI719" s="264"/>
      <c r="GJ719" s="264"/>
      <c r="GK719" s="264"/>
      <c r="GL719" s="264"/>
      <c r="HD719" s="267"/>
      <c r="HE719" s="267"/>
      <c r="HF719" s="267"/>
      <c r="HG719" s="267"/>
      <c r="HH719" s="267"/>
      <c r="HI719" s="267"/>
      <c r="HJ719" s="267"/>
      <c r="HK719" s="267"/>
      <c r="HL719" s="267"/>
      <c r="HM719" s="267"/>
      <c r="HN719" s="267"/>
      <c r="HO719" s="267"/>
      <c r="HP719" s="267"/>
      <c r="HQ719" s="267"/>
      <c r="HR719" s="267"/>
      <c r="HS719" s="267"/>
      <c r="HT719" s="267"/>
      <c r="HU719" s="267"/>
      <c r="IH719" s="267"/>
      <c r="IK719" s="267"/>
      <c r="IN719" s="267"/>
      <c r="IQ719" s="267"/>
      <c r="IR719" s="267"/>
      <c r="IS719" s="267"/>
    </row>
    <row r="720" spans="10:253">
      <c r="J720" s="267"/>
      <c r="K720" s="267"/>
      <c r="L720" s="267"/>
      <c r="M720" s="267"/>
      <c r="N720" s="267"/>
      <c r="O720" s="267"/>
      <c r="P720" s="267"/>
      <c r="Q720" s="267"/>
      <c r="S720" s="267"/>
      <c r="T720" s="267"/>
      <c r="U720" s="267"/>
      <c r="V720" s="267"/>
      <c r="W720" s="264"/>
      <c r="Y720" s="267"/>
      <c r="Z720" s="267"/>
      <c r="AA720" s="267"/>
      <c r="AB720" s="267"/>
      <c r="AE720" s="267"/>
      <c r="AF720" s="267"/>
      <c r="AG720" s="267"/>
      <c r="AH720" s="267"/>
      <c r="AK720" s="267"/>
      <c r="AL720" s="267"/>
      <c r="AM720" s="267"/>
      <c r="AN720" s="267"/>
      <c r="AQ720" s="267"/>
      <c r="AR720" s="267"/>
      <c r="AS720" s="267"/>
      <c r="AT720" s="267"/>
      <c r="AW720" s="267"/>
      <c r="AX720" s="267"/>
      <c r="AY720" s="267"/>
      <c r="AZ720" s="267"/>
      <c r="BG720" s="269"/>
      <c r="BM720" s="269"/>
      <c r="BS720" s="269"/>
      <c r="BU720" s="267"/>
      <c r="BY720" s="267"/>
      <c r="CC720" s="267"/>
      <c r="CG720" s="267"/>
      <c r="CS720" s="267"/>
      <c r="CW720" s="270"/>
      <c r="CX720" s="267"/>
      <c r="DC720" s="267"/>
      <c r="DH720" s="267"/>
      <c r="DM720" s="267"/>
      <c r="DR720" s="267"/>
      <c r="DW720" s="267"/>
      <c r="EB720" s="267"/>
      <c r="EG720" s="267"/>
      <c r="EL720" s="267"/>
      <c r="EQ720" s="267"/>
      <c r="EU720" s="270"/>
      <c r="EV720" s="267"/>
      <c r="FC720" s="267"/>
      <c r="FD720" s="267"/>
      <c r="FE720" s="267"/>
      <c r="FF720" s="267"/>
      <c r="FG720" s="267"/>
      <c r="FL720" s="267"/>
      <c r="FM720" s="267"/>
      <c r="FN720" s="267"/>
      <c r="FO720" s="267"/>
      <c r="FP720" s="267"/>
      <c r="FQ720" s="264"/>
      <c r="FR720" s="264"/>
      <c r="FS720" s="264"/>
      <c r="FT720" s="264"/>
      <c r="FU720" s="267"/>
      <c r="FV720" s="267"/>
      <c r="FW720" s="267"/>
      <c r="FX720" s="267"/>
      <c r="FY720" s="267"/>
      <c r="GD720" s="267"/>
      <c r="GE720" s="267"/>
      <c r="GF720" s="267"/>
      <c r="GG720" s="267"/>
      <c r="GH720" s="267"/>
      <c r="GI720" s="264"/>
      <c r="GJ720" s="264"/>
      <c r="GK720" s="264"/>
      <c r="GL720" s="264"/>
      <c r="HD720" s="267"/>
      <c r="HE720" s="267"/>
      <c r="HF720" s="267"/>
      <c r="HG720" s="267"/>
      <c r="HH720" s="267"/>
      <c r="HI720" s="267"/>
      <c r="HJ720" s="267"/>
      <c r="HK720" s="267"/>
      <c r="HL720" s="267"/>
      <c r="HM720" s="267"/>
      <c r="HN720" s="267"/>
      <c r="HO720" s="267"/>
      <c r="HP720" s="267"/>
      <c r="HQ720" s="267"/>
      <c r="HR720" s="267"/>
      <c r="HS720" s="267"/>
      <c r="HT720" s="267"/>
      <c r="HU720" s="267"/>
      <c r="IH720" s="267"/>
      <c r="IK720" s="267"/>
      <c r="IN720" s="267"/>
      <c r="IQ720" s="267"/>
      <c r="IR720" s="267"/>
      <c r="IS720" s="267"/>
    </row>
    <row r="721" spans="10:253">
      <c r="J721" s="267"/>
      <c r="K721" s="267"/>
      <c r="L721" s="267"/>
      <c r="M721" s="267"/>
      <c r="N721" s="267"/>
      <c r="O721" s="267"/>
      <c r="P721" s="267"/>
      <c r="Q721" s="267"/>
      <c r="S721" s="267"/>
      <c r="T721" s="267"/>
      <c r="U721" s="267"/>
      <c r="V721" s="267"/>
      <c r="W721" s="264"/>
      <c r="Y721" s="267"/>
      <c r="Z721" s="267"/>
      <c r="AA721" s="267"/>
      <c r="AB721" s="267"/>
      <c r="AE721" s="267"/>
      <c r="AF721" s="267"/>
      <c r="AG721" s="267"/>
      <c r="AH721" s="267"/>
      <c r="AK721" s="267"/>
      <c r="AL721" s="267"/>
      <c r="AM721" s="267"/>
      <c r="AN721" s="267"/>
      <c r="AQ721" s="267"/>
      <c r="AR721" s="267"/>
      <c r="AS721" s="267"/>
      <c r="AT721" s="267"/>
      <c r="AW721" s="267"/>
      <c r="AX721" s="267"/>
      <c r="AY721" s="267"/>
      <c r="AZ721" s="267"/>
      <c r="BG721" s="269"/>
      <c r="BM721" s="269"/>
      <c r="BS721" s="269"/>
      <c r="BU721" s="267"/>
      <c r="BY721" s="267"/>
      <c r="CC721" s="267"/>
      <c r="CG721" s="267"/>
      <c r="CS721" s="267"/>
      <c r="CW721" s="270"/>
      <c r="CX721" s="267"/>
      <c r="DC721" s="267"/>
      <c r="DH721" s="267"/>
      <c r="DM721" s="267"/>
      <c r="DR721" s="267"/>
      <c r="DW721" s="267"/>
      <c r="EB721" s="267"/>
      <c r="EG721" s="267"/>
      <c r="EL721" s="267"/>
      <c r="EQ721" s="267"/>
      <c r="EU721" s="270"/>
      <c r="EV721" s="267"/>
      <c r="FC721" s="267"/>
      <c r="FD721" s="267"/>
      <c r="FE721" s="267"/>
      <c r="FF721" s="267"/>
      <c r="FG721" s="267"/>
      <c r="FL721" s="267"/>
      <c r="FM721" s="267"/>
      <c r="FN721" s="267"/>
      <c r="FO721" s="267"/>
      <c r="FP721" s="267"/>
      <c r="FQ721" s="264"/>
      <c r="FR721" s="264"/>
      <c r="FS721" s="264"/>
      <c r="FT721" s="264"/>
      <c r="FU721" s="267"/>
      <c r="FV721" s="267"/>
      <c r="FW721" s="267"/>
      <c r="FX721" s="267"/>
      <c r="FY721" s="267"/>
      <c r="GD721" s="267"/>
      <c r="GE721" s="267"/>
      <c r="GF721" s="267"/>
      <c r="GG721" s="267"/>
      <c r="GH721" s="267"/>
      <c r="GI721" s="264"/>
      <c r="GJ721" s="264"/>
      <c r="GK721" s="264"/>
      <c r="GL721" s="264"/>
      <c r="HD721" s="267"/>
      <c r="HE721" s="267"/>
      <c r="HF721" s="267"/>
      <c r="HG721" s="267"/>
      <c r="HH721" s="267"/>
      <c r="HI721" s="267"/>
      <c r="HJ721" s="267"/>
      <c r="HK721" s="267"/>
      <c r="HL721" s="267"/>
      <c r="HM721" s="267"/>
      <c r="HN721" s="267"/>
      <c r="HO721" s="267"/>
      <c r="HP721" s="267"/>
      <c r="HQ721" s="267"/>
      <c r="HR721" s="267"/>
      <c r="HS721" s="267"/>
      <c r="HT721" s="267"/>
      <c r="HU721" s="267"/>
      <c r="IH721" s="267"/>
      <c r="IK721" s="267"/>
      <c r="IN721" s="267"/>
      <c r="IQ721" s="267"/>
      <c r="IR721" s="267"/>
      <c r="IS721" s="267"/>
    </row>
    <row r="722" spans="10:253">
      <c r="J722" s="267"/>
      <c r="K722" s="267"/>
      <c r="L722" s="267"/>
      <c r="M722" s="267"/>
      <c r="N722" s="267"/>
      <c r="O722" s="267"/>
      <c r="P722" s="267"/>
      <c r="Q722" s="267"/>
      <c r="S722" s="267"/>
      <c r="T722" s="267"/>
      <c r="U722" s="267"/>
      <c r="V722" s="267"/>
      <c r="W722" s="264"/>
      <c r="Y722" s="267"/>
      <c r="Z722" s="267"/>
      <c r="AA722" s="267"/>
      <c r="AB722" s="267"/>
      <c r="AE722" s="267"/>
      <c r="AF722" s="267"/>
      <c r="AG722" s="267"/>
      <c r="AH722" s="267"/>
      <c r="AK722" s="267"/>
      <c r="AL722" s="267"/>
      <c r="AM722" s="267"/>
      <c r="AN722" s="267"/>
      <c r="AQ722" s="267"/>
      <c r="AR722" s="267"/>
      <c r="AS722" s="267"/>
      <c r="AT722" s="267"/>
      <c r="AW722" s="267"/>
      <c r="AX722" s="267"/>
      <c r="AY722" s="267"/>
      <c r="AZ722" s="267"/>
      <c r="BG722" s="269"/>
      <c r="BM722" s="269"/>
      <c r="BS722" s="269"/>
      <c r="BU722" s="267"/>
      <c r="BY722" s="267"/>
      <c r="CC722" s="267"/>
      <c r="CG722" s="267"/>
      <c r="CS722" s="267"/>
      <c r="CW722" s="270"/>
      <c r="CX722" s="267"/>
      <c r="DC722" s="267"/>
      <c r="DH722" s="267"/>
      <c r="DM722" s="267"/>
      <c r="DR722" s="267"/>
      <c r="DW722" s="267"/>
      <c r="EB722" s="267"/>
      <c r="EG722" s="267"/>
      <c r="EL722" s="267"/>
      <c r="EQ722" s="267"/>
      <c r="EU722" s="270"/>
      <c r="EV722" s="267"/>
      <c r="FC722" s="267"/>
      <c r="FD722" s="267"/>
      <c r="FE722" s="267"/>
      <c r="FF722" s="267"/>
      <c r="FG722" s="267"/>
      <c r="FL722" s="267"/>
      <c r="FM722" s="267"/>
      <c r="FN722" s="267"/>
      <c r="FO722" s="267"/>
      <c r="FP722" s="267"/>
      <c r="FQ722" s="264"/>
      <c r="FR722" s="264"/>
      <c r="FS722" s="264"/>
      <c r="FT722" s="264"/>
      <c r="FU722" s="267"/>
      <c r="FV722" s="267"/>
      <c r="FW722" s="267"/>
      <c r="FX722" s="267"/>
      <c r="FY722" s="267"/>
      <c r="GD722" s="267"/>
      <c r="GE722" s="267"/>
      <c r="GF722" s="267"/>
      <c r="GG722" s="267"/>
      <c r="GH722" s="267"/>
      <c r="GI722" s="264"/>
      <c r="GJ722" s="264"/>
      <c r="GK722" s="264"/>
      <c r="GL722" s="264"/>
      <c r="HD722" s="267"/>
      <c r="HE722" s="267"/>
      <c r="HF722" s="267"/>
      <c r="HG722" s="267"/>
      <c r="HH722" s="267"/>
      <c r="HI722" s="267"/>
      <c r="HJ722" s="267"/>
      <c r="HK722" s="267"/>
      <c r="HL722" s="267"/>
      <c r="HM722" s="267"/>
      <c r="HN722" s="267"/>
      <c r="HO722" s="267"/>
      <c r="HP722" s="267"/>
      <c r="HQ722" s="267"/>
      <c r="HR722" s="267"/>
      <c r="HS722" s="267"/>
      <c r="HT722" s="267"/>
      <c r="HU722" s="267"/>
      <c r="IH722" s="267"/>
      <c r="IK722" s="267"/>
      <c r="IN722" s="267"/>
      <c r="IQ722" s="267"/>
      <c r="IR722" s="267"/>
      <c r="IS722" s="267"/>
    </row>
    <row r="723" spans="10:253">
      <c r="J723" s="267"/>
      <c r="K723" s="267"/>
      <c r="L723" s="267"/>
      <c r="M723" s="267"/>
      <c r="N723" s="267"/>
      <c r="O723" s="267"/>
      <c r="P723" s="267"/>
      <c r="Q723" s="267"/>
      <c r="S723" s="267"/>
      <c r="T723" s="267"/>
      <c r="U723" s="267"/>
      <c r="V723" s="267"/>
      <c r="W723" s="264"/>
      <c r="Y723" s="267"/>
      <c r="Z723" s="267"/>
      <c r="AA723" s="267"/>
      <c r="AB723" s="267"/>
      <c r="AE723" s="267"/>
      <c r="AF723" s="267"/>
      <c r="AG723" s="267"/>
      <c r="AH723" s="267"/>
      <c r="AK723" s="267"/>
      <c r="AL723" s="267"/>
      <c r="AM723" s="267"/>
      <c r="AN723" s="267"/>
      <c r="AQ723" s="267"/>
      <c r="AR723" s="267"/>
      <c r="AS723" s="267"/>
      <c r="AT723" s="267"/>
      <c r="AW723" s="267"/>
      <c r="AX723" s="267"/>
      <c r="AY723" s="267"/>
      <c r="AZ723" s="267"/>
      <c r="BG723" s="269"/>
      <c r="BM723" s="269"/>
      <c r="BS723" s="269"/>
      <c r="BU723" s="267"/>
      <c r="BY723" s="267"/>
      <c r="CC723" s="267"/>
      <c r="CG723" s="267"/>
      <c r="CS723" s="267"/>
      <c r="CW723" s="270"/>
      <c r="CX723" s="267"/>
      <c r="DC723" s="267"/>
      <c r="DH723" s="267"/>
      <c r="DM723" s="267"/>
      <c r="DR723" s="267"/>
      <c r="DW723" s="267"/>
      <c r="EB723" s="267"/>
      <c r="EG723" s="267"/>
      <c r="EL723" s="267"/>
      <c r="EQ723" s="267"/>
      <c r="EU723" s="270"/>
      <c r="EV723" s="267"/>
      <c r="FC723" s="267"/>
      <c r="FD723" s="267"/>
      <c r="FE723" s="267"/>
      <c r="FF723" s="267"/>
      <c r="FG723" s="267"/>
      <c r="FL723" s="267"/>
      <c r="FM723" s="267"/>
      <c r="FN723" s="267"/>
      <c r="FO723" s="267"/>
      <c r="FP723" s="267"/>
      <c r="FQ723" s="264"/>
      <c r="FR723" s="264"/>
      <c r="FS723" s="264"/>
      <c r="FT723" s="264"/>
      <c r="FU723" s="267"/>
      <c r="FV723" s="267"/>
      <c r="FW723" s="267"/>
      <c r="FX723" s="267"/>
      <c r="FY723" s="267"/>
      <c r="GD723" s="267"/>
      <c r="GE723" s="267"/>
      <c r="GF723" s="267"/>
      <c r="GG723" s="267"/>
      <c r="GH723" s="267"/>
      <c r="GI723" s="264"/>
      <c r="GJ723" s="264"/>
      <c r="GK723" s="264"/>
      <c r="GL723" s="264"/>
      <c r="HD723" s="267"/>
      <c r="HE723" s="267"/>
      <c r="HF723" s="267"/>
      <c r="HG723" s="267"/>
      <c r="HH723" s="267"/>
      <c r="HI723" s="267"/>
      <c r="HJ723" s="267"/>
      <c r="HK723" s="267"/>
      <c r="HL723" s="267"/>
      <c r="HM723" s="267"/>
      <c r="HN723" s="267"/>
      <c r="HO723" s="267"/>
      <c r="HP723" s="267"/>
      <c r="HQ723" s="267"/>
      <c r="HR723" s="267"/>
      <c r="HS723" s="267"/>
      <c r="HT723" s="267"/>
      <c r="HU723" s="267"/>
      <c r="IH723" s="267"/>
      <c r="IK723" s="267"/>
      <c r="IN723" s="267"/>
      <c r="IQ723" s="267"/>
      <c r="IR723" s="267"/>
      <c r="IS723" s="267"/>
    </row>
    <row r="724" spans="10:253">
      <c r="J724" s="267"/>
      <c r="K724" s="267"/>
      <c r="L724" s="267"/>
      <c r="M724" s="267"/>
      <c r="N724" s="267"/>
      <c r="O724" s="267"/>
      <c r="P724" s="267"/>
      <c r="Q724" s="267"/>
      <c r="S724" s="267"/>
      <c r="T724" s="267"/>
      <c r="U724" s="267"/>
      <c r="V724" s="267"/>
      <c r="W724" s="264"/>
      <c r="Y724" s="267"/>
      <c r="Z724" s="267"/>
      <c r="AA724" s="267"/>
      <c r="AB724" s="267"/>
      <c r="AE724" s="267"/>
      <c r="AF724" s="267"/>
      <c r="AG724" s="267"/>
      <c r="AH724" s="267"/>
      <c r="AK724" s="267"/>
      <c r="AL724" s="267"/>
      <c r="AM724" s="267"/>
      <c r="AN724" s="267"/>
      <c r="AQ724" s="267"/>
      <c r="AR724" s="267"/>
      <c r="AS724" s="267"/>
      <c r="AT724" s="267"/>
      <c r="AW724" s="267"/>
      <c r="AX724" s="267"/>
      <c r="AY724" s="267"/>
      <c r="AZ724" s="267"/>
      <c r="BG724" s="269"/>
      <c r="BM724" s="269"/>
      <c r="BS724" s="269"/>
      <c r="BU724" s="267"/>
      <c r="BY724" s="267"/>
      <c r="CC724" s="267"/>
      <c r="CG724" s="267"/>
      <c r="CS724" s="267"/>
      <c r="CW724" s="270"/>
      <c r="CX724" s="267"/>
      <c r="DC724" s="267"/>
      <c r="DH724" s="267"/>
      <c r="DM724" s="267"/>
      <c r="DR724" s="267"/>
      <c r="DW724" s="267"/>
      <c r="EB724" s="267"/>
      <c r="EG724" s="267"/>
      <c r="EL724" s="267"/>
      <c r="EQ724" s="267"/>
      <c r="EU724" s="270"/>
      <c r="EV724" s="267"/>
      <c r="FC724" s="267"/>
      <c r="FD724" s="267"/>
      <c r="FE724" s="267"/>
      <c r="FF724" s="267"/>
      <c r="FG724" s="267"/>
      <c r="FL724" s="267"/>
      <c r="FM724" s="267"/>
      <c r="FN724" s="267"/>
      <c r="FO724" s="267"/>
      <c r="FP724" s="267"/>
      <c r="FQ724" s="264"/>
      <c r="FR724" s="264"/>
      <c r="FS724" s="264"/>
      <c r="FT724" s="264"/>
      <c r="FU724" s="267"/>
      <c r="FV724" s="267"/>
      <c r="FW724" s="267"/>
      <c r="FX724" s="267"/>
      <c r="FY724" s="267"/>
      <c r="GD724" s="267"/>
      <c r="GE724" s="267"/>
      <c r="GF724" s="267"/>
      <c r="GG724" s="267"/>
      <c r="GH724" s="267"/>
      <c r="GI724" s="264"/>
      <c r="GJ724" s="264"/>
      <c r="GK724" s="264"/>
      <c r="GL724" s="264"/>
      <c r="HD724" s="267"/>
      <c r="HE724" s="267"/>
      <c r="HF724" s="267"/>
      <c r="HG724" s="267"/>
      <c r="HH724" s="267"/>
      <c r="HI724" s="267"/>
      <c r="HJ724" s="267"/>
      <c r="HK724" s="267"/>
      <c r="HL724" s="267"/>
      <c r="HM724" s="267"/>
      <c r="HN724" s="267"/>
      <c r="HO724" s="267"/>
      <c r="HP724" s="267"/>
      <c r="HQ724" s="267"/>
      <c r="HR724" s="267"/>
      <c r="HS724" s="267"/>
      <c r="HT724" s="267"/>
      <c r="HU724" s="267"/>
      <c r="IH724" s="267"/>
      <c r="IK724" s="267"/>
      <c r="IN724" s="267"/>
      <c r="IQ724" s="267"/>
      <c r="IR724" s="267"/>
      <c r="IS724" s="267"/>
    </row>
  </sheetData>
  <autoFilter ref="A1:IQ333" xr:uid="{00000000-0009-0000-0000-000002000000}">
    <sortState xmlns:xlrd2="http://schemas.microsoft.com/office/spreadsheetml/2017/richdata2" ref="A2:HM85">
      <sortCondition ref="A2:A85"/>
    </sortState>
  </autoFilter>
  <sortState xmlns:xlrd2="http://schemas.microsoft.com/office/spreadsheetml/2017/richdata2" ref="A2:JB418">
    <sortCondition ref="A2:A418"/>
  </sortState>
  <pageMargins left="0.7" right="0.7" top="0.75" bottom="0.75" header="0.3" footer="0.3"/>
  <pageSetup orientation="portrait" r:id="rId1"/>
  <headerFooter>
    <oddFooter>&amp;R&amp;1#&amp;"Arial"&amp;10&amp;K000000---Internal Use---&amp;C&amp;"Calibri"&amp;11&amp;K000000DOW RESTRICTED_x000D_&amp;1#&amp;"Arial"&amp;10&amp;K000000---Internal Use---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4" r:id="rId4" name="Button 2">
              <controlPr defaultSize="0" print="0" autoFill="0" autoPict="0" macro="[0]!Review_Shift_Data">
                <anchor moveWithCells="1" sizeWithCells="1">
                  <from>
                    <xdr:col>0</xdr:col>
                    <xdr:colOff>69850</xdr:colOff>
                    <xdr:row>0</xdr:row>
                    <xdr:rowOff>158750</xdr:rowOff>
                  </from>
                  <to>
                    <xdr:col>1</xdr:col>
                    <xdr:colOff>812800</xdr:colOff>
                    <xdr:row>0</xdr:row>
                    <xdr:rowOff>882650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H29"/>
  <sheetViews>
    <sheetView workbookViewId="0">
      <selection activeCell="J2" sqref="J2"/>
    </sheetView>
  </sheetViews>
  <sheetFormatPr baseColWidth="10" defaultColWidth="8.7265625" defaultRowHeight="14.5"/>
  <cols>
    <col min="1" max="1" width="12.453125" style="4" customWidth="1"/>
    <col min="2" max="2" width="12.453125" style="2" customWidth="1"/>
    <col min="3" max="3" width="12.453125" style="3" customWidth="1"/>
    <col min="4" max="8" width="12.453125" style="5" customWidth="1"/>
    <col min="9" max="11" width="12.453125" style="255" customWidth="1"/>
    <col min="12" max="12" width="12.453125" style="2" customWidth="1"/>
    <col min="13" max="13" width="12.453125" style="10" customWidth="1"/>
    <col min="14" max="15" width="12.453125" style="5" customWidth="1"/>
    <col min="16" max="31" width="15.6328125" customWidth="1"/>
  </cols>
  <sheetData>
    <row r="1" spans="1:34" s="1" customFormat="1" ht="58">
      <c r="A1" s="13"/>
      <c r="B1" s="9" t="s">
        <v>16</v>
      </c>
      <c r="C1" s="9" t="s">
        <v>7</v>
      </c>
      <c r="D1" s="14" t="s">
        <v>126</v>
      </c>
      <c r="E1" s="14" t="s">
        <v>10</v>
      </c>
      <c r="F1" s="14" t="s">
        <v>353</v>
      </c>
      <c r="G1" s="14" t="s">
        <v>355</v>
      </c>
      <c r="H1" s="14" t="s">
        <v>125</v>
      </c>
      <c r="I1" s="254" t="s">
        <v>358</v>
      </c>
      <c r="J1" s="254" t="s">
        <v>357</v>
      </c>
      <c r="K1" s="254" t="s">
        <v>356</v>
      </c>
      <c r="L1" s="14" t="s">
        <v>2</v>
      </c>
      <c r="M1" s="14" t="s">
        <v>13</v>
      </c>
      <c r="N1" s="14" t="s">
        <v>8</v>
      </c>
      <c r="O1" s="9" t="s">
        <v>9</v>
      </c>
      <c r="P1" s="9" t="s">
        <v>201</v>
      </c>
      <c r="Q1" s="9" t="s">
        <v>202</v>
      </c>
      <c r="R1" s="9" t="s">
        <v>203</v>
      </c>
      <c r="AF1" s="1">
        <v>0.89</v>
      </c>
      <c r="AG1" s="1">
        <v>0.08</v>
      </c>
      <c r="AH1" s="1">
        <v>0.03</v>
      </c>
    </row>
    <row r="2" spans="1:34" s="1" customFormat="1">
      <c r="A2" s="138">
        <f ca="1">DATE(YEAR(TODAY()),MONTH(TODAY())-12,1)</f>
        <v>44105</v>
      </c>
      <c r="B2" s="6">
        <f ca="1">IF(SUMIF('Master Log'!A:A,"&lt;"&amp;$A$3,'Master Log'!K:K)&lt;&gt;0,(SUMIF('Master Log'!A:A,"&lt;"&amp;$A$3,'Master Log'!K:K)),0)</f>
        <v>0</v>
      </c>
      <c r="C2" s="58">
        <f ca="1">IF(SUMIF('Master Log'!A:A,"&lt;"&amp;$A$3,'Master Log'!L:L)&lt;&gt;0,(SUMIF('Master Log'!A:A,"&lt;"&amp;$A$3,'Master Log'!L:L)),0)</f>
        <v>0</v>
      </c>
      <c r="D2" s="7" t="e">
        <f ca="1">IF(B2&gt;0,(B2-C2)/B2,NA())</f>
        <v>#N/A</v>
      </c>
      <c r="E2" s="7" t="e">
        <f ca="1">D2</f>
        <v>#N/A</v>
      </c>
      <c r="F2" s="58">
        <f ca="1">IF(SUMIF('Master Log'!A:A,"&lt;"&amp;$A$3,'Master Log'!N:N)&lt;&gt;0,(SUMIF('Master Log'!A:A,"&lt;"&amp;$A$3,'Master Log'!N:N)),0)</f>
        <v>0</v>
      </c>
      <c r="G2" s="58">
        <f ca="1">IF(SUMIF('Master Log'!A:A,"&lt;"&amp;$A$3,'Master Log'!M:M)&lt;&gt;0,(SUMIF('Master Log'!A:A,"&lt;"&amp;$A$3,'Master Log'!M:M)),0)</f>
        <v>0</v>
      </c>
      <c r="H2" s="7" t="e">
        <f ca="1">IF(B2&gt;0,F2/G2,NA())</f>
        <v>#N/A</v>
      </c>
      <c r="I2" s="6">
        <f ca="1">IF(SUMIF('Master Log'!A:A,"&lt;"&amp;$A$3,'Master Log'!Q:Q)&lt;&gt;0,(SUMIF('Master Log'!A:A,"&lt;"&amp;$A$3,'Master Log'!Q:Q)),0)</f>
        <v>0</v>
      </c>
      <c r="J2" s="6">
        <f ca="1">IF(SUMIF('Master Log'!A:A,"&lt;"&amp;$A$3,'Master Log'!O:O)&lt;&gt;0,(SUMIF('Master Log'!A:A,"&lt;"&amp;$A$3,'Master Log'!O:O)),0)</f>
        <v>0</v>
      </c>
      <c r="K2" s="6">
        <f ca="1">IF(SUMIF('Master Log'!A:A,"&lt;"&amp;$A$3,'Master Log'!P:P)&lt;&gt;0,(SUMIF('Master Log'!A:A,"&lt;"&amp;$A$3,'Master Log'!P:P)),0)</f>
        <v>0</v>
      </c>
      <c r="L2" s="7" t="e">
        <f ca="1">IF(B2&gt;0,I2/(I2+J2+K2),NA())</f>
        <v>#N/A</v>
      </c>
      <c r="M2" s="7" t="e">
        <f ca="1">L2</f>
        <v>#N/A</v>
      </c>
      <c r="N2" s="7" t="e">
        <f t="shared" ref="N2:N14" ca="1" si="0">IF(B2&gt;0,D2*H2*L2,NA())</f>
        <v>#N/A</v>
      </c>
      <c r="O2" s="7" t="e">
        <f ca="1">N2</f>
        <v>#N/A</v>
      </c>
      <c r="P2" s="180">
        <f ca="1">IF(SUMIF('Master Log'!A:A,"&lt;"&amp;$A$3,'Master Log'!BV:BV)&lt;&gt;0,(SUMIF('Master Log'!A:A,"&lt;"&amp;$A$3,'Master Log'!BV:BV)),0)+IF(SUMIF('Master Log'!A:A,"&lt;"&amp;$A$3,'Master Log'!BZ:BZ)&lt;&gt;0,(SUMIF('Master Log'!A:A,"&lt;"&amp;$A$3,'Master Log'!BZ:BZ)),0)+IF(SUMIF('Master Log'!A:A,"&lt;"&amp;$A$3,'Master Log'!CD:CD)&lt;&gt;0,(SUMIF('Master Log'!A:A,"&lt;"&amp;$A$3,'Master Log'!CD:CD)),0)+IF(SUMIF('Master Log'!A:A,"&lt;"&amp;$A$3,'Master Log'!CH:CH)&lt;&gt;0,(SUMIF('Master Log'!A:A,"&lt;"&amp;$A$3,'Master Log'!CH:CH)),0)+IF(SUMIF('Master Log'!A:A,"&lt;"&amp;$A$3,'Master Log'!CL:CL)&lt;&gt;0,(SUMIF('Master Log'!A:A,"&lt;"&amp;$A$3,'Master Log'!CL:CL)),0)+IF(SUMIF('Master Log'!A:A,"&lt;"&amp;$A$3,'Master Log'!CP:CP)&lt;&gt;0,(SUMIF('Master Log'!A:A,"&lt;"&amp;$A$3,'Master Log'!CP:CP)),0)</f>
        <v>0</v>
      </c>
      <c r="Q2" s="181" t="e">
        <f t="shared" ref="Q2:Q14" ca="1" si="1">IF(B2&gt;0,(B2-C2)/(B2-P2),NA())</f>
        <v>#N/A</v>
      </c>
      <c r="R2" s="181" t="e">
        <f ca="1">+Q2*H2*L2</f>
        <v>#N/A</v>
      </c>
    </row>
    <row r="3" spans="1:34">
      <c r="A3" s="138">
        <f ca="1">DATE(YEAR(TODAY()),MONTH(TODAY())-11,1)</f>
        <v>44136</v>
      </c>
      <c r="B3" s="58">
        <f ca="1">IF(SUMIF('Master Log'!A:A,"&lt;"&amp;A4,'Master Log'!K:K)&lt;&gt;0,(SUMIF('Master Log'!A:A,"&lt;"&amp;A4,'Master Log'!K:K))-SUM($B2:B$2),0)</f>
        <v>0</v>
      </c>
      <c r="C3" s="58">
        <f ca="1">IF(SUMIF('Master Log'!A:A,"&lt;"&amp;A4,'Master Log'!L:L)&lt;&gt;0,(SUMIF('Master Log'!A:A,"&lt;"&amp;A4,'Master Log'!L:L))-SUM($C2:C$2),0)</f>
        <v>0</v>
      </c>
      <c r="D3" s="7" t="e">
        <f ca="1">IF(B3&gt;0,(B3-C3)/B3,NA())</f>
        <v>#N/A</v>
      </c>
      <c r="E3" s="7" t="e">
        <f ca="1">IF(B3&gt;0,(SUM($B$2:B3)-SUM($C$2:C3))/SUM($B$2:B3),NA())</f>
        <v>#N/A</v>
      </c>
      <c r="F3" s="58">
        <f ca="1">IF(SUMIF('Master Log'!A:A,"&lt;"&amp;A4,'Master Log'!N:N)&lt;&gt;0,(SUMIF('Master Log'!A:A,"&lt;"&amp;A4,'Master Log'!N:N))-SUM($F$2:F2),0)</f>
        <v>0</v>
      </c>
      <c r="G3" s="58">
        <f ca="1">IF(SUMIF('Master Log'!A:A,"&lt;"&amp;A4,'Master Log'!M:M)&lt;&gt;0,(SUMIF('Master Log'!A:A,"&lt;"&amp;A4,'Master Log'!M:M))-SUM($G$2:G2),0)</f>
        <v>0</v>
      </c>
      <c r="H3" s="7" t="e">
        <f t="shared" ref="H3:H14" ca="1" si="2">IF(B3&gt;0,F3/G3,NA())</f>
        <v>#N/A</v>
      </c>
      <c r="I3" s="6">
        <f ca="1">IF(SUMIF('Master Log'!A:A,"&lt;"&amp;A4,'Master Log'!Q:Q)&lt;&gt;0,(SUMIF('Master Log'!A:A,"&lt;"&amp;A4,'Master Log'!Q:Q))-SUM($I$2:I2),0)</f>
        <v>0</v>
      </c>
      <c r="J3" s="6">
        <f ca="1">IF(SUMIF('Master Log'!A:A,"&lt;"&amp;A4,'Master Log'!O:O)&lt;&gt;0,(SUMIF('Master Log'!A:A,"&lt;"&amp;A4,'Master Log'!O:O))-SUM($J$2:J2),0)</f>
        <v>0</v>
      </c>
      <c r="K3" s="6">
        <f ca="1">IF(SUMIF('Master Log'!A:A,"&lt;"&amp;A4,'Master Log'!P:P)&lt;&gt;0,(SUMIF('Master Log'!A:A,"&lt;"&amp;A4,'Master Log'!P:P))-SUM($K$2:K2),0)</f>
        <v>0</v>
      </c>
      <c r="L3" s="7" t="e">
        <f t="shared" ref="L3:L14" ca="1" si="3">IF(B3&gt;0,I3/(I3+J3+K3),NA())</f>
        <v>#N/A</v>
      </c>
      <c r="M3" s="7" t="e">
        <f ca="1">L3</f>
        <v>#N/A</v>
      </c>
      <c r="N3" s="7" t="e">
        <f t="shared" ca="1" si="0"/>
        <v>#N/A</v>
      </c>
      <c r="O3" s="7" t="e">
        <f ca="1">N3</f>
        <v>#N/A</v>
      </c>
      <c r="P3" s="180">
        <f ca="1">IF(SUMIF('Master Log'!A:A,"&lt;"&amp;A4,'Master Log'!BV:BV)&lt;&gt;0,(SUMIF('Master Log'!A:A,"&lt;"&amp;A4,'Master Log'!BV:BV)),0)+IF(SUMIF('Master Log'!A:A,"&lt;"&amp;A4,'Master Log'!BZ:BZ)&lt;&gt;0,(SUMIF('Master Log'!A:A,"&lt;"&amp;A4,'Master Log'!BZ:BZ)),0)+IF(SUMIF('Master Log'!A:A,"&lt;"&amp;A4,'Master Log'!CD:CD)&lt;&gt;0,(SUMIF('Master Log'!A:A,"&lt;"&amp;A4,'Master Log'!CD:CD)),0)+IF(SUMIF('Master Log'!A:A,"&lt;"&amp;A4,'Master Log'!CH:CH)&lt;&gt;0,(SUMIF('Master Log'!A:A,"&lt;"&amp;A4,'Master Log'!CH:CH)),0)+IF(SUMIF('Master Log'!A:A,"&lt;"&amp;A4,'Master Log'!CL:CL)&lt;&gt;0,(SUMIF('Master Log'!A:A,"&lt;"&amp;A4,'Master Log'!CL:CL)),0)+IF(SUMIF('Master Log'!A:A,"&lt;"&amp;A4,'Master Log'!CP:CP)&lt;&gt;0,(SUMIF('Master Log'!A:A,"&lt;"&amp;A4,'Master Log'!CP:CP)),0)-SUM($P2:P$2)</f>
        <v>0</v>
      </c>
      <c r="Q3" s="181" t="e">
        <f t="shared" ca="1" si="1"/>
        <v>#N/A</v>
      </c>
      <c r="R3" s="181" t="e">
        <f t="shared" ref="R3:R14" ca="1" si="4">+Q3*H3*L3</f>
        <v>#N/A</v>
      </c>
      <c r="X3" s="1"/>
      <c r="Y3" s="1"/>
      <c r="Z3" s="1"/>
      <c r="AA3" s="1"/>
      <c r="AB3" s="1"/>
      <c r="AC3" s="1"/>
      <c r="AD3" s="1"/>
      <c r="AE3" s="1"/>
      <c r="AF3" s="1">
        <v>0.89</v>
      </c>
      <c r="AG3" s="1">
        <v>0.08</v>
      </c>
      <c r="AH3" s="1">
        <v>0.03</v>
      </c>
    </row>
    <row r="4" spans="1:34">
      <c r="A4" s="138">
        <f ca="1">DATE(YEAR(TODAY()),MONTH(TODAY())-10,1)</f>
        <v>44166</v>
      </c>
      <c r="B4" s="58">
        <f ca="1">IF(SUMIF('Master Log'!A:A,"&lt;"&amp;A5,'Master Log'!K:K)&lt;&gt;0,(SUMIF('Master Log'!A:A,"&lt;"&amp;A5,'Master Log'!K:K))-SUM($B$2:B3),0)</f>
        <v>0</v>
      </c>
      <c r="C4" s="58">
        <f ca="1">IF(SUMIF('Master Log'!A:A,"&lt;"&amp;A5,'Master Log'!L:L)&lt;&gt;0,(SUMIF('Master Log'!A:A,"&lt;"&amp;A5,'Master Log'!L:L))-SUM($C$2:C3),0)</f>
        <v>0</v>
      </c>
      <c r="D4" s="7" t="e">
        <f ca="1">IF(B4&gt;0,(B4-C4)/B4,NA())</f>
        <v>#N/A</v>
      </c>
      <c r="E4" s="7" t="e">
        <f ca="1">IF(B4&gt;0,(SUM($B$2:B4)-SUM($C$2:C4))/SUM($B$2:B4),NA())</f>
        <v>#N/A</v>
      </c>
      <c r="F4" s="58">
        <f ca="1">IF(SUMIF('Master Log'!A:A,"&lt;"&amp;A5,'Master Log'!N:N)&lt;&gt;0,(SUMIF('Master Log'!A:A,"&lt;"&amp;A5,'Master Log'!N:N))-SUM($F$2:F3),0)</f>
        <v>0</v>
      </c>
      <c r="G4" s="58">
        <f ca="1">IF(SUMIF('Master Log'!A:A,"&lt;"&amp;A5,'Master Log'!M:M)&lt;&gt;0,(SUMIF('Master Log'!A:A,"&lt;"&amp;A5,'Master Log'!M:M))-SUM($G$2:G3),0)</f>
        <v>0</v>
      </c>
      <c r="H4" s="7" t="e">
        <f t="shared" ca="1" si="2"/>
        <v>#N/A</v>
      </c>
      <c r="I4" s="6">
        <f ca="1">IF(SUMIF('Master Log'!A:A,"&lt;"&amp;A5,'Master Log'!Q:Q)&lt;&gt;0,(SUMIF('Master Log'!A:A,"&lt;"&amp;A5,'Master Log'!Q:Q))-SUM($I$2:I3),0)</f>
        <v>0</v>
      </c>
      <c r="J4" s="6">
        <f ca="1">IF(SUMIF('Master Log'!A:A,"&lt;"&amp;A5,'Master Log'!O:O)&lt;&gt;0,(SUMIF('Master Log'!A:A,"&lt;"&amp;A5,'Master Log'!O:O))-SUM($J$2:J3),0)</f>
        <v>0</v>
      </c>
      <c r="K4" s="6">
        <f ca="1">IF(SUMIF('Master Log'!A:A,"&lt;"&amp;A5,'Master Log'!P:P)&lt;&gt;0,(SUMIF('Master Log'!A:A,"&lt;"&amp;A5,'Master Log'!P:P))-SUM($K$2:K3),0)</f>
        <v>0</v>
      </c>
      <c r="L4" s="7" t="e">
        <f t="shared" ca="1" si="3"/>
        <v>#N/A</v>
      </c>
      <c r="M4" s="7" t="e">
        <f ca="1">IF(B4&gt;0,SUM($G$3:G4)/SUM($F$3:F4),NA())</f>
        <v>#N/A</v>
      </c>
      <c r="N4" s="7" t="e">
        <f t="shared" ca="1" si="0"/>
        <v>#N/A</v>
      </c>
      <c r="O4" s="7" t="e">
        <f t="shared" ref="O4:O14" ca="1" si="5">IF(B4&gt;0,E4*I4*M4,NA())</f>
        <v>#N/A</v>
      </c>
      <c r="P4" s="180">
        <f ca="1">IF(SUMIF('Master Log'!A:A,"&lt;"&amp;A5,'Master Log'!BV:BV)&lt;&gt;0,(SUMIF('Master Log'!A:A,"&lt;"&amp;A5,'Master Log'!BV:BV)),0)+IF(SUMIF('Master Log'!A:A,"&lt;"&amp;A5,'Master Log'!BZ:BZ)&lt;&gt;0,(SUMIF('Master Log'!A:A,"&lt;"&amp;A5,'Master Log'!BZ:BZ)),0)+IF(SUMIF('Master Log'!A:A,"&lt;"&amp;A5,'Master Log'!CD:CD)&lt;&gt;0,(SUMIF('Master Log'!A:A,"&lt;"&amp;A5,'Master Log'!CD:CD)),0)+IF(SUMIF('Master Log'!A:A,"&lt;"&amp;A5,'Master Log'!CH:CH)&lt;&gt;0,(SUMIF('Master Log'!A:A,"&lt;"&amp;A5,'Master Log'!CH:CH)),0)+IF(SUMIF('Master Log'!A:A,"&lt;"&amp;A5,'Master Log'!CL:CL)&lt;&gt;0,(SUMIF('Master Log'!A:A,"&lt;"&amp;A5,'Master Log'!CL:CL)),0)+IF(SUMIF('Master Log'!A:A,"&lt;"&amp;A5,'Master Log'!CP:CP)&lt;&gt;0,(SUMIF('Master Log'!A:A,"&lt;"&amp;A5,'Master Log'!CP:CP)),0)-SUM($P$2:P3)</f>
        <v>0</v>
      </c>
      <c r="Q4" s="181" t="e">
        <f t="shared" ca="1" si="1"/>
        <v>#N/A</v>
      </c>
      <c r="R4" s="181" t="e">
        <f t="shared" ca="1" si="4"/>
        <v>#N/A</v>
      </c>
      <c r="X4" s="1"/>
      <c r="Y4" s="1"/>
      <c r="Z4" s="1"/>
      <c r="AA4" s="1"/>
      <c r="AB4" s="1"/>
      <c r="AC4" s="1"/>
      <c r="AD4" s="1"/>
      <c r="AE4" s="1"/>
      <c r="AF4" s="1">
        <v>0.89</v>
      </c>
      <c r="AG4" s="1">
        <v>0.08</v>
      </c>
      <c r="AH4" s="1">
        <v>0.03</v>
      </c>
    </row>
    <row r="5" spans="1:34">
      <c r="A5" s="138">
        <f ca="1">DATE(YEAR(TODAY()),MONTH(TODAY())-9,1)</f>
        <v>44197</v>
      </c>
      <c r="B5" s="58">
        <f ca="1">IF(SUMIF('Master Log'!A:A,"&lt;"&amp;A6,'Master Log'!K:K)&lt;&gt;0,(SUMIF('Master Log'!A:A,"&lt;"&amp;A6,'Master Log'!K:K))-SUM($B$2:B4),0)</f>
        <v>0</v>
      </c>
      <c r="C5" s="58">
        <f ca="1">IF(SUMIF('Master Log'!A:A,"&lt;"&amp;A6,'Master Log'!L:L)&lt;&gt;0,(SUMIF('Master Log'!A:A,"&lt;"&amp;A6,'Master Log'!L:L))-SUM($C$2:C4),0)</f>
        <v>0</v>
      </c>
      <c r="D5" s="7" t="e">
        <f t="shared" ref="D5:D14" ca="1" si="6">IF(B5&gt;0,(B5-C5)/B5,NA())</f>
        <v>#N/A</v>
      </c>
      <c r="E5" s="7" t="e">
        <f ca="1">IF(B5&gt;0,(SUM($B$2:B5)-SUM($C$2:C5))/SUM($B$2:B5),NA())</f>
        <v>#N/A</v>
      </c>
      <c r="F5" s="58">
        <f ca="1">IF(SUMIF('Master Log'!A:A,"&lt;"&amp;A6,'Master Log'!N:N)&lt;&gt;0,(SUMIF('Master Log'!A:A,"&lt;"&amp;A6,'Master Log'!N:N))-SUM($F$2:F4),0)</f>
        <v>0</v>
      </c>
      <c r="G5" s="58">
        <f ca="1">IF(SUMIF('Master Log'!A:A,"&lt;"&amp;A6,'Master Log'!M:M)&lt;&gt;0,(SUMIF('Master Log'!A:A,"&lt;"&amp;A6,'Master Log'!M:M))-SUM($G$2:G4),0)</f>
        <v>0</v>
      </c>
      <c r="H5" s="7" t="e">
        <f t="shared" ca="1" si="2"/>
        <v>#N/A</v>
      </c>
      <c r="I5" s="6">
        <f ca="1">IF(SUMIF('Master Log'!A:A,"&lt;"&amp;A6,'Master Log'!Q:Q)&lt;&gt;0,(SUMIF('Master Log'!A:A,"&lt;"&amp;A6,'Master Log'!Q:Q))-SUM($I$2:I4),0)</f>
        <v>0</v>
      </c>
      <c r="J5" s="6">
        <f ca="1">IF(SUMIF('Master Log'!A:A,"&lt;"&amp;A6,'Master Log'!O:O)&lt;&gt;0,(SUMIF('Master Log'!A:A,"&lt;"&amp;A6,'Master Log'!O:O))-SUM($J$2:J4),0)</f>
        <v>0</v>
      </c>
      <c r="K5" s="6">
        <f ca="1">IF(SUMIF('Master Log'!A:A,"&lt;"&amp;A6,'Master Log'!P:P)&lt;&gt;0,(SUMIF('Master Log'!A:A,"&lt;"&amp;A6,'Master Log'!P:P))-SUM($K$2:K4),0)</f>
        <v>0</v>
      </c>
      <c r="L5" s="7" t="e">
        <f t="shared" ca="1" si="3"/>
        <v>#N/A</v>
      </c>
      <c r="M5" s="7" t="e">
        <f ca="1">IF(B5&gt;0,SUM($G$3:G5)/SUM($F$3:F5),NA())</f>
        <v>#N/A</v>
      </c>
      <c r="N5" s="7" t="e">
        <f t="shared" ca="1" si="0"/>
        <v>#N/A</v>
      </c>
      <c r="O5" s="7" t="e">
        <f t="shared" ca="1" si="5"/>
        <v>#N/A</v>
      </c>
      <c r="P5" s="180">
        <f ca="1">IF(SUMIF('Master Log'!A:A,"&lt;"&amp;A6,'Master Log'!BV:BV)&lt;&gt;0,(SUMIF('Master Log'!A:A,"&lt;"&amp;A6,'Master Log'!BV:BV)),0)+IF(SUMIF('Master Log'!A:A,"&lt;"&amp;A6,'Master Log'!BZ:BZ)&lt;&gt;0,(SUMIF('Master Log'!A:A,"&lt;"&amp;A6,'Master Log'!BZ:BZ)),0)+IF(SUMIF('Master Log'!A:A,"&lt;"&amp;A6,'Master Log'!CD:CD)&lt;&gt;0,(SUMIF('Master Log'!A:A,"&lt;"&amp;A6,'Master Log'!CD:CD)),0)+IF(SUMIF('Master Log'!A:A,"&lt;"&amp;A6,'Master Log'!CH:CH)&lt;&gt;0,(SUMIF('Master Log'!A:A,"&lt;"&amp;A6,'Master Log'!CH:CH)),0)+IF(SUMIF('Master Log'!A:A,"&lt;"&amp;A6,'Master Log'!CL:CL)&lt;&gt;0,(SUMIF('Master Log'!A:A,"&lt;"&amp;A6,'Master Log'!CL:CL)),0)+IF(SUMIF('Master Log'!A:A,"&lt;"&amp;A6,'Master Log'!CP:CP)&lt;&gt;0,(SUMIF('Master Log'!A:A,"&lt;"&amp;A6,'Master Log'!CP:CP)),0)-SUM($P$2:P4)</f>
        <v>0</v>
      </c>
      <c r="Q5" s="181" t="e">
        <f t="shared" ca="1" si="1"/>
        <v>#N/A</v>
      </c>
      <c r="R5" s="181" t="e">
        <f t="shared" ca="1" si="4"/>
        <v>#N/A</v>
      </c>
      <c r="X5" s="1"/>
      <c r="Y5" s="1"/>
      <c r="Z5" s="1"/>
      <c r="AA5" s="1"/>
      <c r="AB5" s="1"/>
      <c r="AC5" s="1"/>
      <c r="AD5" s="1"/>
      <c r="AE5" s="1"/>
      <c r="AF5" s="1">
        <v>0.89</v>
      </c>
      <c r="AG5" s="1">
        <v>0.08</v>
      </c>
      <c r="AH5" s="1">
        <v>0.03</v>
      </c>
    </row>
    <row r="6" spans="1:34">
      <c r="A6" s="138">
        <f ca="1">DATE(YEAR(TODAY()),MONTH(TODAY())-8,1)</f>
        <v>44228</v>
      </c>
      <c r="B6" s="58">
        <f ca="1">IF(SUMIF('Master Log'!A:A,"&lt;"&amp;A7,'Master Log'!K:K)&lt;&gt;0,(SUMIF('Master Log'!A:A,"&lt;"&amp;A7,'Master Log'!K:K))-SUM($B$2:B5),0)</f>
        <v>0</v>
      </c>
      <c r="C6" s="58">
        <f ca="1">IF(SUMIF('Master Log'!A:A,"&lt;"&amp;A7,'Master Log'!L:L)&lt;&gt;0,(SUMIF('Master Log'!A:A,"&lt;"&amp;A7,'Master Log'!L:L))-SUM($C$2:C5),0)</f>
        <v>0</v>
      </c>
      <c r="D6" s="7" t="e">
        <f t="shared" ca="1" si="6"/>
        <v>#N/A</v>
      </c>
      <c r="E6" s="7" t="e">
        <f ca="1">IF(B6&gt;0,(SUM($B$2:B6)-SUM($C$2:C6))/SUM($B$2:B6),NA())</f>
        <v>#N/A</v>
      </c>
      <c r="F6" s="58">
        <f ca="1">IF(SUMIF('Master Log'!A:A,"&lt;"&amp;A7,'Master Log'!N:N)&lt;&gt;0,(SUMIF('Master Log'!A:A,"&lt;"&amp;A7,'Master Log'!N:N))-SUM($F$2:F5),0)</f>
        <v>0</v>
      </c>
      <c r="G6" s="58">
        <f ca="1">IF(SUMIF('Master Log'!A:A,"&lt;"&amp;A7,'Master Log'!M:M)&lt;&gt;0,(SUMIF('Master Log'!A:A,"&lt;"&amp;A7,'Master Log'!M:M))-SUM($G$2:G5),0)</f>
        <v>0</v>
      </c>
      <c r="H6" s="7" t="e">
        <f t="shared" ca="1" si="2"/>
        <v>#N/A</v>
      </c>
      <c r="I6" s="6">
        <f ca="1">IF(SUMIF('Master Log'!A:A,"&lt;"&amp;A7,'Master Log'!Q:Q)&lt;&gt;0,(SUMIF('Master Log'!A:A,"&lt;"&amp;A7,'Master Log'!Q:Q))-SUM($I$2:I5),0)</f>
        <v>0</v>
      </c>
      <c r="J6" s="6">
        <f ca="1">IF(SUMIF('Master Log'!A:A,"&lt;"&amp;A7,'Master Log'!O:O)&lt;&gt;0,(SUMIF('Master Log'!A:A,"&lt;"&amp;A7,'Master Log'!O:O))-SUM($J$2:J5),0)</f>
        <v>0</v>
      </c>
      <c r="K6" s="6">
        <f ca="1">IF(SUMIF('Master Log'!A:A,"&lt;"&amp;A7,'Master Log'!P:P)&lt;&gt;0,(SUMIF('Master Log'!A:A,"&lt;"&amp;A7,'Master Log'!P:P))-SUM($K$2:K5),0)</f>
        <v>0</v>
      </c>
      <c r="L6" s="7" t="e">
        <f t="shared" ca="1" si="3"/>
        <v>#N/A</v>
      </c>
      <c r="M6" s="7" t="e">
        <f ca="1">IF(B6&gt;0,SUM($G$3:G6)/SUM($F$3:F6),NA())</f>
        <v>#N/A</v>
      </c>
      <c r="N6" s="7" t="e">
        <f t="shared" ca="1" si="0"/>
        <v>#N/A</v>
      </c>
      <c r="O6" s="7" t="e">
        <f t="shared" ca="1" si="5"/>
        <v>#N/A</v>
      </c>
      <c r="P6" s="180">
        <f ca="1">IF(SUMIF('Master Log'!A:A,"&lt;"&amp;A7,'Master Log'!BV:BV)&lt;&gt;0,(SUMIF('Master Log'!A:A,"&lt;"&amp;A7,'Master Log'!BV:BV)),0)+IF(SUMIF('Master Log'!A:A,"&lt;"&amp;A7,'Master Log'!BZ:BZ)&lt;&gt;0,(SUMIF('Master Log'!A:A,"&lt;"&amp;A7,'Master Log'!BZ:BZ)),0)+IF(SUMIF('Master Log'!A:A,"&lt;"&amp;A7,'Master Log'!CD:CD)&lt;&gt;0,(SUMIF('Master Log'!A:A,"&lt;"&amp;A7,'Master Log'!CD:CD)),0)+IF(SUMIF('Master Log'!A:A,"&lt;"&amp;A7,'Master Log'!CH:CH)&lt;&gt;0,(SUMIF('Master Log'!A:A,"&lt;"&amp;A7,'Master Log'!CH:CH)),0)+IF(SUMIF('Master Log'!A:A,"&lt;"&amp;A7,'Master Log'!CL:CL)&lt;&gt;0,(SUMIF('Master Log'!A:A,"&lt;"&amp;A7,'Master Log'!CL:CL)),0)+IF(SUMIF('Master Log'!A:A,"&lt;"&amp;A7,'Master Log'!CP:CP)&lt;&gt;0,(SUMIF('Master Log'!A:A,"&lt;"&amp;A7,'Master Log'!CP:CP)),0)-SUM($P$2:P5)</f>
        <v>0</v>
      </c>
      <c r="Q6" s="181" t="e">
        <f t="shared" ca="1" si="1"/>
        <v>#N/A</v>
      </c>
      <c r="R6" s="181" t="e">
        <f t="shared" ca="1" si="4"/>
        <v>#N/A</v>
      </c>
      <c r="X6" s="1"/>
      <c r="Y6" s="1"/>
      <c r="Z6" s="1"/>
      <c r="AA6" s="1"/>
      <c r="AB6" s="1"/>
      <c r="AC6" s="1"/>
      <c r="AD6" s="1"/>
      <c r="AE6" s="1"/>
      <c r="AF6" s="1">
        <v>0.89</v>
      </c>
      <c r="AG6" s="1">
        <v>0.08</v>
      </c>
      <c r="AH6" s="1">
        <v>0.03</v>
      </c>
    </row>
    <row r="7" spans="1:34">
      <c r="A7" s="138">
        <f ca="1">DATE(YEAR(TODAY()),MONTH(TODAY())-7,1)</f>
        <v>44256</v>
      </c>
      <c r="B7" s="58">
        <f ca="1">IF(SUMIF('Master Log'!A:A,"&lt;"&amp;A8,'Master Log'!K:K)&lt;&gt;0,(SUMIF('Master Log'!A:A,"&lt;"&amp;A8,'Master Log'!K:K))-SUM($B$2:B6),0)</f>
        <v>0</v>
      </c>
      <c r="C7" s="58">
        <f ca="1">IF(SUMIF('Master Log'!A:A,"&lt;"&amp;A8,'Master Log'!L:L)&lt;&gt;0,(SUMIF('Master Log'!A:A,"&lt;"&amp;A8,'Master Log'!L:L))-SUM($C$2:C6),0)</f>
        <v>0</v>
      </c>
      <c r="D7" s="7" t="e">
        <f t="shared" ca="1" si="6"/>
        <v>#N/A</v>
      </c>
      <c r="E7" s="7" t="e">
        <f ca="1">IF(B7&gt;0,(SUM($B$2:B7)-SUM($C$2:C7))/SUM($B$2:B7),NA())</f>
        <v>#N/A</v>
      </c>
      <c r="F7" s="58">
        <f ca="1">IF(SUMIF('Master Log'!A:A,"&lt;"&amp;A8,'Master Log'!N:N)&lt;&gt;0,(SUMIF('Master Log'!A:A,"&lt;"&amp;A8,'Master Log'!N:N))-SUM($F$2:F6),0)</f>
        <v>0</v>
      </c>
      <c r="G7" s="58">
        <f ca="1">IF(SUMIF('Master Log'!A:A,"&lt;"&amp;A8,'Master Log'!M:M)&lt;&gt;0,(SUMIF('Master Log'!A:A,"&lt;"&amp;A8,'Master Log'!M:M))-SUM($G$2:G6),0)</f>
        <v>0</v>
      </c>
      <c r="H7" s="7" t="e">
        <f t="shared" ca="1" si="2"/>
        <v>#N/A</v>
      </c>
      <c r="I7" s="6">
        <f ca="1">IF(SUMIF('Master Log'!A:A,"&lt;"&amp;A8,'Master Log'!Q:Q)&lt;&gt;0,(SUMIF('Master Log'!A:A,"&lt;"&amp;A8,'Master Log'!Q:Q))-SUM($I$2:I6),0)</f>
        <v>0</v>
      </c>
      <c r="J7" s="6">
        <f ca="1">IF(SUMIF('Master Log'!A:A,"&lt;"&amp;A8,'Master Log'!O:O)&lt;&gt;0,(SUMIF('Master Log'!A:A,"&lt;"&amp;A8,'Master Log'!O:O))-SUM($J$2:J6),0)</f>
        <v>0</v>
      </c>
      <c r="K7" s="6">
        <f ca="1">IF(SUMIF('Master Log'!A:A,"&lt;"&amp;A8,'Master Log'!P:P)&lt;&gt;0,(SUMIF('Master Log'!A:A,"&lt;"&amp;A8,'Master Log'!P:P))-SUM($K$2:K6),0)</f>
        <v>0</v>
      </c>
      <c r="L7" s="7" t="e">
        <f t="shared" ca="1" si="3"/>
        <v>#N/A</v>
      </c>
      <c r="M7" s="7" t="e">
        <f ca="1">IF(B7&gt;0,SUM($G$3:G7)/SUM($F$3:F7),NA())</f>
        <v>#N/A</v>
      </c>
      <c r="N7" s="7" t="e">
        <f t="shared" ca="1" si="0"/>
        <v>#N/A</v>
      </c>
      <c r="O7" s="7" t="e">
        <f t="shared" ca="1" si="5"/>
        <v>#N/A</v>
      </c>
      <c r="P7" s="180">
        <f ca="1">IF(SUMIF('Master Log'!A:A,"&lt;"&amp;A8,'Master Log'!BV:BV)&lt;&gt;0,(SUMIF('Master Log'!A:A,"&lt;"&amp;A8,'Master Log'!BV:BV)),0)+IF(SUMIF('Master Log'!A:A,"&lt;"&amp;A8,'Master Log'!BZ:BZ)&lt;&gt;0,(SUMIF('Master Log'!A:A,"&lt;"&amp;A8,'Master Log'!BZ:BZ)),0)+IF(SUMIF('Master Log'!A:A,"&lt;"&amp;A8,'Master Log'!CD:CD)&lt;&gt;0,(SUMIF('Master Log'!A:A,"&lt;"&amp;A8,'Master Log'!CD:CD)),0)+IF(SUMIF('Master Log'!A:A,"&lt;"&amp;A8,'Master Log'!CH:CH)&lt;&gt;0,(SUMIF('Master Log'!A:A,"&lt;"&amp;A8,'Master Log'!CH:CH)),0)+IF(SUMIF('Master Log'!A:A,"&lt;"&amp;A8,'Master Log'!CL:CL)&lt;&gt;0,(SUMIF('Master Log'!A:A,"&lt;"&amp;A8,'Master Log'!CL:CL)),0)+IF(SUMIF('Master Log'!A:A,"&lt;"&amp;A8,'Master Log'!CP:CP)&lt;&gt;0,(SUMIF('Master Log'!A:A,"&lt;"&amp;A8,'Master Log'!CP:CP)),0)-SUM($P$2:P6)</f>
        <v>0</v>
      </c>
      <c r="Q7" s="181" t="e">
        <f t="shared" ca="1" si="1"/>
        <v>#N/A</v>
      </c>
      <c r="R7" s="181" t="e">
        <f t="shared" ca="1" si="4"/>
        <v>#N/A</v>
      </c>
      <c r="X7" s="1"/>
      <c r="Y7" s="1"/>
      <c r="Z7" s="1"/>
      <c r="AA7" s="1"/>
      <c r="AB7" s="1"/>
      <c r="AC7" s="1"/>
      <c r="AD7" s="1"/>
      <c r="AE7" s="1"/>
      <c r="AF7" s="1">
        <v>0.89</v>
      </c>
      <c r="AG7" s="1">
        <v>0.08</v>
      </c>
      <c r="AH7" s="1">
        <v>0.03</v>
      </c>
    </row>
    <row r="8" spans="1:34">
      <c r="A8" s="138">
        <f ca="1">DATE(YEAR(TODAY()),MONTH(TODAY())-6,1)</f>
        <v>44287</v>
      </c>
      <c r="B8" s="58">
        <f ca="1">IF(SUMIF('Master Log'!A:A,"&lt;"&amp;A9,'Master Log'!K:K)&lt;&gt;0,(SUMIF('Master Log'!A:A,"&lt;"&amp;A9,'Master Log'!K:K))-SUM($B$2:B7),0)</f>
        <v>6750</v>
      </c>
      <c r="C8" s="58">
        <f ca="1">IF(SUMIF('Master Log'!A:A,"&lt;"&amp;A9,'Master Log'!L:L)&lt;&gt;0,(SUMIF('Master Log'!A:A,"&lt;"&amp;A9,'Master Log'!L:L))-SUM($C$2:C7),0)</f>
        <v>1714</v>
      </c>
      <c r="D8" s="7">
        <f t="shared" ca="1" si="6"/>
        <v>0.74607407407407411</v>
      </c>
      <c r="E8" s="7">
        <f ca="1">IF(B8&gt;0,(SUM($B$2:B8)-SUM($C$2:C8))/SUM($B$2:B8),NA())</f>
        <v>0.74607407407407411</v>
      </c>
      <c r="F8" s="58">
        <f ca="1">IF(SUMIF('Master Log'!A:A,"&lt;"&amp;A9,'Master Log'!N:N)&lt;&gt;0,(SUMIF('Master Log'!A:A,"&lt;"&amp;A9,'Master Log'!N:N))-SUM($F$2:F7),0)</f>
        <v>1707.1339130434778</v>
      </c>
      <c r="G8" s="58">
        <f ca="1">IF(SUMIF('Master Log'!A:A,"&lt;"&amp;A9,'Master Log'!M:M)&lt;&gt;0,(SUMIF('Master Log'!A:A,"&lt;"&amp;A9,'Master Log'!M:M))-SUM($G$2:G7),0)</f>
        <v>5036</v>
      </c>
      <c r="H8" s="7">
        <f t="shared" ca="1" si="2"/>
        <v>0.33898608281244597</v>
      </c>
      <c r="I8" s="6">
        <f ca="1">IF(SUMIF('Master Log'!A:A,"&lt;"&amp;A9,'Master Log'!Q:Q)&lt;&gt;0,(SUMIF('Master Log'!A:A,"&lt;"&amp;A9,'Master Log'!Q:Q))-SUM($I$2:I7),0)</f>
        <v>186046</v>
      </c>
      <c r="J8" s="6">
        <f ca="1">IF(SUMIF('Master Log'!A:A,"&lt;"&amp;A9,'Master Log'!O:O)&lt;&gt;0,(SUMIF('Master Log'!A:A,"&lt;"&amp;A9,'Master Log'!O:O))-SUM($J$2:J7),0)</f>
        <v>4053</v>
      </c>
      <c r="K8" s="6">
        <f ca="1">IF(SUMIF('Master Log'!A:A,"&lt;"&amp;A9,'Master Log'!P:P)&lt;&gt;0,(SUMIF('Master Log'!A:A,"&lt;"&amp;A9,'Master Log'!P:P))-SUM($K$2:K7),0)</f>
        <v>0</v>
      </c>
      <c r="L8" s="7">
        <f t="shared" ca="1" si="3"/>
        <v>0.97867953013955888</v>
      </c>
      <c r="M8" s="7">
        <f ca="1">IF(B8&gt;0,SUM($G$3:G8)/SUM($F$3:F8),NA())</f>
        <v>2.9499736145606881</v>
      </c>
      <c r="N8" s="7">
        <f t="shared" ca="1" si="0"/>
        <v>0.2475165949485478</v>
      </c>
      <c r="O8" s="7">
        <f t="shared" ca="1" si="5"/>
        <v>409468.42428921373</v>
      </c>
      <c r="P8" s="180">
        <f ca="1">IF(SUMIF('Master Log'!A:A,"&lt;"&amp;A9,'Master Log'!BV:BV)&lt;&gt;0,(SUMIF('Master Log'!A:A,"&lt;"&amp;A9,'Master Log'!BV:BV)),0)+IF(SUMIF('Master Log'!A:A,"&lt;"&amp;A9,'Master Log'!BZ:BZ)&lt;&gt;0,(SUMIF('Master Log'!A:A,"&lt;"&amp;A9,'Master Log'!BZ:BZ)),0)+IF(SUMIF('Master Log'!A:A,"&lt;"&amp;A9,'Master Log'!CD:CD)&lt;&gt;0,(SUMIF('Master Log'!A:A,"&lt;"&amp;A9,'Master Log'!CD:CD)),0)+IF(SUMIF('Master Log'!A:A,"&lt;"&amp;A9,'Master Log'!CH:CH)&lt;&gt;0,(SUMIF('Master Log'!A:A,"&lt;"&amp;A9,'Master Log'!CH:CH)),0)+IF(SUMIF('Master Log'!A:A,"&lt;"&amp;A9,'Master Log'!CL:CL)&lt;&gt;0,(SUMIF('Master Log'!A:A,"&lt;"&amp;A9,'Master Log'!CL:CL)),0)+IF(SUMIF('Master Log'!A:A,"&lt;"&amp;A9,'Master Log'!CP:CP)&lt;&gt;0,(SUMIF('Master Log'!A:A,"&lt;"&amp;A9,'Master Log'!CP:CP)),0)-SUM($P$2:P7)</f>
        <v>0</v>
      </c>
      <c r="Q8" s="181">
        <f t="shared" ca="1" si="1"/>
        <v>0.74607407407407411</v>
      </c>
      <c r="R8" s="181">
        <f t="shared" ca="1" si="4"/>
        <v>0.2475165949485478</v>
      </c>
      <c r="X8" s="1"/>
      <c r="Y8" s="1"/>
      <c r="Z8" s="1"/>
      <c r="AA8" s="1"/>
      <c r="AB8" s="1"/>
      <c r="AC8" s="1"/>
      <c r="AD8" s="1"/>
      <c r="AE8" s="1"/>
      <c r="AF8" s="1">
        <v>0.89</v>
      </c>
      <c r="AG8" s="1">
        <v>0.08</v>
      </c>
      <c r="AH8" s="1">
        <v>0.03</v>
      </c>
    </row>
    <row r="9" spans="1:34">
      <c r="A9" s="138">
        <f ca="1">DATE(YEAR(TODAY()),MONTH(TODAY())-5,1)</f>
        <v>44317</v>
      </c>
      <c r="B9" s="58">
        <f ca="1">IF(SUMIF('Master Log'!A:A,"&lt;"&amp;A10,'Master Log'!K:K)&lt;&gt;0,(SUMIF('Master Log'!A:A,"&lt;"&amp;A10,'Master Log'!K:K))-SUM($B$2:B8),0)</f>
        <v>1180</v>
      </c>
      <c r="C9" s="58">
        <f ca="1">IF(SUMIF('Master Log'!A:A,"&lt;"&amp;A10,'Master Log'!L:L)&lt;&gt;0,(SUMIF('Master Log'!A:A,"&lt;"&amp;A10,'Master Log'!L:L))-SUM($C$2:C8),0)</f>
        <v>315</v>
      </c>
      <c r="D9" s="7">
        <f t="shared" ca="1" si="6"/>
        <v>0.73305084745762716</v>
      </c>
      <c r="E9" s="7">
        <f ca="1">IF(B9&gt;0,(SUM($B$2:B9)-SUM($C$2:C9))/SUM($B$2:B9),NA())</f>
        <v>0.74413619167717526</v>
      </c>
      <c r="F9" s="58">
        <f ca="1">IF(SUMIF('Master Log'!A:A,"&lt;"&amp;A10,'Master Log'!N:N)&lt;&gt;0,(SUMIF('Master Log'!A:A,"&lt;"&amp;A10,'Master Log'!N:N))-SUM($F$2:F8),0)</f>
        <v>288.23999999999978</v>
      </c>
      <c r="G9" s="58">
        <f ca="1">IF(SUMIF('Master Log'!A:A,"&lt;"&amp;A10,'Master Log'!M:M)&lt;&gt;0,(SUMIF('Master Log'!A:A,"&lt;"&amp;A10,'Master Log'!M:M))-SUM($G$2:G8),0)</f>
        <v>865</v>
      </c>
      <c r="H9" s="7">
        <f t="shared" ca="1" si="2"/>
        <v>0.33322543352601131</v>
      </c>
      <c r="I9" s="6">
        <f ca="1">IF(SUMIF('Master Log'!A:A,"&lt;"&amp;A10,'Master Log'!Q:Q)&lt;&gt;0,(SUMIF('Master Log'!A:A,"&lt;"&amp;A10,'Master Log'!Q:Q))-SUM($I$2:I8),0)</f>
        <v>28824</v>
      </c>
      <c r="J9" s="6">
        <f ca="1">IF(SUMIF('Master Log'!A:A,"&lt;"&amp;A10,'Master Log'!O:O)&lt;&gt;0,(SUMIF('Master Log'!A:A,"&lt;"&amp;A10,'Master Log'!O:O))-SUM($J$2:J8),0)</f>
        <v>2499</v>
      </c>
      <c r="K9" s="6">
        <f ca="1">IF(SUMIF('Master Log'!A:A,"&lt;"&amp;A10,'Master Log'!P:P)&lt;&gt;0,(SUMIF('Master Log'!A:A,"&lt;"&amp;A10,'Master Log'!P:P))-SUM($K$2:K8),0)</f>
        <v>0</v>
      </c>
      <c r="L9" s="7">
        <f t="shared" ca="1" si="3"/>
        <v>0.92021836988794181</v>
      </c>
      <c r="M9" s="7">
        <f ca="1">IF(B9&gt;0,SUM($G$3:G9)/SUM($F$3:F9),NA())</f>
        <v>2.9573404570571942</v>
      </c>
      <c r="N9" s="7">
        <f t="shared" ca="1" si="0"/>
        <v>0.22478283299703405</v>
      </c>
      <c r="O9" s="7">
        <f t="shared" ca="1" si="5"/>
        <v>63431.94101553745</v>
      </c>
      <c r="P9" s="180">
        <f ca="1">IF(SUMIF('Master Log'!A:A,"&lt;"&amp;A10,'Master Log'!BV:BV)&lt;&gt;0,(SUMIF('Master Log'!A:A,"&lt;"&amp;A10,'Master Log'!BV:BV)),0)+IF(SUMIF('Master Log'!A:A,"&lt;"&amp;A10,'Master Log'!BZ:BZ)&lt;&gt;0,(SUMIF('Master Log'!A:A,"&lt;"&amp;A10,'Master Log'!BZ:BZ)),0)+IF(SUMIF('Master Log'!A:A,"&lt;"&amp;A10,'Master Log'!CD:CD)&lt;&gt;0,(SUMIF('Master Log'!A:A,"&lt;"&amp;A10,'Master Log'!CD:CD)),0)+IF(SUMIF('Master Log'!A:A,"&lt;"&amp;A10,'Master Log'!CH:CH)&lt;&gt;0,(SUMIF('Master Log'!A:A,"&lt;"&amp;A10,'Master Log'!CH:CH)),0)+IF(SUMIF('Master Log'!A:A,"&lt;"&amp;A10,'Master Log'!CL:CL)&lt;&gt;0,(SUMIF('Master Log'!A:A,"&lt;"&amp;A10,'Master Log'!CL:CL)),0)+IF(SUMIF('Master Log'!A:A,"&lt;"&amp;A10,'Master Log'!CP:CP)&lt;&gt;0,(SUMIF('Master Log'!A:A,"&lt;"&amp;A10,'Master Log'!CP:CP)),0)-SUM($P$2:P8)</f>
        <v>0</v>
      </c>
      <c r="Q9" s="181">
        <f t="shared" ca="1" si="1"/>
        <v>0.73305084745762716</v>
      </c>
      <c r="R9" s="181">
        <f t="shared" ca="1" si="4"/>
        <v>0.22478283299703405</v>
      </c>
      <c r="X9" s="1"/>
      <c r="Y9" s="1"/>
      <c r="Z9" s="1"/>
      <c r="AA9" s="1"/>
      <c r="AB9" s="1"/>
      <c r="AC9" s="1"/>
      <c r="AD9" s="1"/>
      <c r="AE9" s="1"/>
      <c r="AF9" s="1">
        <v>0.89</v>
      </c>
      <c r="AG9" s="1">
        <v>0.08</v>
      </c>
      <c r="AH9" s="1">
        <v>0.03</v>
      </c>
    </row>
    <row r="10" spans="1:34">
      <c r="A10" s="138">
        <f ca="1">DATE(YEAR(TODAY()),MONTH(TODAY())-4,1)</f>
        <v>44348</v>
      </c>
      <c r="B10" s="58">
        <f ca="1">IF(SUMIF('Master Log'!A:A,"&lt;"&amp;A11,'Master Log'!K:K)&lt;&gt;0,(SUMIF('Master Log'!A:A,"&lt;"&amp;A11,'Master Log'!K:K))-SUM($B$2:B9),0)</f>
        <v>870</v>
      </c>
      <c r="C10" s="58">
        <f ca="1">IF(SUMIF('Master Log'!A:A,"&lt;"&amp;A11,'Master Log'!L:L)&lt;&gt;0,(SUMIF('Master Log'!A:A,"&lt;"&amp;A11,'Master Log'!L:L))-SUM($C$2:C9),0)</f>
        <v>200</v>
      </c>
      <c r="D10" s="7">
        <f t="shared" ca="1" si="6"/>
        <v>0.77011494252873558</v>
      </c>
      <c r="E10" s="7">
        <f ca="1">IF(B10&gt;0,(SUM($B$2:B10)-SUM($C$2:C10))/SUM($B$2:B10),NA())</f>
        <v>0.74670454545454545</v>
      </c>
      <c r="F10" s="58">
        <f ca="1">IF(SUMIF('Master Log'!A:A,"&lt;"&amp;A11,'Master Log'!N:N)&lt;&gt;0,(SUMIF('Master Log'!A:A,"&lt;"&amp;A11,'Master Log'!N:N))-SUM($F$2:F9),0)</f>
        <v>224.91130434782622</v>
      </c>
      <c r="G10" s="58">
        <f ca="1">IF(SUMIF('Master Log'!A:A,"&lt;"&amp;A11,'Master Log'!M:M)&lt;&gt;0,(SUMIF('Master Log'!A:A,"&lt;"&amp;A11,'Master Log'!M:M))-SUM($G$2:G9),0)</f>
        <v>670</v>
      </c>
      <c r="H10" s="7">
        <f t="shared" ca="1" si="2"/>
        <v>0.33568851395197941</v>
      </c>
      <c r="I10" s="6">
        <f ca="1">IF(SUMIF('Master Log'!A:A,"&lt;"&amp;A11,'Master Log'!Q:Q)&lt;&gt;0,(SUMIF('Master Log'!A:A,"&lt;"&amp;A11,'Master Log'!Q:Q))-SUM($I$2:I9),0)</f>
        <v>24252</v>
      </c>
      <c r="J10" s="6">
        <f ca="1">IF(SUMIF('Master Log'!A:A,"&lt;"&amp;A11,'Master Log'!O:O)&lt;&gt;0,(SUMIF('Master Log'!A:A,"&lt;"&amp;A11,'Master Log'!O:O))-SUM($J$2:J9),0)</f>
        <v>1253</v>
      </c>
      <c r="K10" s="6">
        <f ca="1">IF(SUMIF('Master Log'!A:A,"&lt;"&amp;A11,'Master Log'!P:P)&lt;&gt;0,(SUMIF('Master Log'!A:A,"&lt;"&amp;A11,'Master Log'!P:P))-SUM($K$2:K9),0)</f>
        <v>0</v>
      </c>
      <c r="L10" s="7">
        <f t="shared" ca="1" si="3"/>
        <v>0.95087237796510493</v>
      </c>
      <c r="M10" s="7">
        <f ca="1">IF(B10&gt;0,SUM($G$3:G10)/SUM($F$3:F10),NA())</f>
        <v>2.9595296804797511</v>
      </c>
      <c r="N10" s="7">
        <f t="shared" ca="1" si="0"/>
        <v>0.24581832965109301</v>
      </c>
      <c r="O10" s="7">
        <f t="shared" ca="1" si="5"/>
        <v>53594.35571045996</v>
      </c>
      <c r="P10" s="180">
        <f ca="1">IF(SUMIF('Master Log'!A:A,"&lt;"&amp;A11,'Master Log'!BV:BV)&lt;&gt;0,(SUMIF('Master Log'!A:A,"&lt;"&amp;A11,'Master Log'!BV:BV)),0)+IF(SUMIF('Master Log'!A:A,"&lt;"&amp;A11,'Master Log'!BZ:BZ)&lt;&gt;0,(SUMIF('Master Log'!A:A,"&lt;"&amp;A11,'Master Log'!BZ:BZ)),0)+IF(SUMIF('Master Log'!A:A,"&lt;"&amp;A11,'Master Log'!CD:CD)&lt;&gt;0,(SUMIF('Master Log'!A:A,"&lt;"&amp;A11,'Master Log'!CD:CD)),0)+IF(SUMIF('Master Log'!A:A,"&lt;"&amp;A11,'Master Log'!CH:CH)&lt;&gt;0,(SUMIF('Master Log'!A:A,"&lt;"&amp;A11,'Master Log'!CH:CH)),0)+IF(SUMIF('Master Log'!A:A,"&lt;"&amp;A11,'Master Log'!CL:CL)&lt;&gt;0,(SUMIF('Master Log'!A:A,"&lt;"&amp;A11,'Master Log'!CL:CL)),0)+IF(SUMIF('Master Log'!A:A,"&lt;"&amp;A11,'Master Log'!CP:CP)&lt;&gt;0,(SUMIF('Master Log'!A:A,"&lt;"&amp;A11,'Master Log'!CP:CP)),0)-SUM($P$2:P9)</f>
        <v>0</v>
      </c>
      <c r="Q10" s="181">
        <f t="shared" ca="1" si="1"/>
        <v>0.77011494252873558</v>
      </c>
      <c r="R10" s="181">
        <f t="shared" ca="1" si="4"/>
        <v>0.24581832965109301</v>
      </c>
      <c r="X10" s="1"/>
      <c r="Y10" s="1"/>
      <c r="Z10" s="1"/>
      <c r="AA10" s="1"/>
      <c r="AB10" s="1"/>
      <c r="AC10" s="1"/>
      <c r="AD10" s="1"/>
      <c r="AE10" s="1"/>
      <c r="AF10" s="1">
        <v>0.89</v>
      </c>
      <c r="AG10" s="1">
        <v>0.08</v>
      </c>
      <c r="AH10" s="1">
        <v>0.03</v>
      </c>
    </row>
    <row r="11" spans="1:34">
      <c r="A11" s="138">
        <f ca="1">DATE(YEAR(TODAY()),MONTH(TODAY())-3,1)</f>
        <v>44378</v>
      </c>
      <c r="B11" s="58">
        <f ca="1">IF(SUMIF('Master Log'!A:A,"&lt;"&amp;A12,'Master Log'!K:K)&lt;&gt;0,(SUMIF('Master Log'!A:A,"&lt;"&amp;A12,'Master Log'!K:K))-SUM($B$2:B10),0)</f>
        <v>0</v>
      </c>
      <c r="C11" s="58">
        <f ca="1">IF(SUMIF('Master Log'!A:A,"&lt;"&amp;A12,'Master Log'!L:L)&lt;&gt;0,(SUMIF('Master Log'!A:A,"&lt;"&amp;A12,'Master Log'!L:L))-SUM($C$2:C10),0)</f>
        <v>0</v>
      </c>
      <c r="D11" s="7" t="e">
        <f t="shared" ca="1" si="6"/>
        <v>#N/A</v>
      </c>
      <c r="E11" s="7" t="e">
        <f ca="1">IF(B11&gt;0,(SUM($B$2:B11)-SUM($C$2:C11))/SUM($B$2:B11),NA())</f>
        <v>#N/A</v>
      </c>
      <c r="F11" s="58">
        <f ca="1">IF(SUMIF('Master Log'!A:A,"&lt;"&amp;A12,'Master Log'!N:N)&lt;&gt;0,(SUMIF('Master Log'!A:A,"&lt;"&amp;A12,'Master Log'!N:N))-SUM($F$2:F10),0)</f>
        <v>0</v>
      </c>
      <c r="G11" s="58">
        <f ca="1">IF(SUMIF('Master Log'!A:A,"&lt;"&amp;A12,'Master Log'!M:M)&lt;&gt;0,(SUMIF('Master Log'!A:A,"&lt;"&amp;A12,'Master Log'!M:M))-SUM($G$2:G10),0)</f>
        <v>0</v>
      </c>
      <c r="H11" s="7" t="e">
        <f t="shared" ca="1" si="2"/>
        <v>#N/A</v>
      </c>
      <c r="I11" s="6">
        <f ca="1">IF(SUMIF('Master Log'!A:A,"&lt;"&amp;A12,'Master Log'!Q:Q)&lt;&gt;0,(SUMIF('Master Log'!A:A,"&lt;"&amp;A12,'Master Log'!Q:Q))-SUM($I$2:I10),0)</f>
        <v>0</v>
      </c>
      <c r="J11" s="6">
        <f ca="1">IF(SUMIF('Master Log'!A:A,"&lt;"&amp;A12,'Master Log'!O:O)&lt;&gt;0,(SUMIF('Master Log'!A:A,"&lt;"&amp;A12,'Master Log'!O:O))-SUM($J$2:J10),0)</f>
        <v>0</v>
      </c>
      <c r="K11" s="6">
        <f ca="1">IF(SUMIF('Master Log'!A:A,"&lt;"&amp;A12,'Master Log'!P:P)&lt;&gt;0,(SUMIF('Master Log'!A:A,"&lt;"&amp;A12,'Master Log'!P:P))-SUM($K$2:K10),0)</f>
        <v>0</v>
      </c>
      <c r="L11" s="7" t="e">
        <f t="shared" ca="1" si="3"/>
        <v>#N/A</v>
      </c>
      <c r="M11" s="7" t="e">
        <f ca="1">IF(B11&gt;0,SUM($G$3:G11)/SUM($F$3:F11),NA())</f>
        <v>#N/A</v>
      </c>
      <c r="N11" s="7" t="e">
        <f t="shared" ca="1" si="0"/>
        <v>#N/A</v>
      </c>
      <c r="O11" s="7" t="e">
        <f t="shared" ca="1" si="5"/>
        <v>#N/A</v>
      </c>
      <c r="P11" s="180">
        <f ca="1">IF(SUMIF('Master Log'!A:A,"&lt;"&amp;A12,'Master Log'!BV:BV)&lt;&gt;0,(SUMIF('Master Log'!A:A,"&lt;"&amp;A12,'Master Log'!BV:BV)),0)+IF(SUMIF('Master Log'!A:A,"&lt;"&amp;A12,'Master Log'!BZ:BZ)&lt;&gt;0,(SUMIF('Master Log'!A:A,"&lt;"&amp;A12,'Master Log'!BZ:BZ)),0)+IF(SUMIF('Master Log'!A:A,"&lt;"&amp;A12,'Master Log'!CD:CD)&lt;&gt;0,(SUMIF('Master Log'!A:A,"&lt;"&amp;A12,'Master Log'!CD:CD)),0)+IF(SUMIF('Master Log'!A:A,"&lt;"&amp;A12,'Master Log'!CH:CH)&lt;&gt;0,(SUMIF('Master Log'!A:A,"&lt;"&amp;A12,'Master Log'!CH:CH)),0)+IF(SUMIF('Master Log'!A:A,"&lt;"&amp;A12,'Master Log'!CL:CL)&lt;&gt;0,(SUMIF('Master Log'!A:A,"&lt;"&amp;A12,'Master Log'!CL:CL)),0)+IF(SUMIF('Master Log'!A:A,"&lt;"&amp;A12,'Master Log'!CP:CP)&lt;&gt;0,(SUMIF('Master Log'!A:A,"&lt;"&amp;A12,'Master Log'!CP:CP)),0)-SUM($P$2:P10)</f>
        <v>0</v>
      </c>
      <c r="Q11" s="181" t="e">
        <f t="shared" ca="1" si="1"/>
        <v>#N/A</v>
      </c>
      <c r="R11" s="181" t="e">
        <f t="shared" ca="1" si="4"/>
        <v>#N/A</v>
      </c>
      <c r="X11" s="1"/>
      <c r="Y11" s="1"/>
      <c r="Z11" s="1"/>
      <c r="AA11" s="1"/>
      <c r="AB11" s="1"/>
      <c r="AC11" s="1"/>
      <c r="AD11" s="1"/>
      <c r="AE11" s="1"/>
      <c r="AF11" s="1">
        <v>0.89</v>
      </c>
      <c r="AG11" s="1">
        <v>0.08</v>
      </c>
      <c r="AH11" s="1">
        <v>0.03</v>
      </c>
    </row>
    <row r="12" spans="1:34">
      <c r="A12" s="138">
        <f ca="1">DATE(YEAR(TODAY()),MONTH(TODAY())-2,1)</f>
        <v>44409</v>
      </c>
      <c r="B12" s="58">
        <f ca="1">IF(SUMIF('Master Log'!A:A,"&lt;"&amp;A13,'Master Log'!K:K)&lt;&gt;0,(SUMIF('Master Log'!A:A,"&lt;"&amp;A13,'Master Log'!K:K))-SUM($B$2:B11),0)</f>
        <v>0</v>
      </c>
      <c r="C12" s="58">
        <f ca="1">IF(SUMIF('Master Log'!A:A,"&lt;"&amp;A13,'Master Log'!L:L)&lt;&gt;0,(SUMIF('Master Log'!A:A,"&lt;"&amp;A13,'Master Log'!L:L))-SUM($C$2:C11),0)</f>
        <v>0</v>
      </c>
      <c r="D12" s="7" t="e">
        <f t="shared" ca="1" si="6"/>
        <v>#N/A</v>
      </c>
      <c r="E12" s="7" t="e">
        <f ca="1">IF(B12&gt;0,(SUM($B$2:B12)-SUM($C$2:C12))/SUM($B$2:B12),NA())</f>
        <v>#N/A</v>
      </c>
      <c r="F12" s="58">
        <f ca="1">IF(SUMIF('Master Log'!A:A,"&lt;"&amp;A13,'Master Log'!N:N)&lt;&gt;0,(SUMIF('Master Log'!A:A,"&lt;"&amp;A13,'Master Log'!N:N))-SUM($F$2:F11),0)</f>
        <v>0</v>
      </c>
      <c r="G12" s="58">
        <f ca="1">IF(SUMIF('Master Log'!A:A,"&lt;"&amp;A13,'Master Log'!M:M)&lt;&gt;0,(SUMIF('Master Log'!A:A,"&lt;"&amp;A13,'Master Log'!M:M))-SUM($G$2:G11),0)</f>
        <v>0</v>
      </c>
      <c r="H12" s="7" t="e">
        <f t="shared" ca="1" si="2"/>
        <v>#N/A</v>
      </c>
      <c r="I12" s="6">
        <f ca="1">IF(SUMIF('Master Log'!A:A,"&lt;"&amp;A13,'Master Log'!Q:Q)&lt;&gt;0,(SUMIF('Master Log'!A:A,"&lt;"&amp;A13,'Master Log'!Q:Q))-SUM($I$2:I11),0)</f>
        <v>0</v>
      </c>
      <c r="J12" s="6">
        <f ca="1">IF(SUMIF('Master Log'!A:A,"&lt;"&amp;A13,'Master Log'!O:O)&lt;&gt;0,(SUMIF('Master Log'!A:A,"&lt;"&amp;A13,'Master Log'!O:O))-SUM($J$2:J11),0)</f>
        <v>0</v>
      </c>
      <c r="K12" s="6">
        <f ca="1">IF(SUMIF('Master Log'!A:A,"&lt;"&amp;A13,'Master Log'!P:P)&lt;&gt;0,(SUMIF('Master Log'!A:A,"&lt;"&amp;A13,'Master Log'!P:P))-SUM($K$2:K11),0)</f>
        <v>0</v>
      </c>
      <c r="L12" s="7" t="e">
        <f t="shared" ca="1" si="3"/>
        <v>#N/A</v>
      </c>
      <c r="M12" s="7" t="e">
        <f ca="1">IF(B12&gt;0,SUM($G$3:G12)/SUM($F$3:F12),NA())</f>
        <v>#N/A</v>
      </c>
      <c r="N12" s="7" t="e">
        <f t="shared" ca="1" si="0"/>
        <v>#N/A</v>
      </c>
      <c r="O12" s="7" t="e">
        <f t="shared" ca="1" si="5"/>
        <v>#N/A</v>
      </c>
      <c r="P12" s="180">
        <f ca="1">IF(SUMIF('Master Log'!A:A,"&lt;"&amp;A13,'Master Log'!BV:BV)&lt;&gt;0,(SUMIF('Master Log'!A:A,"&lt;"&amp;A13,'Master Log'!BV:BV)),0)+IF(SUMIF('Master Log'!A:A,"&lt;"&amp;A13,'Master Log'!BZ:BZ)&lt;&gt;0,(SUMIF('Master Log'!A:A,"&lt;"&amp;A13,'Master Log'!BZ:BZ)),0)+IF(SUMIF('Master Log'!A:A,"&lt;"&amp;A13,'Master Log'!CD:CD)&lt;&gt;0,(SUMIF('Master Log'!A:A,"&lt;"&amp;A13,'Master Log'!CD:CD)),0)+IF(SUMIF('Master Log'!A:A,"&lt;"&amp;A13,'Master Log'!CH:CH)&lt;&gt;0,(SUMIF('Master Log'!A:A,"&lt;"&amp;A13,'Master Log'!CH:CH)),0)+IF(SUMIF('Master Log'!A:A,"&lt;"&amp;A13,'Master Log'!CL:CL)&lt;&gt;0,(SUMIF('Master Log'!A:A,"&lt;"&amp;A13,'Master Log'!CL:CL)),0)+IF(SUMIF('Master Log'!A:A,"&lt;"&amp;A13,'Master Log'!CP:CP)&lt;&gt;0,(SUMIF('Master Log'!A:A,"&lt;"&amp;A13,'Master Log'!CP:CP)),0)-SUM($P$2:P11)</f>
        <v>0</v>
      </c>
      <c r="Q12" s="181" t="e">
        <f t="shared" ca="1" si="1"/>
        <v>#N/A</v>
      </c>
      <c r="R12" s="181" t="e">
        <f t="shared" ca="1" si="4"/>
        <v>#N/A</v>
      </c>
      <c r="X12" s="1"/>
      <c r="Y12" s="1"/>
      <c r="Z12" s="1"/>
      <c r="AA12" s="1"/>
      <c r="AB12" s="1"/>
      <c r="AC12" s="1"/>
      <c r="AD12" s="1"/>
      <c r="AE12" s="1"/>
      <c r="AF12" s="1">
        <v>0.89</v>
      </c>
      <c r="AG12" s="1">
        <v>0.08</v>
      </c>
      <c r="AH12" s="1">
        <v>0.03</v>
      </c>
    </row>
    <row r="13" spans="1:34">
      <c r="A13" s="138">
        <f ca="1">DATE(YEAR(TODAY()),MONTH(TODAY())-1,1)</f>
        <v>44440</v>
      </c>
      <c r="B13" s="58">
        <f ca="1">IF(SUMIF('Master Log'!A:A,"&lt;"&amp;A14,'Master Log'!K:K)&lt;&gt;0,(SUMIF('Master Log'!A:A,"&lt;"&amp;A14,'Master Log'!K:K))-SUM($B$2:B12),0)</f>
        <v>0</v>
      </c>
      <c r="C13" s="58">
        <f ca="1">IF(SUMIF('Master Log'!A:A,"&lt;"&amp;A14,'Master Log'!L:L)&lt;&gt;0,(SUMIF('Master Log'!A:A,"&lt;"&amp;A14,'Master Log'!L:L))-SUM($C$2:C12),0)</f>
        <v>0</v>
      </c>
      <c r="D13" s="7" t="e">
        <f t="shared" ca="1" si="6"/>
        <v>#N/A</v>
      </c>
      <c r="E13" s="7" t="e">
        <f ca="1">IF(B13&gt;0,(SUM($B$2:B13)-SUM($C$2:C13))/SUM($B$2:B13),NA())</f>
        <v>#N/A</v>
      </c>
      <c r="F13" s="58">
        <f ca="1">IF(SUMIF('Master Log'!A:A,"&lt;"&amp;A14,'Master Log'!N:N)&lt;&gt;0,(SUMIF('Master Log'!A:A,"&lt;"&amp;A14,'Master Log'!N:N))-SUM($F$2:F12),0)</f>
        <v>0</v>
      </c>
      <c r="G13" s="58">
        <f ca="1">IF(SUMIF('Master Log'!A:A,"&lt;"&amp;A14,'Master Log'!M:M)&lt;&gt;0,(SUMIF('Master Log'!A:A,"&lt;"&amp;A14,'Master Log'!M:M))-SUM($G$2:G12),0)</f>
        <v>0</v>
      </c>
      <c r="H13" s="7" t="e">
        <f t="shared" ca="1" si="2"/>
        <v>#N/A</v>
      </c>
      <c r="I13" s="6">
        <f ca="1">IF(SUMIF('Master Log'!A:A,"&lt;"&amp;A14,'Master Log'!Q:Q)&lt;&gt;0,(SUMIF('Master Log'!A:A,"&lt;"&amp;A14,'Master Log'!Q:Q))-SUM($I$2:I12),0)</f>
        <v>0</v>
      </c>
      <c r="J13" s="6">
        <f ca="1">IF(SUMIF('Master Log'!A:A,"&lt;"&amp;A14,'Master Log'!O:O)&lt;&gt;0,(SUMIF('Master Log'!A:A,"&lt;"&amp;A14,'Master Log'!O:O))-SUM($J$2:J12),0)</f>
        <v>0</v>
      </c>
      <c r="K13" s="6">
        <f ca="1">IF(SUMIF('Master Log'!A:A,"&lt;"&amp;A14,'Master Log'!P:P)&lt;&gt;0,(SUMIF('Master Log'!A:A,"&lt;"&amp;A14,'Master Log'!P:P))-SUM($K$2:K12),0)</f>
        <v>0</v>
      </c>
      <c r="L13" s="7" t="e">
        <f t="shared" ca="1" si="3"/>
        <v>#N/A</v>
      </c>
      <c r="M13" s="7" t="e">
        <f ca="1">IF(B13&gt;0,SUM($G$3:G13)/SUM($F$3:F13),NA())</f>
        <v>#N/A</v>
      </c>
      <c r="N13" s="7" t="e">
        <f t="shared" ca="1" si="0"/>
        <v>#N/A</v>
      </c>
      <c r="O13" s="7" t="e">
        <f t="shared" ca="1" si="5"/>
        <v>#N/A</v>
      </c>
      <c r="P13" s="180">
        <f ca="1">IF(SUMIF('Master Log'!A:A,"&lt;"&amp;A14,'Master Log'!BV:BV)&lt;&gt;0,(SUMIF('Master Log'!A:A,"&lt;"&amp;A14,'Master Log'!BV:BV)),0)+IF(SUMIF('Master Log'!A:A,"&lt;"&amp;A14,'Master Log'!BZ:BZ)&lt;&gt;0,(SUMIF('Master Log'!A:A,"&lt;"&amp;A14,'Master Log'!BZ:BZ)),0)+IF(SUMIF('Master Log'!A:A,"&lt;"&amp;A14,'Master Log'!CD:CD)&lt;&gt;0,(SUMIF('Master Log'!A:A,"&lt;"&amp;A14,'Master Log'!CD:CD)),0)+IF(SUMIF('Master Log'!A:A,"&lt;"&amp;A14,'Master Log'!CH:CH)&lt;&gt;0,(SUMIF('Master Log'!A:A,"&lt;"&amp;A14,'Master Log'!CH:CH)),0)+IF(SUMIF('Master Log'!A:A,"&lt;"&amp;A14,'Master Log'!CL:CL)&lt;&gt;0,(SUMIF('Master Log'!A:A,"&lt;"&amp;A14,'Master Log'!CL:CL)),0)+IF(SUMIF('Master Log'!A:A,"&lt;"&amp;A14,'Master Log'!CP:CP)&lt;&gt;0,(SUMIF('Master Log'!A:A,"&lt;"&amp;A14,'Master Log'!CP:CP)),0)-SUM($P$2:P12)</f>
        <v>0</v>
      </c>
      <c r="Q13" s="181" t="e">
        <f t="shared" ca="1" si="1"/>
        <v>#N/A</v>
      </c>
      <c r="R13" s="181" t="e">
        <f t="shared" ca="1" si="4"/>
        <v>#N/A</v>
      </c>
      <c r="X13" s="1"/>
      <c r="Y13" s="1"/>
      <c r="Z13" s="1"/>
      <c r="AA13" s="1"/>
      <c r="AB13" s="1"/>
      <c r="AC13" s="1"/>
      <c r="AD13" s="1"/>
      <c r="AE13" s="1"/>
      <c r="AF13" s="1">
        <v>0.89</v>
      </c>
      <c r="AG13" s="1">
        <v>0.08</v>
      </c>
      <c r="AH13" s="1">
        <v>0.03</v>
      </c>
    </row>
    <row r="14" spans="1:34">
      <c r="A14" s="138">
        <f ca="1">DATE(YEAR(TODAY()),MONTH(TODAY()),1)</f>
        <v>44470</v>
      </c>
      <c r="B14" s="58">
        <f ca="1">IF(SUMIF('Master Log'!A:A,"&lt;"&amp;A15,'Master Log'!K:K)&lt;&gt;0,(SUMIF('Master Log'!A:A,"&lt;"&amp;A15,'Master Log'!K:K))-SUM($B$2:B13),0)</f>
        <v>0</v>
      </c>
      <c r="C14" s="58">
        <f ca="1">IF(SUMIF('Master Log'!A:A,"&lt;"&amp;A15,'Master Log'!L:L)&lt;&gt;0,(SUMIF('Master Log'!A:A,"&lt;"&amp;A15,'Master Log'!L:L))-SUM($C$2:C13),0)</f>
        <v>0</v>
      </c>
      <c r="D14" s="7" t="e">
        <f t="shared" ca="1" si="6"/>
        <v>#N/A</v>
      </c>
      <c r="E14" s="7" t="e">
        <f ca="1">IF(B14&gt;0,(SUM($B$2:B14)-SUM($C$2:C14))/SUM($B$2:B14),NA())</f>
        <v>#N/A</v>
      </c>
      <c r="F14" s="58">
        <f ca="1">IF(SUMIF('Master Log'!A:A,"&lt;"&amp;A15,'Master Log'!N:N)&lt;&gt;0,(SUMIF('Master Log'!A:A,"&lt;"&amp;A15,'Master Log'!N:N))-SUM($F$2:F13),0)</f>
        <v>0</v>
      </c>
      <c r="G14" s="58">
        <f ca="1">IF(SUMIF('Master Log'!A:A,"&lt;"&amp;A15,'Master Log'!M:M)&lt;&gt;0,(SUMIF('Master Log'!A:A,"&lt;"&amp;A15,'Master Log'!M:M))-SUM($G$2:G13),0)</f>
        <v>0</v>
      </c>
      <c r="H14" s="7" t="e">
        <f t="shared" ca="1" si="2"/>
        <v>#N/A</v>
      </c>
      <c r="I14" s="6">
        <f ca="1">IF(SUMIF('Master Log'!A:A,"&lt;"&amp;A15,'Master Log'!Q:Q)&lt;&gt;0,(SUMIF('Master Log'!A:A,"&lt;"&amp;A15,'Master Log'!Q:Q))-SUM($I$2:I13),0)</f>
        <v>0</v>
      </c>
      <c r="J14" s="6">
        <f ca="1">IF(SUMIF('Master Log'!A:A,"&lt;"&amp;A15,'Master Log'!O:O)&lt;&gt;0,(SUMIF('Master Log'!A:A,"&lt;"&amp;A15,'Master Log'!O:O))-SUM($J$2:J13),0)</f>
        <v>0</v>
      </c>
      <c r="K14" s="6">
        <f ca="1">IF(SUMIF('Master Log'!A:A,"&lt;"&amp;A15,'Master Log'!P:P)&lt;&gt;0,(SUMIF('Master Log'!A:A,"&lt;"&amp;A15,'Master Log'!P:P))-SUM($K$2:K13),0)</f>
        <v>0</v>
      </c>
      <c r="L14" s="7" t="e">
        <f t="shared" ca="1" si="3"/>
        <v>#N/A</v>
      </c>
      <c r="M14" s="7" t="e">
        <f ca="1">IF(B14&gt;0,SUM($G$3:G14)/SUM($F$3:F14),NA())</f>
        <v>#N/A</v>
      </c>
      <c r="N14" s="7" t="e">
        <f t="shared" ca="1" si="0"/>
        <v>#N/A</v>
      </c>
      <c r="O14" s="7" t="e">
        <f t="shared" ca="1" si="5"/>
        <v>#N/A</v>
      </c>
      <c r="P14" s="180">
        <f ca="1">IF(SUMIF('Master Log'!A:A,"&lt;"&amp;A15,'Master Log'!BV:BV)&lt;&gt;0,(SUMIF('Master Log'!A:A,"&lt;"&amp;A15,'Master Log'!BV:BV)),0)+IF(SUMIF('Master Log'!A:A,"&lt;"&amp;A15,'Master Log'!BZ:BZ)&lt;&gt;0,(SUMIF('Master Log'!A:A,"&lt;"&amp;A15,'Master Log'!BZ:BZ)),0)+IF(SUMIF('Master Log'!A:A,"&lt;"&amp;A15,'Master Log'!CD:CD)&lt;&gt;0,(SUMIF('Master Log'!A:A,"&lt;"&amp;A15,'Master Log'!CD:CD)),0)+IF(SUMIF('Master Log'!A:A,"&lt;"&amp;A15,'Master Log'!CH:CH)&lt;&gt;0,(SUMIF('Master Log'!A:A,"&lt;"&amp;A15,'Master Log'!CH:CH)),0)+IF(SUMIF('Master Log'!A:A,"&lt;"&amp;A15,'Master Log'!CL:CL)&lt;&gt;0,(SUMIF('Master Log'!A:A,"&lt;"&amp;A15,'Master Log'!CL:CL)),0)+IF(SUMIF('Master Log'!A:A,"&lt;"&amp;A15,'Master Log'!CP:CP)&lt;&gt;0,(SUMIF('Master Log'!A:A,"&lt;"&amp;A15,'Master Log'!CP:CP)),0)-SUM($P$2:P13)</f>
        <v>0</v>
      </c>
      <c r="Q14" s="181" t="e">
        <f t="shared" ca="1" si="1"/>
        <v>#N/A</v>
      </c>
      <c r="R14" s="181" t="e">
        <f t="shared" ca="1" si="4"/>
        <v>#N/A</v>
      </c>
      <c r="X14" s="1"/>
      <c r="Y14" s="1"/>
      <c r="Z14" s="1"/>
      <c r="AA14" s="1"/>
      <c r="AB14" s="1"/>
      <c r="AC14" s="1"/>
      <c r="AD14" s="1"/>
      <c r="AE14" s="1"/>
      <c r="AF14" s="1">
        <v>0.89</v>
      </c>
      <c r="AG14" s="1">
        <v>0.08</v>
      </c>
      <c r="AH14" s="1">
        <v>0.03</v>
      </c>
    </row>
    <row r="15" spans="1:34">
      <c r="A15" s="178">
        <f ca="1">DATE(YEAR(TODAY()),MONTH(TODAY())+1,1)</f>
        <v>44501</v>
      </c>
      <c r="O15" s="60"/>
      <c r="X15" s="1"/>
      <c r="Y15" s="1"/>
      <c r="Z15" s="1"/>
      <c r="AB15" s="1"/>
      <c r="AC15" s="1"/>
      <c r="AD15" s="1"/>
      <c r="AF15" s="1">
        <v>0.89</v>
      </c>
      <c r="AG15" s="1">
        <v>0.08</v>
      </c>
      <c r="AH15" s="1">
        <v>0.03</v>
      </c>
    </row>
    <row r="16" spans="1:34">
      <c r="B16" s="12"/>
      <c r="C16" s="125"/>
      <c r="D16" s="137"/>
      <c r="E16" s="1"/>
    </row>
    <row r="17" spans="2:7">
      <c r="C17" s="125"/>
      <c r="D17" s="137"/>
      <c r="E17" s="125"/>
    </row>
    <row r="18" spans="2:7">
      <c r="B18" s="5"/>
      <c r="C18" s="125"/>
      <c r="D18" s="137"/>
      <c r="E18" s="125"/>
      <c r="G18" s="173"/>
    </row>
    <row r="19" spans="2:7">
      <c r="B19" s="5"/>
      <c r="C19" s="125"/>
      <c r="D19" s="137"/>
      <c r="E19" s="125"/>
    </row>
    <row r="20" spans="2:7">
      <c r="B20" s="5"/>
      <c r="C20" s="125"/>
      <c r="D20" s="137"/>
      <c r="E20" s="125"/>
    </row>
    <row r="21" spans="2:7">
      <c r="B21" s="5"/>
      <c r="C21" s="125"/>
      <c r="D21" s="137"/>
      <c r="E21" s="125"/>
    </row>
    <row r="22" spans="2:7">
      <c r="B22" s="5"/>
      <c r="C22" s="125"/>
      <c r="D22" s="137"/>
      <c r="E22" s="125"/>
    </row>
    <row r="23" spans="2:7">
      <c r="B23" s="5"/>
      <c r="C23" s="125"/>
      <c r="D23" s="137"/>
      <c r="E23" s="125"/>
    </row>
    <row r="24" spans="2:7">
      <c r="B24" s="5"/>
      <c r="C24" s="125"/>
      <c r="D24" s="137"/>
      <c r="E24" s="125"/>
    </row>
    <row r="25" spans="2:7">
      <c r="B25" s="5"/>
      <c r="C25" s="125"/>
      <c r="D25" s="137"/>
      <c r="E25" s="125"/>
    </row>
    <row r="26" spans="2:7">
      <c r="B26" s="5"/>
      <c r="C26" s="125"/>
      <c r="D26" s="137"/>
      <c r="E26" s="125"/>
    </row>
    <row r="27" spans="2:7">
      <c r="B27" s="5"/>
      <c r="C27" s="125"/>
      <c r="D27" s="137"/>
      <c r="E27" s="125"/>
    </row>
    <row r="28" spans="2:7">
      <c r="B28" s="5"/>
      <c r="C28" s="125"/>
      <c r="D28" s="137"/>
      <c r="E28" s="125"/>
    </row>
    <row r="29" spans="2:7">
      <c r="B29" s="5"/>
      <c r="C29" s="125"/>
      <c r="D29"/>
      <c r="E29" s="125"/>
    </row>
  </sheetData>
  <sheetProtection algorithmName="SHA-512" hashValue="6K4hhcorRaOO2SCg6zlDre3HoPiAgCIb/PqGmU+VHsdE+44EIrQzISAvZSarDDGAAyRQOF1ccgXtGVrEmhdMLQ==" saltValue="/ckUDgs1GHgbyuYn8PsMqQ==" spinCount="100000" sheet="1" objects="1" scenarios="1"/>
  <phoneticPr fontId="17" type="noConversion"/>
  <pageMargins left="0.7" right="0.7" top="0.75" bottom="0.75" header="0.3" footer="0.3"/>
  <pageSetup orientation="landscape" r:id="rId1"/>
  <headerFooter>
    <oddFooter>&amp;R&amp;1#&amp;"Arial"&amp;10&amp;K000000---Internal Use---&amp;C&amp;"Calibri"&amp;11&amp;K000000DOW RESTRICTED_x000D_&amp;1#&amp;"Arial"&amp;10&amp;K000000---Internal Use---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J109"/>
  <sheetViews>
    <sheetView topLeftCell="A52" workbookViewId="0">
      <selection activeCell="C109" sqref="C109"/>
    </sheetView>
  </sheetViews>
  <sheetFormatPr baseColWidth="10" defaultColWidth="8.7265625" defaultRowHeight="14.5"/>
  <cols>
    <col min="1" max="1" width="12.453125" style="73" customWidth="1"/>
    <col min="2" max="2" width="12.453125" style="10" customWidth="1"/>
    <col min="3" max="3" width="12.453125" style="3" customWidth="1"/>
    <col min="4" max="11" width="12.453125" style="5" customWidth="1"/>
    <col min="12" max="14" width="12.453125" style="10" customWidth="1"/>
    <col min="15" max="16" width="12.453125" style="5" customWidth="1"/>
    <col min="17" max="33" width="15.6328125" customWidth="1"/>
  </cols>
  <sheetData>
    <row r="1" spans="1:36" s="1" customFormat="1" ht="45" customHeight="1">
      <c r="A1" s="72" t="s">
        <v>129</v>
      </c>
      <c r="B1" s="9" t="s">
        <v>16</v>
      </c>
      <c r="C1" s="9" t="s">
        <v>7</v>
      </c>
      <c r="D1" s="14" t="s">
        <v>136</v>
      </c>
      <c r="E1" s="14" t="s">
        <v>10</v>
      </c>
      <c r="F1" s="14" t="s">
        <v>131</v>
      </c>
      <c r="G1" s="14" t="s">
        <v>130</v>
      </c>
      <c r="H1" s="14" t="s">
        <v>132</v>
      </c>
      <c r="I1" s="14" t="s">
        <v>133</v>
      </c>
      <c r="J1" s="14" t="s">
        <v>134</v>
      </c>
      <c r="K1" s="14" t="s">
        <v>135</v>
      </c>
      <c r="L1" s="14" t="s">
        <v>11</v>
      </c>
      <c r="M1" s="14" t="s">
        <v>2</v>
      </c>
      <c r="N1" s="14" t="s">
        <v>13</v>
      </c>
      <c r="O1" s="14" t="s">
        <v>8</v>
      </c>
      <c r="P1" s="9" t="s">
        <v>9</v>
      </c>
      <c r="Q1" s="11"/>
      <c r="AH1" s="1">
        <v>0.89</v>
      </c>
      <c r="AI1" s="1">
        <v>0.08</v>
      </c>
      <c r="AJ1" s="1">
        <v>0.03</v>
      </c>
    </row>
    <row r="2" spans="1:36">
      <c r="A2" s="74">
        <f ca="1">C57</f>
        <v>44113</v>
      </c>
      <c r="B2" s="6">
        <f ca="1">IF(SUMIF('Master Log'!A:A,"&lt;="&amp;$C$57,'Master Log'!K:K)&lt;&gt;0,(SUMIF('Master Log'!A:A,"&lt;="&amp;$C$57,'Master Log'!K:K)),0)</f>
        <v>0</v>
      </c>
      <c r="C2" s="6">
        <f ca="1">IF(SUMIF('Master Log'!A:A,"&lt;="&amp;$C$57,'Master Log'!L:L)&lt;&gt;0,(SUMIF('Master Log'!A:A,"&lt;="&amp;$C$57,'Master Log'!L:L)),0)</f>
        <v>0</v>
      </c>
      <c r="D2" s="7" t="e">
        <f ca="1">IF(B2&gt;0,(B2-C2)/B2,NA())</f>
        <v>#N/A</v>
      </c>
      <c r="E2" s="7" t="e">
        <f ca="1">D2</f>
        <v>#N/A</v>
      </c>
      <c r="F2" s="6">
        <f ca="1">IF(SUMIF('Master Log'!A:A,"&lt;="&amp;$C$57,'Master Log'!Q:Q)&lt;&gt;0,(SUMIF('Master Log'!A:A,"&lt;="&amp;$C$57,'Master Log'!Q:Q)),0)</f>
        <v>0</v>
      </c>
      <c r="G2" s="6">
        <f ca="1">IF(SUMIF('Master Log'!A:A,"&lt;="&amp;$C$57,'Master Log'!O:O)&lt;&gt;0,(SUMIF('Master Log'!A:A,"&lt;="&amp;$C$57,'Master Log'!O:O)),0)</f>
        <v>0</v>
      </c>
      <c r="H2" s="58" t="e">
        <f ca="1">IF(B2&gt;0,F2/(B2-C2),NA())</f>
        <v>#N/A</v>
      </c>
      <c r="I2" s="58">
        <f ca="1">IF(SUMIF('Master Log'!A:A,"&lt;="&amp;$C$57,'Master Log'!P:P)&lt;&gt;0,(SUMIF('Master Log'!A:A,"&lt;="&amp;$C$57,'Master Log'!P:P)),0)</f>
        <v>0</v>
      </c>
      <c r="J2" s="58" t="e">
        <f ca="1">IF(B2&gt;0,I2/(B2-C2),NA())</f>
        <v>#N/A</v>
      </c>
      <c r="K2" s="7" t="e">
        <f ca="1">IF(B2&gt;0,H2/J2,NA())</f>
        <v>#N/A</v>
      </c>
      <c r="L2" s="7" t="e">
        <f ca="1">IF(B2&gt;0,K2,NA())</f>
        <v>#N/A</v>
      </c>
      <c r="M2" s="7" t="e">
        <f ca="1">IF(B2&gt;0,G2/F2,NA())</f>
        <v>#N/A</v>
      </c>
      <c r="N2" s="7" t="e">
        <f ca="1">M2</f>
        <v>#N/A</v>
      </c>
      <c r="O2" s="7">
        <f ca="1">IF(B2&gt;0,D2*K2*M2,0)</f>
        <v>0</v>
      </c>
      <c r="P2" s="7">
        <f ca="1">O2</f>
        <v>0</v>
      </c>
      <c r="Q2" s="5"/>
      <c r="Z2" s="1"/>
      <c r="AA2" s="1"/>
      <c r="AB2" s="1"/>
      <c r="AC2" s="1"/>
      <c r="AD2" s="1"/>
      <c r="AE2" s="1"/>
      <c r="AF2" s="1"/>
      <c r="AG2" s="1"/>
      <c r="AH2" s="1">
        <v>0.89</v>
      </c>
      <c r="AI2" s="1">
        <v>0.08</v>
      </c>
      <c r="AJ2" s="1">
        <v>0.03</v>
      </c>
    </row>
    <row r="3" spans="1:36">
      <c r="A3" s="74">
        <f ca="1">C58</f>
        <v>44120</v>
      </c>
      <c r="B3" s="58">
        <f ca="1">IF(SUMIF('Master Log'!A:A,"&lt;="&amp;$C58,'Master Log'!K:K)&lt;&gt;0,(SUMIF('Master Log'!A:A,"&lt;="&amp;$C58,'Master Log'!K:K))-SUM($B$2:B2),0)</f>
        <v>0</v>
      </c>
      <c r="C3" s="58">
        <f ca="1">IF(SUMIF('Master Log'!A:A,"&lt;="&amp;$C58,'Master Log'!L:L)&lt;&gt;0,(SUMIF('Master Log'!A:A,"&lt;="&amp;$C58,'Master Log'!L:L))-SUM($C$2:C2),0)</f>
        <v>0</v>
      </c>
      <c r="D3" s="7" t="e">
        <f ca="1">IF(B3&gt;0,(B3-C3)/B3,NA())</f>
        <v>#N/A</v>
      </c>
      <c r="E3" s="7" t="e">
        <f ca="1">IF(B3&gt;0,(SUM($B$2:B3)-SUM($C$2:C3))/SUM($B$2:B3),NA())</f>
        <v>#N/A</v>
      </c>
      <c r="F3" s="6">
        <f ca="1">IF(SUMIF('Master Log'!A:A,"&lt;="&amp;$C58,'Master Log'!Q:Q)&lt;&gt;0,(SUMIF('Master Log'!A:A,"&lt;="&amp;$C58,'Master Log'!Q:Q))-SUM($F$2:F2),0)</f>
        <v>0</v>
      </c>
      <c r="G3" s="6">
        <f ca="1">IF(SUMIF('Master Log'!A:A,"&lt;="&amp;$C58,'Master Log'!O:O)&lt;&gt;0,(SUMIF('Master Log'!A:A,"&lt;="&amp;$C58,'Master Log'!O:O))-SUM($G$2:G2),0)</f>
        <v>0</v>
      </c>
      <c r="H3" s="58" t="e">
        <f ca="1">IF(B3&gt;0,F3/(B3-C3),NA())</f>
        <v>#N/A</v>
      </c>
      <c r="I3" s="58">
        <f ca="1">IF(SUMIF('Master Log'!A:A,"&lt;="&amp;$C58,'Master Log'!P:P)&lt;&gt;0,(SUMIF('Master Log'!A:A,"&lt;="&amp;$C58,'Master Log'!P:P))-SUM($I$2:I2),0)</f>
        <v>0</v>
      </c>
      <c r="J3" s="58" t="e">
        <f ca="1">IF(B3&gt;0,I3/(B3-C3),NA())</f>
        <v>#N/A</v>
      </c>
      <c r="K3" s="7" t="e">
        <f ca="1">IF(B3&gt;0,H3/J3,NA())</f>
        <v>#N/A</v>
      </c>
      <c r="L3" s="7" t="e">
        <f ca="1">IF(B3&gt;0,SUM($F$2:F3)/(SUM($B$2:B3)-SUM($C$2:C3))/(SUM($I$2:I3)/(SUM($B$2:B3)-SUM($C$2:C3))),NA())</f>
        <v>#N/A</v>
      </c>
      <c r="M3" s="7" t="e">
        <f ca="1">IF(B3&gt;0,G3/F3,NA())</f>
        <v>#N/A</v>
      </c>
      <c r="N3" s="7" t="e">
        <f ca="1">IF(B3&gt;0,SUM($G$2:G3)/SUM($F$2:F3),NA())</f>
        <v>#N/A</v>
      </c>
      <c r="O3" s="7" t="e">
        <f ca="1">IF(B3&gt;0,D3*K3*M3,NA())</f>
        <v>#N/A</v>
      </c>
      <c r="P3" s="7" t="e">
        <f ca="1">IF(B3&gt;0,E3*L3*N3,NA())</f>
        <v>#N/A</v>
      </c>
      <c r="Q3" s="5"/>
      <c r="Z3" s="1"/>
      <c r="AA3" s="1"/>
      <c r="AB3" s="1"/>
      <c r="AC3" s="1"/>
      <c r="AD3" s="1"/>
      <c r="AE3" s="1"/>
      <c r="AF3" s="1"/>
      <c r="AG3" s="1"/>
      <c r="AH3" s="1">
        <v>0.89</v>
      </c>
      <c r="AI3" s="1">
        <v>0.08</v>
      </c>
      <c r="AJ3" s="1">
        <v>0.03</v>
      </c>
    </row>
    <row r="4" spans="1:36">
      <c r="A4" s="74">
        <f t="shared" ref="A4:A53" ca="1" si="0">C59</f>
        <v>44127</v>
      </c>
      <c r="B4" s="58">
        <f ca="1">IF(SUMIF('Master Log'!A:A,"&lt;="&amp;$C59,'Master Log'!K:K)&lt;&gt;0,(SUMIF('Master Log'!A:A,"&lt;="&amp;$C59,'Master Log'!K:K))-SUM($B$2:B3),0)</f>
        <v>0</v>
      </c>
      <c r="C4" s="58">
        <f ca="1">IF(SUMIF('Master Log'!A:A,"&lt;="&amp;$C59,'Master Log'!L:L)&lt;&gt;0,(SUMIF('Master Log'!A:A,"&lt;="&amp;$C59,'Master Log'!L:L))-SUM($C$2:C3),0)</f>
        <v>0</v>
      </c>
      <c r="D4" s="7" t="e">
        <f ca="1">IF(B4&gt;0,(B4-C4)/B4,NA())</f>
        <v>#N/A</v>
      </c>
      <c r="E4" s="7" t="e">
        <f ca="1">IF(B4&gt;0,(SUM($B$2:B4)-SUM($C$2:C4))/SUM($B$2:B4),NA())</f>
        <v>#N/A</v>
      </c>
      <c r="F4" s="6">
        <f ca="1">IF(SUMIF('Master Log'!A:A,"&lt;="&amp;$C59,'Master Log'!Q:Q)&lt;&gt;0,(SUMIF('Master Log'!A:A,"&lt;="&amp;$C59,'Master Log'!Q:Q))-SUM($F$2:F3),0)</f>
        <v>0</v>
      </c>
      <c r="G4" s="6">
        <f ca="1">IF(SUMIF('Master Log'!A:A,"&lt;="&amp;$C59,'Master Log'!O:O)&lt;&gt;0,(SUMIF('Master Log'!A:A,"&lt;="&amp;$C59,'Master Log'!O:O))-SUM($G$2:G3),0)</f>
        <v>0</v>
      </c>
      <c r="H4" s="58" t="e">
        <f ca="1">IF(B4&gt;0,F4/(B4-C4),NA())</f>
        <v>#N/A</v>
      </c>
      <c r="I4" s="58">
        <f ca="1">IF(SUMIF('Master Log'!A:A,"&lt;="&amp;$C59,'Master Log'!P:P)&lt;&gt;0,(SUMIF('Master Log'!A:A,"&lt;="&amp;$C59,'Master Log'!P:P))-SUM($I$2:I3),0)</f>
        <v>0</v>
      </c>
      <c r="J4" s="58" t="e">
        <f ca="1">IF(B4&gt;0,I4/(B4-C4),NA())</f>
        <v>#N/A</v>
      </c>
      <c r="K4" s="7" t="e">
        <f ca="1">IF(B4&gt;0,H4/J4,NA())</f>
        <v>#N/A</v>
      </c>
      <c r="L4" s="7" t="e">
        <f ca="1">IF(B4&gt;0,SUM($F$2:F4)/(SUM($B$2:B4)-SUM($C$2:C4))/(SUM($I$2:I4)/(SUM($B$2:B4)-SUM($C$2:C4))),NA())</f>
        <v>#N/A</v>
      </c>
      <c r="M4" s="7" t="e">
        <f ca="1">IF(B4&gt;0,G4/F4,NA())</f>
        <v>#N/A</v>
      </c>
      <c r="N4" s="7" t="e">
        <f ca="1">IF(B4&gt;0,SUM($G$2:G4)/SUM($F$2:F4),NA())</f>
        <v>#N/A</v>
      </c>
      <c r="O4" s="7" t="e">
        <f ca="1">IF(B4&gt;0,D4*K4*M4,NA())</f>
        <v>#N/A</v>
      </c>
      <c r="P4" s="7" t="e">
        <f ca="1">IF(B4&gt;0,E4*L4*N4,NA())</f>
        <v>#N/A</v>
      </c>
      <c r="Q4" s="5"/>
      <c r="Z4" s="1"/>
      <c r="AA4" s="1"/>
      <c r="AB4" s="1"/>
      <c r="AC4" s="1"/>
      <c r="AD4" s="1"/>
      <c r="AE4" s="1"/>
      <c r="AF4" s="1"/>
      <c r="AG4" s="1"/>
      <c r="AH4" s="1">
        <v>0.89</v>
      </c>
      <c r="AI4" s="1">
        <v>0.08</v>
      </c>
      <c r="AJ4" s="1">
        <v>0.03</v>
      </c>
    </row>
    <row r="5" spans="1:36">
      <c r="A5" s="74">
        <f t="shared" ca="1" si="0"/>
        <v>44134</v>
      </c>
      <c r="B5" s="58">
        <f ca="1">IF(SUMIF('Master Log'!A:A,"&lt;="&amp;$C60,'Master Log'!K:K)&lt;&gt;0,(SUMIF('Master Log'!A:A,"&lt;="&amp;$C60,'Master Log'!K:K))-SUM($B$2:B4),0)</f>
        <v>0</v>
      </c>
      <c r="C5" s="58">
        <f ca="1">IF(SUMIF('Master Log'!A:A,"&lt;="&amp;$C60,'Master Log'!L:L)&lt;&gt;0,(SUMIF('Master Log'!A:A,"&lt;="&amp;$C60,'Master Log'!L:L))-SUM($C$2:C4),0)</f>
        <v>0</v>
      </c>
      <c r="D5" s="7" t="e">
        <f t="shared" ref="D5:D53" ca="1" si="1">IF(B5&gt;0,(B5-C5)/B5,NA())</f>
        <v>#N/A</v>
      </c>
      <c r="E5" s="7" t="e">
        <f ca="1">IF(B5&gt;0,(SUM($B$2:B5)-SUM($C$2:C5))/SUM($B$2:B5),NA())</f>
        <v>#N/A</v>
      </c>
      <c r="F5" s="6">
        <f ca="1">IF(SUMIF('Master Log'!A:A,"&lt;="&amp;$C60,'Master Log'!Q:Q)&lt;&gt;0,(SUMIF('Master Log'!A:A,"&lt;="&amp;$C60,'Master Log'!Q:Q))-SUM($F$2:F4),0)</f>
        <v>0</v>
      </c>
      <c r="G5" s="6">
        <f ca="1">IF(SUMIF('Master Log'!A:A,"&lt;="&amp;$C60,'Master Log'!O:O)&lt;&gt;0,(SUMIF('Master Log'!A:A,"&lt;="&amp;$C60,'Master Log'!O:O))-SUM($G$2:G4),0)</f>
        <v>0</v>
      </c>
      <c r="H5" s="58" t="e">
        <f t="shared" ref="H5:H53" ca="1" si="2">IF(B5&gt;0,F5/(B5-C5),NA())</f>
        <v>#N/A</v>
      </c>
      <c r="I5" s="58">
        <f ca="1">IF(SUMIF('Master Log'!A:A,"&lt;="&amp;$C60,'Master Log'!P:P)&lt;&gt;0,(SUMIF('Master Log'!A:A,"&lt;="&amp;$C60,'Master Log'!P:P))-SUM($I$2:I4),0)</f>
        <v>0</v>
      </c>
      <c r="J5" s="58" t="e">
        <f t="shared" ref="J5:J53" ca="1" si="3">IF(B5&gt;0,I5/(B5-C5),NA())</f>
        <v>#N/A</v>
      </c>
      <c r="K5" s="7" t="e">
        <f t="shared" ref="K5:K53" ca="1" si="4">IF(B5&gt;0,H5/J5,NA())</f>
        <v>#N/A</v>
      </c>
      <c r="L5" s="7" t="e">
        <f ca="1">IF(B5&gt;0,SUM($F$2:F5)/(SUM($B$2:B5)-SUM($C$2:C5))/(SUM($I$2:I5)/(SUM($B$2:B5)-SUM($C$2:C5))),NA())</f>
        <v>#N/A</v>
      </c>
      <c r="M5" s="7" t="e">
        <f t="shared" ref="M5:M53" ca="1" si="5">IF(B5&gt;0,G5/F5,NA())</f>
        <v>#N/A</v>
      </c>
      <c r="N5" s="7" t="e">
        <f ca="1">IF(B5&gt;0,SUM($G$2:G5)/SUM($F$2:F5),NA())</f>
        <v>#N/A</v>
      </c>
      <c r="O5" s="7" t="e">
        <f t="shared" ref="O5:O53" ca="1" si="6">IF(B5&gt;0,D5*K5*M5,NA())</f>
        <v>#N/A</v>
      </c>
      <c r="P5" s="7" t="e">
        <f t="shared" ref="P5:P53" ca="1" si="7">IF(B5&gt;0,E5*L5*N5,NA())</f>
        <v>#N/A</v>
      </c>
      <c r="Q5" s="5"/>
      <c r="Z5" s="1"/>
      <c r="AA5" s="1"/>
      <c r="AB5" s="1"/>
      <c r="AC5" s="1"/>
      <c r="AD5" s="1"/>
      <c r="AE5" s="1"/>
      <c r="AF5" s="1"/>
      <c r="AG5" s="1"/>
      <c r="AH5" s="1">
        <v>0.89</v>
      </c>
      <c r="AI5" s="1">
        <v>0.08</v>
      </c>
      <c r="AJ5" s="1">
        <v>0.03</v>
      </c>
    </row>
    <row r="6" spans="1:36">
      <c r="A6" s="74">
        <f t="shared" ca="1" si="0"/>
        <v>44141</v>
      </c>
      <c r="B6" s="58">
        <f ca="1">IF(SUMIF('Master Log'!A:A,"&lt;="&amp;$C61,'Master Log'!K:K)&lt;&gt;0,(SUMIF('Master Log'!A:A,"&lt;="&amp;$C61,'Master Log'!K:K))-SUM($B$2:B5),0)</f>
        <v>0</v>
      </c>
      <c r="C6" s="58">
        <f ca="1">IF(SUMIF('Master Log'!A:A,"&lt;="&amp;$C61,'Master Log'!L:L)&lt;&gt;0,(SUMIF('Master Log'!A:A,"&lt;="&amp;$C61,'Master Log'!L:L))-SUM($C$2:C5),0)</f>
        <v>0</v>
      </c>
      <c r="D6" s="7" t="e">
        <f t="shared" ca="1" si="1"/>
        <v>#N/A</v>
      </c>
      <c r="E6" s="7" t="e">
        <f ca="1">IF(B6&gt;0,(SUM($B$2:B6)-SUM($C$2:C6))/SUM($B$2:B6),NA())</f>
        <v>#N/A</v>
      </c>
      <c r="F6" s="6">
        <f ca="1">IF(SUMIF('Master Log'!A:A,"&lt;="&amp;$C61,'Master Log'!Q:Q)&lt;&gt;0,(SUMIF('Master Log'!A:A,"&lt;="&amp;$C61,'Master Log'!Q:Q))-SUM($F$2:F5),0)</f>
        <v>0</v>
      </c>
      <c r="G6" s="6">
        <f ca="1">IF(SUMIF('Master Log'!A:A,"&lt;="&amp;$C61,'Master Log'!O:O)&lt;&gt;0,(SUMIF('Master Log'!A:A,"&lt;="&amp;$C61,'Master Log'!O:O))-SUM($G$2:G5),0)</f>
        <v>0</v>
      </c>
      <c r="H6" s="58" t="e">
        <f t="shared" ca="1" si="2"/>
        <v>#N/A</v>
      </c>
      <c r="I6" s="58">
        <f ca="1">IF(SUMIF('Master Log'!A:A,"&lt;="&amp;$C61,'Master Log'!P:P)&lt;&gt;0,(SUMIF('Master Log'!A:A,"&lt;="&amp;$C61,'Master Log'!P:P))-SUM($I$2:I5),0)</f>
        <v>0</v>
      </c>
      <c r="J6" s="58" t="e">
        <f t="shared" ca="1" si="3"/>
        <v>#N/A</v>
      </c>
      <c r="K6" s="7" t="e">
        <f t="shared" ca="1" si="4"/>
        <v>#N/A</v>
      </c>
      <c r="L6" s="7" t="e">
        <f ca="1">IF(B6&gt;0,SUM($F$2:F6)/(SUM($B$2:B6)-SUM($C$2:C6))/(SUM($I$2:I6)/(SUM($B$2:B6)-SUM($C$2:C6))),NA())</f>
        <v>#N/A</v>
      </c>
      <c r="M6" s="7" t="e">
        <f t="shared" ca="1" si="5"/>
        <v>#N/A</v>
      </c>
      <c r="N6" s="7" t="e">
        <f ca="1">IF(B6&gt;0,SUM($G$2:G6)/SUM($F$2:F6),NA())</f>
        <v>#N/A</v>
      </c>
      <c r="O6" s="7" t="e">
        <f t="shared" ca="1" si="6"/>
        <v>#N/A</v>
      </c>
      <c r="P6" s="7" t="e">
        <f t="shared" ca="1" si="7"/>
        <v>#N/A</v>
      </c>
      <c r="Q6" s="5"/>
      <c r="Z6" s="1"/>
      <c r="AA6" s="1"/>
      <c r="AB6" s="1"/>
      <c r="AC6" s="1"/>
      <c r="AD6" s="1"/>
      <c r="AE6" s="1"/>
      <c r="AF6" s="1"/>
      <c r="AG6" s="1"/>
      <c r="AH6" s="1">
        <v>0.89</v>
      </c>
      <c r="AI6" s="1">
        <v>0.08</v>
      </c>
      <c r="AJ6" s="1">
        <v>0.03</v>
      </c>
    </row>
    <row r="7" spans="1:36">
      <c r="A7" s="74">
        <f t="shared" ca="1" si="0"/>
        <v>44148</v>
      </c>
      <c r="B7" s="58">
        <f ca="1">IF(SUMIF('Master Log'!A:A,"&lt;="&amp;$C62,'Master Log'!K:K)&lt;&gt;0,(SUMIF('Master Log'!A:A,"&lt;="&amp;$C62,'Master Log'!K:K))-SUM($B$2:B6),0)</f>
        <v>0</v>
      </c>
      <c r="C7" s="58">
        <f ca="1">IF(SUMIF('Master Log'!A:A,"&lt;="&amp;$C62,'Master Log'!L:L)&lt;&gt;0,(SUMIF('Master Log'!A:A,"&lt;="&amp;$C62,'Master Log'!L:L))-SUM($C$2:C6),0)</f>
        <v>0</v>
      </c>
      <c r="D7" s="7" t="e">
        <f t="shared" ca="1" si="1"/>
        <v>#N/A</v>
      </c>
      <c r="E7" s="7" t="e">
        <f ca="1">IF(B7&gt;0,(SUM($B$2:B7)-SUM($C$2:C7))/SUM($B$2:B7),NA())</f>
        <v>#N/A</v>
      </c>
      <c r="F7" s="6">
        <f ca="1">IF(SUMIF('Master Log'!A:A,"&lt;="&amp;$C62,'Master Log'!Q:Q)&lt;&gt;0,(SUMIF('Master Log'!A:A,"&lt;="&amp;$C62,'Master Log'!Q:Q))-SUM($F$2:F6),0)</f>
        <v>0</v>
      </c>
      <c r="G7" s="6">
        <f ca="1">IF(SUMIF('Master Log'!A:A,"&lt;="&amp;$C62,'Master Log'!O:O)&lt;&gt;0,(SUMIF('Master Log'!A:A,"&lt;="&amp;$C62,'Master Log'!O:O))-SUM($G$2:G6),0)</f>
        <v>0</v>
      </c>
      <c r="H7" s="58" t="e">
        <f t="shared" ca="1" si="2"/>
        <v>#N/A</v>
      </c>
      <c r="I7" s="58">
        <f ca="1">IF(SUMIF('Master Log'!A:A,"&lt;="&amp;$C62,'Master Log'!P:P)&lt;&gt;0,(SUMIF('Master Log'!A:A,"&lt;="&amp;$C62,'Master Log'!P:P))-SUM($I$2:I6),0)</f>
        <v>0</v>
      </c>
      <c r="J7" s="58" t="e">
        <f t="shared" ca="1" si="3"/>
        <v>#N/A</v>
      </c>
      <c r="K7" s="7" t="e">
        <f t="shared" ca="1" si="4"/>
        <v>#N/A</v>
      </c>
      <c r="L7" s="7" t="e">
        <f ca="1">IF(B7&gt;0,SUM($F$2:F7)/(SUM($B$2:B7)-SUM($C$2:C7))/(SUM($I$2:I7)/(SUM($B$2:B7)-SUM($C$2:C7))),NA())</f>
        <v>#N/A</v>
      </c>
      <c r="M7" s="7" t="e">
        <f t="shared" ca="1" si="5"/>
        <v>#N/A</v>
      </c>
      <c r="N7" s="7" t="e">
        <f ca="1">IF(B7&gt;0,SUM($G$2:G7)/SUM($F$2:F7),NA())</f>
        <v>#N/A</v>
      </c>
      <c r="O7" s="7" t="e">
        <f t="shared" ca="1" si="6"/>
        <v>#N/A</v>
      </c>
      <c r="P7" s="7" t="e">
        <f t="shared" ca="1" si="7"/>
        <v>#N/A</v>
      </c>
      <c r="Q7" s="5"/>
      <c r="Z7" s="1"/>
      <c r="AA7" s="1"/>
      <c r="AB7" s="1"/>
      <c r="AC7" s="1"/>
      <c r="AD7" s="1"/>
      <c r="AE7" s="1"/>
      <c r="AF7" s="1"/>
      <c r="AG7" s="1"/>
      <c r="AH7" s="1">
        <v>0.89</v>
      </c>
      <c r="AI7" s="1">
        <v>0.08</v>
      </c>
      <c r="AJ7" s="1">
        <v>0.03</v>
      </c>
    </row>
    <row r="8" spans="1:36">
      <c r="A8" s="74">
        <f t="shared" ca="1" si="0"/>
        <v>44155</v>
      </c>
      <c r="B8" s="58">
        <f ca="1">IF(SUMIF('Master Log'!A:A,"&lt;="&amp;$C63,'Master Log'!K:K)&lt;&gt;0,(SUMIF('Master Log'!A:A,"&lt;="&amp;$C63,'Master Log'!K:K))-SUM($B$2:B7),0)</f>
        <v>0</v>
      </c>
      <c r="C8" s="58">
        <f ca="1">IF(SUMIF('Master Log'!A:A,"&lt;="&amp;$C63,'Master Log'!L:L)&lt;&gt;0,(SUMIF('Master Log'!A:A,"&lt;="&amp;$C63,'Master Log'!L:L))-SUM($C$2:C7),0)</f>
        <v>0</v>
      </c>
      <c r="D8" s="7" t="e">
        <f t="shared" ca="1" si="1"/>
        <v>#N/A</v>
      </c>
      <c r="E8" s="7" t="e">
        <f ca="1">IF(B8&gt;0,(SUM($B$2:B8)-SUM($C$2:C8))/SUM($B$2:B8),NA())</f>
        <v>#N/A</v>
      </c>
      <c r="F8" s="6">
        <f ca="1">IF(SUMIF('Master Log'!A:A,"&lt;="&amp;$C63,'Master Log'!Q:Q)&lt;&gt;0,(SUMIF('Master Log'!A:A,"&lt;="&amp;$C63,'Master Log'!Q:Q))-SUM($F$2:F7),0)</f>
        <v>0</v>
      </c>
      <c r="G8" s="6">
        <f ca="1">IF(SUMIF('Master Log'!A:A,"&lt;="&amp;$C63,'Master Log'!O:O)&lt;&gt;0,(SUMIF('Master Log'!A:A,"&lt;="&amp;$C63,'Master Log'!O:O))-SUM($G$2:G7),0)</f>
        <v>0</v>
      </c>
      <c r="H8" s="58" t="e">
        <f t="shared" ca="1" si="2"/>
        <v>#N/A</v>
      </c>
      <c r="I8" s="58">
        <f ca="1">IF(SUMIF('Master Log'!A:A,"&lt;="&amp;$C63,'Master Log'!P:P)&lt;&gt;0,(SUMIF('Master Log'!A:A,"&lt;="&amp;$C63,'Master Log'!P:P))-SUM($I$2:I7),0)</f>
        <v>0</v>
      </c>
      <c r="J8" s="58" t="e">
        <f t="shared" ca="1" si="3"/>
        <v>#N/A</v>
      </c>
      <c r="K8" s="7" t="e">
        <f t="shared" ca="1" si="4"/>
        <v>#N/A</v>
      </c>
      <c r="L8" s="7" t="e">
        <f ca="1">IF(B8&gt;0,SUM($F$2:F8)/(SUM($B$2:B8)-SUM($C$2:C8))/(SUM($I$2:I8)/(SUM($B$2:B8)-SUM($C$2:C8))),NA())</f>
        <v>#N/A</v>
      </c>
      <c r="M8" s="7" t="e">
        <f t="shared" ca="1" si="5"/>
        <v>#N/A</v>
      </c>
      <c r="N8" s="7" t="e">
        <f ca="1">IF(B8&gt;0,SUM($G$2:G8)/SUM($F$2:F8),NA())</f>
        <v>#N/A</v>
      </c>
      <c r="O8" s="7" t="e">
        <f t="shared" ca="1" si="6"/>
        <v>#N/A</v>
      </c>
      <c r="P8" s="7" t="e">
        <f t="shared" ca="1" si="7"/>
        <v>#N/A</v>
      </c>
      <c r="Q8" s="5"/>
      <c r="Z8" s="1"/>
      <c r="AA8" s="1"/>
      <c r="AB8" s="1"/>
      <c r="AC8" s="1"/>
      <c r="AD8" s="1"/>
      <c r="AE8" s="1"/>
      <c r="AF8" s="1"/>
      <c r="AG8" s="1"/>
      <c r="AH8" s="1">
        <v>0.89</v>
      </c>
      <c r="AI8" s="1">
        <v>0.08</v>
      </c>
      <c r="AJ8" s="1">
        <v>0.03</v>
      </c>
    </row>
    <row r="9" spans="1:36">
      <c r="A9" s="74">
        <f t="shared" ca="1" si="0"/>
        <v>44162</v>
      </c>
      <c r="B9" s="58">
        <f ca="1">IF(SUMIF('Master Log'!A:A,"&lt;="&amp;$C64,'Master Log'!K:K)&lt;&gt;0,(SUMIF('Master Log'!A:A,"&lt;="&amp;$C64,'Master Log'!K:K))-SUM($B$2:B8),0)</f>
        <v>0</v>
      </c>
      <c r="C9" s="58">
        <f ca="1">IF(SUMIF('Master Log'!A:A,"&lt;="&amp;$C64,'Master Log'!L:L)&lt;&gt;0,(SUMIF('Master Log'!A:A,"&lt;="&amp;$C64,'Master Log'!L:L))-SUM($C$2:C8),0)</f>
        <v>0</v>
      </c>
      <c r="D9" s="7" t="e">
        <f t="shared" ca="1" si="1"/>
        <v>#N/A</v>
      </c>
      <c r="E9" s="7" t="e">
        <f ca="1">IF(B9&gt;0,(SUM($B$2:B9)-SUM($C$2:C9))/SUM($B$2:B9),NA())</f>
        <v>#N/A</v>
      </c>
      <c r="F9" s="6">
        <f ca="1">IF(SUMIF('Master Log'!A:A,"&lt;="&amp;$C64,'Master Log'!Q:Q)&lt;&gt;0,(SUMIF('Master Log'!A:A,"&lt;="&amp;$C64,'Master Log'!Q:Q))-SUM($F$2:F8),0)</f>
        <v>0</v>
      </c>
      <c r="G9" s="6">
        <f ca="1">IF(SUMIF('Master Log'!A:A,"&lt;="&amp;$C64,'Master Log'!O:O)&lt;&gt;0,(SUMIF('Master Log'!A:A,"&lt;="&amp;$C64,'Master Log'!O:O))-SUM($G$2:G8),0)</f>
        <v>0</v>
      </c>
      <c r="H9" s="58" t="e">
        <f t="shared" ca="1" si="2"/>
        <v>#N/A</v>
      </c>
      <c r="I9" s="58">
        <f ca="1">IF(SUMIF('Master Log'!A:A,"&lt;="&amp;$C64,'Master Log'!P:P)&lt;&gt;0,(SUMIF('Master Log'!A:A,"&lt;="&amp;$C64,'Master Log'!P:P))-SUM($I$2:I8),0)</f>
        <v>0</v>
      </c>
      <c r="J9" s="58" t="e">
        <f t="shared" ca="1" si="3"/>
        <v>#N/A</v>
      </c>
      <c r="K9" s="7" t="e">
        <f t="shared" ca="1" si="4"/>
        <v>#N/A</v>
      </c>
      <c r="L9" s="7" t="e">
        <f ca="1">IF(B9&gt;0,SUM($F$2:F9)/(SUM($B$2:B9)-SUM($C$2:C9))/(SUM($I$2:I9)/(SUM($B$2:B9)-SUM($C$2:C9))),NA())</f>
        <v>#N/A</v>
      </c>
      <c r="M9" s="7" t="e">
        <f t="shared" ca="1" si="5"/>
        <v>#N/A</v>
      </c>
      <c r="N9" s="7" t="e">
        <f ca="1">IF(B9&gt;0,SUM($G$2:G9)/SUM($F$2:F9),NA())</f>
        <v>#N/A</v>
      </c>
      <c r="O9" s="7" t="e">
        <f t="shared" ca="1" si="6"/>
        <v>#N/A</v>
      </c>
      <c r="P9" s="7" t="e">
        <f t="shared" ca="1" si="7"/>
        <v>#N/A</v>
      </c>
      <c r="Q9" s="5"/>
      <c r="Z9" s="1"/>
      <c r="AA9" s="1"/>
      <c r="AB9" s="1"/>
      <c r="AC9" s="1"/>
      <c r="AD9" s="1"/>
      <c r="AE9" s="1"/>
      <c r="AF9" s="1"/>
      <c r="AG9" s="1"/>
      <c r="AH9" s="1">
        <v>0.89</v>
      </c>
      <c r="AI9" s="1">
        <v>0.08</v>
      </c>
      <c r="AJ9" s="1">
        <v>0.03</v>
      </c>
    </row>
    <row r="10" spans="1:36">
      <c r="A10" s="74">
        <f t="shared" ca="1" si="0"/>
        <v>44169</v>
      </c>
      <c r="B10" s="58">
        <f ca="1">IF(SUMIF('Master Log'!A:A,"&lt;="&amp;$C65,'Master Log'!K:K)&lt;&gt;0,(SUMIF('Master Log'!A:A,"&lt;="&amp;$C65,'Master Log'!K:K))-SUM($B$2:B9),0)</f>
        <v>0</v>
      </c>
      <c r="C10" s="58">
        <f ca="1">IF(SUMIF('Master Log'!A:A,"&lt;="&amp;$C65,'Master Log'!L:L)&lt;&gt;0,(SUMIF('Master Log'!A:A,"&lt;="&amp;$C65,'Master Log'!L:L))-SUM($C$2:C9),0)</f>
        <v>0</v>
      </c>
      <c r="D10" s="7" t="e">
        <f t="shared" ca="1" si="1"/>
        <v>#N/A</v>
      </c>
      <c r="E10" s="7" t="e">
        <f ca="1">IF(B10&gt;0,(SUM($B$2:B10)-SUM($C$2:C10))/SUM($B$2:B10),NA())</f>
        <v>#N/A</v>
      </c>
      <c r="F10" s="6">
        <f ca="1">IF(SUMIF('Master Log'!A:A,"&lt;="&amp;$C65,'Master Log'!Q:Q)&lt;&gt;0,(SUMIF('Master Log'!A:A,"&lt;="&amp;$C65,'Master Log'!Q:Q))-SUM($F$2:F9),0)</f>
        <v>0</v>
      </c>
      <c r="G10" s="6">
        <f ca="1">IF(SUMIF('Master Log'!A:A,"&lt;="&amp;$C65,'Master Log'!O:O)&lt;&gt;0,(SUMIF('Master Log'!A:A,"&lt;="&amp;$C65,'Master Log'!O:O))-SUM($G$2:G9),0)</f>
        <v>0</v>
      </c>
      <c r="H10" s="58" t="e">
        <f t="shared" ca="1" si="2"/>
        <v>#N/A</v>
      </c>
      <c r="I10" s="58">
        <f ca="1">IF(SUMIF('Master Log'!A:A,"&lt;="&amp;$C65,'Master Log'!P:P)&lt;&gt;0,(SUMIF('Master Log'!A:A,"&lt;="&amp;$C65,'Master Log'!P:P))-SUM($I$2:I9),0)</f>
        <v>0</v>
      </c>
      <c r="J10" s="58" t="e">
        <f t="shared" ca="1" si="3"/>
        <v>#N/A</v>
      </c>
      <c r="K10" s="7" t="e">
        <f t="shared" ca="1" si="4"/>
        <v>#N/A</v>
      </c>
      <c r="L10" s="7" t="e">
        <f ca="1">IF(B10&gt;0,SUM($F$2:F10)/(SUM($B$2:B10)-SUM($C$2:C10))/(SUM($I$2:I10)/(SUM($B$2:B10)-SUM($C$2:C10))),NA())</f>
        <v>#N/A</v>
      </c>
      <c r="M10" s="7" t="e">
        <f t="shared" ca="1" si="5"/>
        <v>#N/A</v>
      </c>
      <c r="N10" s="7" t="e">
        <f ca="1">IF(B10&gt;0,SUM($G$2:G10)/SUM($F$2:F10),NA())</f>
        <v>#N/A</v>
      </c>
      <c r="O10" s="7" t="e">
        <f t="shared" ca="1" si="6"/>
        <v>#N/A</v>
      </c>
      <c r="P10" s="7" t="e">
        <f t="shared" ca="1" si="7"/>
        <v>#N/A</v>
      </c>
      <c r="Q10" s="5"/>
      <c r="Z10" s="1"/>
      <c r="AA10" s="1"/>
      <c r="AB10" s="1"/>
      <c r="AC10" s="1"/>
      <c r="AD10" s="1"/>
      <c r="AE10" s="1"/>
      <c r="AF10" s="1"/>
      <c r="AG10" s="1"/>
      <c r="AH10" s="1">
        <v>0.89</v>
      </c>
      <c r="AI10" s="1">
        <v>0.08</v>
      </c>
      <c r="AJ10" s="1">
        <v>0.03</v>
      </c>
    </row>
    <row r="11" spans="1:36">
      <c r="A11" s="74">
        <f t="shared" ca="1" si="0"/>
        <v>44176</v>
      </c>
      <c r="B11" s="58">
        <f ca="1">IF(SUMIF('Master Log'!A:A,"&lt;="&amp;$C66,'Master Log'!K:K)&lt;&gt;0,(SUMIF('Master Log'!A:A,"&lt;="&amp;$C66,'Master Log'!K:K))-SUM($B$2:B10),0)</f>
        <v>0</v>
      </c>
      <c r="C11" s="58">
        <f ca="1">IF(SUMIF('Master Log'!A:A,"&lt;="&amp;$C66,'Master Log'!L:L)&lt;&gt;0,(SUMIF('Master Log'!A:A,"&lt;="&amp;$C66,'Master Log'!L:L))-SUM($C$2:C10),0)</f>
        <v>0</v>
      </c>
      <c r="D11" s="7" t="e">
        <f t="shared" ca="1" si="1"/>
        <v>#N/A</v>
      </c>
      <c r="E11" s="7" t="e">
        <f ca="1">IF(B11&gt;0,(SUM($B$2:B11)-SUM($C$2:C11))/SUM($B$2:B11),NA())</f>
        <v>#N/A</v>
      </c>
      <c r="F11" s="6">
        <f ca="1">IF(SUMIF('Master Log'!A:A,"&lt;="&amp;$C66,'Master Log'!Q:Q)&lt;&gt;0,(SUMIF('Master Log'!A:A,"&lt;="&amp;$C66,'Master Log'!Q:Q))-SUM($F$2:F10),0)</f>
        <v>0</v>
      </c>
      <c r="G11" s="6">
        <f ca="1">IF(SUMIF('Master Log'!A:A,"&lt;="&amp;$C66,'Master Log'!O:O)&lt;&gt;0,(SUMIF('Master Log'!A:A,"&lt;="&amp;$C66,'Master Log'!O:O))-SUM($G$2:G10),0)</f>
        <v>0</v>
      </c>
      <c r="H11" s="58" t="e">
        <f t="shared" ca="1" si="2"/>
        <v>#N/A</v>
      </c>
      <c r="I11" s="58">
        <f ca="1">IF(SUMIF('Master Log'!A:A,"&lt;="&amp;$C66,'Master Log'!P:P)&lt;&gt;0,(SUMIF('Master Log'!A:A,"&lt;="&amp;$C66,'Master Log'!P:P))-SUM($I$2:I10),0)</f>
        <v>0</v>
      </c>
      <c r="J11" s="58" t="e">
        <f t="shared" ca="1" si="3"/>
        <v>#N/A</v>
      </c>
      <c r="K11" s="7" t="e">
        <f t="shared" ca="1" si="4"/>
        <v>#N/A</v>
      </c>
      <c r="L11" s="7" t="e">
        <f ca="1">IF(B11&gt;0,SUM($F$2:F11)/(SUM($B$2:B11)-SUM($C$2:C11))/(SUM($I$2:I11)/(SUM($B$2:B11)-SUM($C$2:C11))),NA())</f>
        <v>#N/A</v>
      </c>
      <c r="M11" s="7" t="e">
        <f t="shared" ca="1" si="5"/>
        <v>#N/A</v>
      </c>
      <c r="N11" s="7" t="e">
        <f ca="1">IF(B11&gt;0,SUM($G$2:G11)/SUM($F$2:F11),NA())</f>
        <v>#N/A</v>
      </c>
      <c r="O11" s="7" t="e">
        <f t="shared" ca="1" si="6"/>
        <v>#N/A</v>
      </c>
      <c r="P11" s="7" t="e">
        <f t="shared" ca="1" si="7"/>
        <v>#N/A</v>
      </c>
      <c r="Q11" s="5"/>
      <c r="Z11" s="1"/>
      <c r="AA11" s="1"/>
      <c r="AB11" s="1"/>
      <c r="AC11" s="1"/>
      <c r="AD11" s="1"/>
      <c r="AE11" s="1"/>
      <c r="AF11" s="1"/>
      <c r="AG11" s="1"/>
      <c r="AH11" s="1">
        <v>0.89</v>
      </c>
      <c r="AI11" s="1">
        <v>0.08</v>
      </c>
      <c r="AJ11" s="1">
        <v>0.03</v>
      </c>
    </row>
    <row r="12" spans="1:36">
      <c r="A12" s="74">
        <f t="shared" ca="1" si="0"/>
        <v>44183</v>
      </c>
      <c r="B12" s="58">
        <f ca="1">IF(SUMIF('Master Log'!A:A,"&lt;="&amp;$C67,'Master Log'!K:K)&lt;&gt;0,(SUMIF('Master Log'!A:A,"&lt;="&amp;$C67,'Master Log'!K:K))-SUM($B$2:B11),0)</f>
        <v>0</v>
      </c>
      <c r="C12" s="58">
        <f ca="1">IF(SUMIF('Master Log'!A:A,"&lt;="&amp;$C67,'Master Log'!L:L)&lt;&gt;0,(SUMIF('Master Log'!A:A,"&lt;="&amp;$C67,'Master Log'!L:L))-SUM($C$2:C11),0)</f>
        <v>0</v>
      </c>
      <c r="D12" s="7" t="e">
        <f t="shared" ca="1" si="1"/>
        <v>#N/A</v>
      </c>
      <c r="E12" s="7" t="e">
        <f ca="1">IF(B12&gt;0,(SUM($B$2:B12)-SUM($C$2:C12))/SUM($B$2:B12),NA())</f>
        <v>#N/A</v>
      </c>
      <c r="F12" s="6">
        <f ca="1">IF(SUMIF('Master Log'!A:A,"&lt;="&amp;$C67,'Master Log'!Q:Q)&lt;&gt;0,(SUMIF('Master Log'!A:A,"&lt;="&amp;$C67,'Master Log'!Q:Q))-SUM($F$2:F11),0)</f>
        <v>0</v>
      </c>
      <c r="G12" s="6">
        <f ca="1">IF(SUMIF('Master Log'!A:A,"&lt;="&amp;$C67,'Master Log'!O:O)&lt;&gt;0,(SUMIF('Master Log'!A:A,"&lt;="&amp;$C67,'Master Log'!O:O))-SUM($G$2:G11),0)</f>
        <v>0</v>
      </c>
      <c r="H12" s="58" t="e">
        <f t="shared" ca="1" si="2"/>
        <v>#N/A</v>
      </c>
      <c r="I12" s="58">
        <f ca="1">IF(SUMIF('Master Log'!A:A,"&lt;="&amp;$C67,'Master Log'!P:P)&lt;&gt;0,(SUMIF('Master Log'!A:A,"&lt;="&amp;$C67,'Master Log'!P:P))-SUM($I$2:I11),0)</f>
        <v>0</v>
      </c>
      <c r="J12" s="58" t="e">
        <f t="shared" ca="1" si="3"/>
        <v>#N/A</v>
      </c>
      <c r="K12" s="7" t="e">
        <f t="shared" ca="1" si="4"/>
        <v>#N/A</v>
      </c>
      <c r="L12" s="7" t="e">
        <f ca="1">IF(B12&gt;0,SUM($F$2:F12)/(SUM($B$2:B12)-SUM($C$2:C12))/(SUM($I$2:I12)/(SUM($B$2:B12)-SUM($C$2:C12))),NA())</f>
        <v>#N/A</v>
      </c>
      <c r="M12" s="7" t="e">
        <f t="shared" ca="1" si="5"/>
        <v>#N/A</v>
      </c>
      <c r="N12" s="7" t="e">
        <f ca="1">IF(B12&gt;0,SUM($G$2:G12)/SUM($F$2:F12),NA())</f>
        <v>#N/A</v>
      </c>
      <c r="O12" s="7" t="e">
        <f t="shared" ca="1" si="6"/>
        <v>#N/A</v>
      </c>
      <c r="P12" s="7" t="e">
        <f t="shared" ca="1" si="7"/>
        <v>#N/A</v>
      </c>
      <c r="Q12" s="5"/>
      <c r="Z12" s="1"/>
      <c r="AA12" s="1"/>
      <c r="AB12" s="1"/>
      <c r="AC12" s="1"/>
      <c r="AD12" s="1"/>
      <c r="AE12" s="1"/>
      <c r="AF12" s="1"/>
      <c r="AG12" s="1"/>
      <c r="AH12" s="1">
        <v>0.89</v>
      </c>
      <c r="AI12" s="1">
        <v>0.08</v>
      </c>
      <c r="AJ12" s="1">
        <v>0.03</v>
      </c>
    </row>
    <row r="13" spans="1:36">
      <c r="A13" s="74">
        <f t="shared" ca="1" si="0"/>
        <v>44190</v>
      </c>
      <c r="B13" s="58">
        <f ca="1">IF(SUMIF('Master Log'!A:A,"&lt;="&amp;$C68,'Master Log'!K:K)&lt;&gt;0,(SUMIF('Master Log'!A:A,"&lt;="&amp;$C68,'Master Log'!K:K))-SUM($B$2:B12),0)</f>
        <v>0</v>
      </c>
      <c r="C13" s="58">
        <f ca="1">IF(SUMIF('Master Log'!A:A,"&lt;="&amp;$C68,'Master Log'!L:L)&lt;&gt;0,(SUMIF('Master Log'!A:A,"&lt;="&amp;$C68,'Master Log'!L:L))-SUM($C$2:C12),0)</f>
        <v>0</v>
      </c>
      <c r="D13" s="7" t="e">
        <f t="shared" ca="1" si="1"/>
        <v>#N/A</v>
      </c>
      <c r="E13" s="7" t="e">
        <f ca="1">IF(B13&gt;0,(SUM($B$2:B13)-SUM($C$2:C13))/SUM($B$2:B13),NA())</f>
        <v>#N/A</v>
      </c>
      <c r="F13" s="6">
        <f ca="1">IF(SUMIF('Master Log'!A:A,"&lt;="&amp;$C68,'Master Log'!Q:Q)&lt;&gt;0,(SUMIF('Master Log'!A:A,"&lt;="&amp;$C68,'Master Log'!Q:Q))-SUM($F$2:F12),0)</f>
        <v>0</v>
      </c>
      <c r="G13" s="6">
        <f ca="1">IF(SUMIF('Master Log'!A:A,"&lt;="&amp;$C68,'Master Log'!O:O)&lt;&gt;0,(SUMIF('Master Log'!A:A,"&lt;="&amp;$C68,'Master Log'!O:O))-SUM($G$2:G12),0)</f>
        <v>0</v>
      </c>
      <c r="H13" s="58" t="e">
        <f t="shared" ca="1" si="2"/>
        <v>#N/A</v>
      </c>
      <c r="I13" s="58">
        <f ca="1">IF(SUMIF('Master Log'!A:A,"&lt;="&amp;$C68,'Master Log'!P:P)&lt;&gt;0,(SUMIF('Master Log'!A:A,"&lt;="&amp;$C68,'Master Log'!P:P))-SUM($I$2:I12),0)</f>
        <v>0</v>
      </c>
      <c r="J13" s="58" t="e">
        <f t="shared" ca="1" si="3"/>
        <v>#N/A</v>
      </c>
      <c r="K13" s="7" t="e">
        <f t="shared" ca="1" si="4"/>
        <v>#N/A</v>
      </c>
      <c r="L13" s="7" t="e">
        <f ca="1">IF(B13&gt;0,SUM($F$2:F13)/(SUM($B$2:B13)-SUM($C$2:C13))/(SUM($I$2:I13)/(SUM($B$2:B13)-SUM($C$2:C13))),NA())</f>
        <v>#N/A</v>
      </c>
      <c r="M13" s="7" t="e">
        <f t="shared" ca="1" si="5"/>
        <v>#N/A</v>
      </c>
      <c r="N13" s="7" t="e">
        <f ca="1">IF(B13&gt;0,SUM($G$2:G13)/SUM($F$2:F13),NA())</f>
        <v>#N/A</v>
      </c>
      <c r="O13" s="7" t="e">
        <f t="shared" ca="1" si="6"/>
        <v>#N/A</v>
      </c>
      <c r="P13" s="7" t="e">
        <f t="shared" ca="1" si="7"/>
        <v>#N/A</v>
      </c>
      <c r="Q13" s="5"/>
      <c r="Z13" s="1"/>
      <c r="AA13" s="1"/>
      <c r="AB13" s="1"/>
      <c r="AC13" s="1"/>
      <c r="AD13" s="1"/>
      <c r="AE13" s="1"/>
      <c r="AF13" s="1"/>
      <c r="AG13" s="1"/>
      <c r="AH13" s="1"/>
      <c r="AI13" s="1"/>
      <c r="AJ13" s="1"/>
    </row>
    <row r="14" spans="1:36">
      <c r="A14" s="74">
        <f t="shared" ca="1" si="0"/>
        <v>44197</v>
      </c>
      <c r="B14" s="58">
        <f ca="1">IF(SUMIF('Master Log'!A:A,"&lt;="&amp;$C69,'Master Log'!K:K)&lt;&gt;0,(SUMIF('Master Log'!A:A,"&lt;="&amp;$C69,'Master Log'!K:K))-SUM($B$2:B13),0)</f>
        <v>0</v>
      </c>
      <c r="C14" s="58">
        <f ca="1">IF(SUMIF('Master Log'!A:A,"&lt;="&amp;$C69,'Master Log'!L:L)&lt;&gt;0,(SUMIF('Master Log'!A:A,"&lt;="&amp;$C69,'Master Log'!L:L))-SUM($C$2:C13),0)</f>
        <v>0</v>
      </c>
      <c r="D14" s="7" t="e">
        <f t="shared" ca="1" si="1"/>
        <v>#N/A</v>
      </c>
      <c r="E14" s="7" t="e">
        <f ca="1">IF(B14&gt;0,(SUM($B$2:B14)-SUM($C$2:C14))/SUM($B$2:B14),NA())</f>
        <v>#N/A</v>
      </c>
      <c r="F14" s="6">
        <f ca="1">IF(SUMIF('Master Log'!A:A,"&lt;="&amp;$C69,'Master Log'!Q:Q)&lt;&gt;0,(SUMIF('Master Log'!A:A,"&lt;="&amp;$C69,'Master Log'!Q:Q))-SUM($F$2:F13),0)</f>
        <v>0</v>
      </c>
      <c r="G14" s="6">
        <f ca="1">IF(SUMIF('Master Log'!A:A,"&lt;="&amp;$C69,'Master Log'!O:O)&lt;&gt;0,(SUMIF('Master Log'!A:A,"&lt;="&amp;$C69,'Master Log'!O:O))-SUM($G$2:G13),0)</f>
        <v>0</v>
      </c>
      <c r="H14" s="58" t="e">
        <f t="shared" ca="1" si="2"/>
        <v>#N/A</v>
      </c>
      <c r="I14" s="58">
        <f ca="1">IF(SUMIF('Master Log'!A:A,"&lt;="&amp;$C69,'Master Log'!P:P)&lt;&gt;0,(SUMIF('Master Log'!A:A,"&lt;="&amp;$C69,'Master Log'!P:P))-SUM($I$2:I13),0)</f>
        <v>0</v>
      </c>
      <c r="J14" s="58" t="e">
        <f t="shared" ca="1" si="3"/>
        <v>#N/A</v>
      </c>
      <c r="K14" s="7" t="e">
        <f t="shared" ca="1" si="4"/>
        <v>#N/A</v>
      </c>
      <c r="L14" s="7" t="e">
        <f ca="1">IF(B14&gt;0,SUM($F$2:F14)/(SUM($B$2:B14)-SUM($C$2:C14))/(SUM($I$2:I14)/(SUM($B$2:B14)-SUM($C$2:C14))),NA())</f>
        <v>#N/A</v>
      </c>
      <c r="M14" s="7" t="e">
        <f t="shared" ca="1" si="5"/>
        <v>#N/A</v>
      </c>
      <c r="N14" s="7" t="e">
        <f ca="1">IF(B14&gt;0,SUM($G$2:G14)/SUM($F$2:F14),NA())</f>
        <v>#N/A</v>
      </c>
      <c r="O14" s="7" t="e">
        <f t="shared" ca="1" si="6"/>
        <v>#N/A</v>
      </c>
      <c r="P14" s="7" t="e">
        <f t="shared" ca="1" si="7"/>
        <v>#N/A</v>
      </c>
      <c r="Q14" s="5"/>
      <c r="Z14" s="1"/>
      <c r="AA14" s="1"/>
      <c r="AB14" s="1"/>
      <c r="AC14" s="1"/>
      <c r="AD14" s="1"/>
      <c r="AE14" s="1"/>
      <c r="AF14" s="1"/>
      <c r="AG14" s="1"/>
      <c r="AH14" s="1"/>
      <c r="AI14" s="1"/>
      <c r="AJ14" s="1"/>
    </row>
    <row r="15" spans="1:36">
      <c r="A15" s="74">
        <f t="shared" ca="1" si="0"/>
        <v>44204</v>
      </c>
      <c r="B15" s="58">
        <f ca="1">IF(SUMIF('Master Log'!A:A,"&lt;="&amp;$C70,'Master Log'!K:K)&lt;&gt;0,(SUMIF('Master Log'!A:A,"&lt;="&amp;$C70,'Master Log'!K:K))-SUM($B$2:B14),0)</f>
        <v>0</v>
      </c>
      <c r="C15" s="58">
        <f ca="1">IF(SUMIF('Master Log'!A:A,"&lt;="&amp;$C70,'Master Log'!L:L)&lt;&gt;0,(SUMIF('Master Log'!A:A,"&lt;="&amp;$C70,'Master Log'!L:L))-SUM($C$2:C14),0)</f>
        <v>0</v>
      </c>
      <c r="D15" s="7" t="e">
        <f t="shared" ca="1" si="1"/>
        <v>#N/A</v>
      </c>
      <c r="E15" s="7" t="e">
        <f ca="1">IF(B15&gt;0,(SUM($B$2:B15)-SUM($C$2:C15))/SUM($B$2:B15),NA())</f>
        <v>#N/A</v>
      </c>
      <c r="F15" s="6">
        <f ca="1">IF(SUMIF('Master Log'!A:A,"&lt;="&amp;$C70,'Master Log'!Q:Q)&lt;&gt;0,(SUMIF('Master Log'!A:A,"&lt;="&amp;$C70,'Master Log'!Q:Q))-SUM($F$2:F14),0)</f>
        <v>0</v>
      </c>
      <c r="G15" s="6">
        <f ca="1">IF(SUMIF('Master Log'!A:A,"&lt;="&amp;$C70,'Master Log'!O:O)&lt;&gt;0,(SUMIF('Master Log'!A:A,"&lt;="&amp;$C70,'Master Log'!O:O))-SUM($G$2:G14),0)</f>
        <v>0</v>
      </c>
      <c r="H15" s="58" t="e">
        <f t="shared" ca="1" si="2"/>
        <v>#N/A</v>
      </c>
      <c r="I15" s="58">
        <f ca="1">IF(SUMIF('Master Log'!A:A,"&lt;="&amp;$C70,'Master Log'!P:P)&lt;&gt;0,(SUMIF('Master Log'!A:A,"&lt;="&amp;$C70,'Master Log'!P:P))-SUM($I$2:I14),0)</f>
        <v>0</v>
      </c>
      <c r="J15" s="58" t="e">
        <f t="shared" ca="1" si="3"/>
        <v>#N/A</v>
      </c>
      <c r="K15" s="7" t="e">
        <f t="shared" ca="1" si="4"/>
        <v>#N/A</v>
      </c>
      <c r="L15" s="7" t="e">
        <f ca="1">IF(B15&gt;0,SUM($F$2:F15)/(SUM($B$2:B15)-SUM($C$2:C15))/(SUM($I$2:I15)/(SUM($B$2:B15)-SUM($C$2:C15))),NA())</f>
        <v>#N/A</v>
      </c>
      <c r="M15" s="7" t="e">
        <f t="shared" ca="1" si="5"/>
        <v>#N/A</v>
      </c>
      <c r="N15" s="7" t="e">
        <f ca="1">IF(B15&gt;0,SUM($G$2:G15)/SUM($F$2:F15),NA())</f>
        <v>#N/A</v>
      </c>
      <c r="O15" s="7" t="e">
        <f t="shared" ca="1" si="6"/>
        <v>#N/A</v>
      </c>
      <c r="P15" s="7" t="e">
        <f t="shared" ca="1" si="7"/>
        <v>#N/A</v>
      </c>
      <c r="Q15" s="5"/>
      <c r="Z15" s="1"/>
      <c r="AA15" s="1"/>
      <c r="AB15" s="1"/>
      <c r="AC15" s="1"/>
      <c r="AD15" s="1"/>
      <c r="AE15" s="1"/>
      <c r="AF15" s="1"/>
      <c r="AG15" s="1"/>
      <c r="AH15" s="1"/>
      <c r="AI15" s="1"/>
      <c r="AJ15" s="1"/>
    </row>
    <row r="16" spans="1:36">
      <c r="A16" s="74">
        <f t="shared" ca="1" si="0"/>
        <v>44211</v>
      </c>
      <c r="B16" s="58">
        <f ca="1">IF(SUMIF('Master Log'!A:A,"&lt;="&amp;$C71,'Master Log'!K:K)&lt;&gt;0,(SUMIF('Master Log'!A:A,"&lt;="&amp;$C71,'Master Log'!K:K))-SUM($B$2:B15),0)</f>
        <v>0</v>
      </c>
      <c r="C16" s="58">
        <f ca="1">IF(SUMIF('Master Log'!A:A,"&lt;="&amp;$C71,'Master Log'!L:L)&lt;&gt;0,(SUMIF('Master Log'!A:A,"&lt;="&amp;$C71,'Master Log'!L:L))-SUM($C$2:C15),0)</f>
        <v>0</v>
      </c>
      <c r="D16" s="7" t="e">
        <f t="shared" ca="1" si="1"/>
        <v>#N/A</v>
      </c>
      <c r="E16" s="7" t="e">
        <f ca="1">IF(B16&gt;0,(SUM($B$2:B16)-SUM($C$2:C16))/SUM($B$2:B16),NA())</f>
        <v>#N/A</v>
      </c>
      <c r="F16" s="6">
        <f ca="1">IF(SUMIF('Master Log'!A:A,"&lt;="&amp;$C71,'Master Log'!Q:Q)&lt;&gt;0,(SUMIF('Master Log'!A:A,"&lt;="&amp;$C71,'Master Log'!Q:Q))-SUM($F$2:F15),0)</f>
        <v>0</v>
      </c>
      <c r="G16" s="6">
        <f ca="1">IF(SUMIF('Master Log'!A:A,"&lt;="&amp;$C71,'Master Log'!O:O)&lt;&gt;0,(SUMIF('Master Log'!A:A,"&lt;="&amp;$C71,'Master Log'!O:O))-SUM($G$2:G15),0)</f>
        <v>0</v>
      </c>
      <c r="H16" s="58" t="e">
        <f t="shared" ca="1" si="2"/>
        <v>#N/A</v>
      </c>
      <c r="I16" s="58">
        <f ca="1">IF(SUMIF('Master Log'!A:A,"&lt;="&amp;$C71,'Master Log'!P:P)&lt;&gt;0,(SUMIF('Master Log'!A:A,"&lt;="&amp;$C71,'Master Log'!P:P))-SUM($I$2:I15),0)</f>
        <v>0</v>
      </c>
      <c r="J16" s="58" t="e">
        <f t="shared" ca="1" si="3"/>
        <v>#N/A</v>
      </c>
      <c r="K16" s="7" t="e">
        <f t="shared" ca="1" si="4"/>
        <v>#N/A</v>
      </c>
      <c r="L16" s="7" t="e">
        <f ca="1">IF(B16&gt;0,SUM($F$2:F16)/(SUM($B$2:B16)-SUM($C$2:C16))/(SUM($I$2:I16)/(SUM($B$2:B16)-SUM($C$2:C16))),NA())</f>
        <v>#N/A</v>
      </c>
      <c r="M16" s="7" t="e">
        <f t="shared" ca="1" si="5"/>
        <v>#N/A</v>
      </c>
      <c r="N16" s="7" t="e">
        <f ca="1">IF(B16&gt;0,SUM($G$2:G16)/SUM($F$2:F16),NA())</f>
        <v>#N/A</v>
      </c>
      <c r="O16" s="7" t="e">
        <f t="shared" ca="1" si="6"/>
        <v>#N/A</v>
      </c>
      <c r="P16" s="7" t="e">
        <f t="shared" ca="1" si="7"/>
        <v>#N/A</v>
      </c>
      <c r="Q16" s="5"/>
      <c r="Z16" s="1"/>
      <c r="AA16" s="1"/>
      <c r="AB16" s="1"/>
      <c r="AC16" s="1"/>
      <c r="AD16" s="1"/>
      <c r="AE16" s="1"/>
      <c r="AF16" s="1"/>
      <c r="AG16" s="1"/>
      <c r="AH16" s="1"/>
      <c r="AI16" s="1"/>
      <c r="AJ16" s="1"/>
    </row>
    <row r="17" spans="1:36">
      <c r="A17" s="74">
        <f t="shared" ca="1" si="0"/>
        <v>44218</v>
      </c>
      <c r="B17" s="58">
        <f ca="1">IF(SUMIF('Master Log'!A:A,"&lt;="&amp;$C72,'Master Log'!K:K)&lt;&gt;0,(SUMIF('Master Log'!A:A,"&lt;="&amp;$C72,'Master Log'!K:K))-SUM($B$2:B16),0)</f>
        <v>0</v>
      </c>
      <c r="C17" s="58">
        <f ca="1">IF(SUMIF('Master Log'!A:A,"&lt;="&amp;$C72,'Master Log'!L:L)&lt;&gt;0,(SUMIF('Master Log'!A:A,"&lt;="&amp;$C72,'Master Log'!L:L))-SUM($C$2:C16),0)</f>
        <v>0</v>
      </c>
      <c r="D17" s="7" t="e">
        <f t="shared" ca="1" si="1"/>
        <v>#N/A</v>
      </c>
      <c r="E17" s="7" t="e">
        <f ca="1">IF(B17&gt;0,(SUM($B$2:B17)-SUM($C$2:C17))/SUM($B$2:B17),NA())</f>
        <v>#N/A</v>
      </c>
      <c r="F17" s="6">
        <f ca="1">IF(SUMIF('Master Log'!A:A,"&lt;="&amp;$C72,'Master Log'!Q:Q)&lt;&gt;0,(SUMIF('Master Log'!A:A,"&lt;="&amp;$C72,'Master Log'!Q:Q))-SUM($F$2:F16),0)</f>
        <v>0</v>
      </c>
      <c r="G17" s="6">
        <f ca="1">IF(SUMIF('Master Log'!A:A,"&lt;="&amp;$C72,'Master Log'!O:O)&lt;&gt;0,(SUMIF('Master Log'!A:A,"&lt;="&amp;$C72,'Master Log'!O:O))-SUM($G$2:G16),0)</f>
        <v>0</v>
      </c>
      <c r="H17" s="58" t="e">
        <f t="shared" ca="1" si="2"/>
        <v>#N/A</v>
      </c>
      <c r="I17" s="58">
        <f ca="1">IF(SUMIF('Master Log'!A:A,"&lt;="&amp;$C72,'Master Log'!P:P)&lt;&gt;0,(SUMIF('Master Log'!A:A,"&lt;="&amp;$C72,'Master Log'!P:P))-SUM($I$2:I16),0)</f>
        <v>0</v>
      </c>
      <c r="J17" s="58" t="e">
        <f t="shared" ca="1" si="3"/>
        <v>#N/A</v>
      </c>
      <c r="K17" s="7" t="e">
        <f t="shared" ca="1" si="4"/>
        <v>#N/A</v>
      </c>
      <c r="L17" s="7" t="e">
        <f ca="1">IF(B17&gt;0,SUM($F$2:F17)/(SUM($B$2:B17)-SUM($C$2:C17))/(SUM($I$2:I17)/(SUM($B$2:B17)-SUM($C$2:C17))),NA())</f>
        <v>#N/A</v>
      </c>
      <c r="M17" s="7" t="e">
        <f t="shared" ca="1" si="5"/>
        <v>#N/A</v>
      </c>
      <c r="N17" s="7" t="e">
        <f ca="1">IF(B17&gt;0,SUM($G$2:G17)/SUM($F$2:F17),NA())</f>
        <v>#N/A</v>
      </c>
      <c r="O17" s="7" t="e">
        <f t="shared" ca="1" si="6"/>
        <v>#N/A</v>
      </c>
      <c r="P17" s="7" t="e">
        <f t="shared" ca="1" si="7"/>
        <v>#N/A</v>
      </c>
      <c r="Q17" s="5"/>
      <c r="Z17" s="1"/>
      <c r="AA17" s="1"/>
      <c r="AB17" s="1"/>
      <c r="AC17" s="1"/>
      <c r="AD17" s="1"/>
      <c r="AE17" s="1"/>
      <c r="AF17" s="1"/>
      <c r="AG17" s="1"/>
      <c r="AH17" s="1"/>
      <c r="AI17" s="1"/>
      <c r="AJ17" s="1"/>
    </row>
    <row r="18" spans="1:36">
      <c r="A18" s="74">
        <f t="shared" ca="1" si="0"/>
        <v>44225</v>
      </c>
      <c r="B18" s="58">
        <f ca="1">IF(SUMIF('Master Log'!A:A,"&lt;="&amp;$C73,'Master Log'!K:K)&lt;&gt;0,(SUMIF('Master Log'!A:A,"&lt;="&amp;$C73,'Master Log'!K:K))-SUM($B$2:B17),0)</f>
        <v>0</v>
      </c>
      <c r="C18" s="58">
        <f ca="1">IF(SUMIF('Master Log'!A:A,"&lt;="&amp;$C73,'Master Log'!L:L)&lt;&gt;0,(SUMIF('Master Log'!A:A,"&lt;="&amp;$C73,'Master Log'!L:L))-SUM($C$2:C17),0)</f>
        <v>0</v>
      </c>
      <c r="D18" s="7" t="e">
        <f t="shared" ca="1" si="1"/>
        <v>#N/A</v>
      </c>
      <c r="E18" s="7" t="e">
        <f ca="1">IF(B18&gt;0,(SUM($B$2:B18)-SUM($C$2:C18))/SUM($B$2:B18),NA())</f>
        <v>#N/A</v>
      </c>
      <c r="F18" s="6">
        <f ca="1">IF(SUMIF('Master Log'!A:A,"&lt;="&amp;$C73,'Master Log'!Q:Q)&lt;&gt;0,(SUMIF('Master Log'!A:A,"&lt;="&amp;$C73,'Master Log'!Q:Q))-SUM($F$2:F17),0)</f>
        <v>0</v>
      </c>
      <c r="G18" s="6">
        <f ca="1">IF(SUMIF('Master Log'!A:A,"&lt;="&amp;$C73,'Master Log'!O:O)&lt;&gt;0,(SUMIF('Master Log'!A:A,"&lt;="&amp;$C73,'Master Log'!O:O))-SUM($G$2:G17),0)</f>
        <v>0</v>
      </c>
      <c r="H18" s="58" t="e">
        <f t="shared" ca="1" si="2"/>
        <v>#N/A</v>
      </c>
      <c r="I18" s="58">
        <f ca="1">IF(SUMIF('Master Log'!A:A,"&lt;="&amp;$C73,'Master Log'!P:P)&lt;&gt;0,(SUMIF('Master Log'!A:A,"&lt;="&amp;$C73,'Master Log'!P:P))-SUM($I$2:I17),0)</f>
        <v>0</v>
      </c>
      <c r="J18" s="58" t="e">
        <f t="shared" ca="1" si="3"/>
        <v>#N/A</v>
      </c>
      <c r="K18" s="7" t="e">
        <f t="shared" ca="1" si="4"/>
        <v>#N/A</v>
      </c>
      <c r="L18" s="7" t="e">
        <f ca="1">IF(B18&gt;0,SUM($F$2:F18)/(SUM($B$2:B18)-SUM($C$2:C18))/(SUM($I$2:I18)/(SUM($B$2:B18)-SUM($C$2:C18))),NA())</f>
        <v>#N/A</v>
      </c>
      <c r="M18" s="7" t="e">
        <f t="shared" ca="1" si="5"/>
        <v>#N/A</v>
      </c>
      <c r="N18" s="7" t="e">
        <f ca="1">IF(B18&gt;0,SUM($G$2:G18)/SUM($F$2:F18),NA())</f>
        <v>#N/A</v>
      </c>
      <c r="O18" s="7" t="e">
        <f t="shared" ca="1" si="6"/>
        <v>#N/A</v>
      </c>
      <c r="P18" s="7" t="e">
        <f t="shared" ca="1" si="7"/>
        <v>#N/A</v>
      </c>
      <c r="Q18" s="5"/>
      <c r="Z18" s="1"/>
      <c r="AA18" s="1"/>
      <c r="AB18" s="1"/>
      <c r="AC18" s="1"/>
      <c r="AD18" s="1"/>
      <c r="AE18" s="1"/>
      <c r="AF18" s="1"/>
      <c r="AG18" s="1"/>
      <c r="AH18" s="1"/>
      <c r="AI18" s="1"/>
      <c r="AJ18" s="1"/>
    </row>
    <row r="19" spans="1:36">
      <c r="A19" s="74">
        <f t="shared" ca="1" si="0"/>
        <v>44232</v>
      </c>
      <c r="B19" s="58">
        <f ca="1">IF(SUMIF('Master Log'!A:A,"&lt;="&amp;$C74,'Master Log'!K:K)&lt;&gt;0,(SUMIF('Master Log'!A:A,"&lt;="&amp;$C74,'Master Log'!K:K))-SUM($B$2:B18),0)</f>
        <v>0</v>
      </c>
      <c r="C19" s="58">
        <f ca="1">IF(SUMIF('Master Log'!A:A,"&lt;="&amp;$C74,'Master Log'!L:L)&lt;&gt;0,(SUMIF('Master Log'!A:A,"&lt;="&amp;$C74,'Master Log'!L:L))-SUM($C$2:C18),0)</f>
        <v>0</v>
      </c>
      <c r="D19" s="7" t="e">
        <f t="shared" ca="1" si="1"/>
        <v>#N/A</v>
      </c>
      <c r="E19" s="7" t="e">
        <f ca="1">IF(B19&gt;0,(SUM($B$2:B19)-SUM($C$2:C19))/SUM($B$2:B19),NA())</f>
        <v>#N/A</v>
      </c>
      <c r="F19" s="6">
        <f ca="1">IF(SUMIF('Master Log'!A:A,"&lt;="&amp;$C74,'Master Log'!Q:Q)&lt;&gt;0,(SUMIF('Master Log'!A:A,"&lt;="&amp;$C74,'Master Log'!Q:Q))-SUM($F$2:F18),0)</f>
        <v>0</v>
      </c>
      <c r="G19" s="6">
        <f ca="1">IF(SUMIF('Master Log'!A:A,"&lt;="&amp;$C74,'Master Log'!O:O)&lt;&gt;0,(SUMIF('Master Log'!A:A,"&lt;="&amp;$C74,'Master Log'!O:O))-SUM($G$2:G18),0)</f>
        <v>0</v>
      </c>
      <c r="H19" s="58" t="e">
        <f t="shared" ca="1" si="2"/>
        <v>#N/A</v>
      </c>
      <c r="I19" s="58">
        <f ca="1">IF(SUMIF('Master Log'!A:A,"&lt;="&amp;$C74,'Master Log'!P:P)&lt;&gt;0,(SUMIF('Master Log'!A:A,"&lt;="&amp;$C74,'Master Log'!P:P))-SUM($I$2:I18),0)</f>
        <v>0</v>
      </c>
      <c r="J19" s="58" t="e">
        <f t="shared" ca="1" si="3"/>
        <v>#N/A</v>
      </c>
      <c r="K19" s="7" t="e">
        <f t="shared" ca="1" si="4"/>
        <v>#N/A</v>
      </c>
      <c r="L19" s="7" t="e">
        <f ca="1">IF(B19&gt;0,SUM($F$2:F19)/(SUM($B$2:B19)-SUM($C$2:C19))/(SUM($I$2:I19)/(SUM($B$2:B19)-SUM($C$2:C19))),NA())</f>
        <v>#N/A</v>
      </c>
      <c r="M19" s="7" t="e">
        <f t="shared" ca="1" si="5"/>
        <v>#N/A</v>
      </c>
      <c r="N19" s="7" t="e">
        <f ca="1">IF(B19&gt;0,SUM($G$2:G19)/SUM($F$2:F19),NA())</f>
        <v>#N/A</v>
      </c>
      <c r="O19" s="7" t="e">
        <f t="shared" ca="1" si="6"/>
        <v>#N/A</v>
      </c>
      <c r="P19" s="7" t="e">
        <f t="shared" ca="1" si="7"/>
        <v>#N/A</v>
      </c>
      <c r="Q19" s="5"/>
      <c r="Z19" s="1"/>
      <c r="AA19" s="1"/>
      <c r="AB19" s="1"/>
      <c r="AC19" s="1"/>
      <c r="AD19" s="1"/>
      <c r="AE19" s="1"/>
      <c r="AF19" s="1"/>
      <c r="AG19" s="1"/>
      <c r="AH19" s="1"/>
      <c r="AI19" s="1"/>
      <c r="AJ19" s="1"/>
    </row>
    <row r="20" spans="1:36">
      <c r="A20" s="74">
        <f t="shared" ca="1" si="0"/>
        <v>44239</v>
      </c>
      <c r="B20" s="58">
        <f ca="1">IF(SUMIF('Master Log'!A:A,"&lt;="&amp;$C75,'Master Log'!K:K)&lt;&gt;0,(SUMIF('Master Log'!A:A,"&lt;="&amp;$C75,'Master Log'!K:K))-SUM($B$2:B19),0)</f>
        <v>0</v>
      </c>
      <c r="C20" s="58">
        <f ca="1">IF(SUMIF('Master Log'!A:A,"&lt;="&amp;$C75,'Master Log'!L:L)&lt;&gt;0,(SUMIF('Master Log'!A:A,"&lt;="&amp;$C75,'Master Log'!L:L))-SUM($C$2:C19),0)</f>
        <v>0</v>
      </c>
      <c r="D20" s="7" t="e">
        <f t="shared" ca="1" si="1"/>
        <v>#N/A</v>
      </c>
      <c r="E20" s="7" t="e">
        <f ca="1">IF(B20&gt;0,(SUM($B$2:B20)-SUM($C$2:C20))/SUM($B$2:B20),NA())</f>
        <v>#N/A</v>
      </c>
      <c r="F20" s="6">
        <f ca="1">IF(SUMIF('Master Log'!A:A,"&lt;="&amp;$C75,'Master Log'!Q:Q)&lt;&gt;0,(SUMIF('Master Log'!A:A,"&lt;="&amp;$C75,'Master Log'!Q:Q))-SUM($F$2:F19),0)</f>
        <v>0</v>
      </c>
      <c r="G20" s="6">
        <f ca="1">IF(SUMIF('Master Log'!A:A,"&lt;="&amp;$C75,'Master Log'!O:O)&lt;&gt;0,(SUMIF('Master Log'!A:A,"&lt;="&amp;$C75,'Master Log'!O:O))-SUM($G$2:G19),0)</f>
        <v>0</v>
      </c>
      <c r="H20" s="58" t="e">
        <f t="shared" ca="1" si="2"/>
        <v>#N/A</v>
      </c>
      <c r="I20" s="58">
        <f ca="1">IF(SUMIF('Master Log'!A:A,"&lt;="&amp;$C75,'Master Log'!P:P)&lt;&gt;0,(SUMIF('Master Log'!A:A,"&lt;="&amp;$C75,'Master Log'!P:P))-SUM($I$2:I19),0)</f>
        <v>0</v>
      </c>
      <c r="J20" s="58" t="e">
        <f t="shared" ca="1" si="3"/>
        <v>#N/A</v>
      </c>
      <c r="K20" s="7" t="e">
        <f t="shared" ca="1" si="4"/>
        <v>#N/A</v>
      </c>
      <c r="L20" s="7" t="e">
        <f ca="1">IF(B20&gt;0,SUM($F$2:F20)/(SUM($B$2:B20)-SUM($C$2:C20))/(SUM($I$2:I20)/(SUM($B$2:B20)-SUM($C$2:C20))),NA())</f>
        <v>#N/A</v>
      </c>
      <c r="M20" s="7" t="e">
        <f t="shared" ca="1" si="5"/>
        <v>#N/A</v>
      </c>
      <c r="N20" s="7" t="e">
        <f ca="1">IF(B20&gt;0,SUM($G$2:G20)/SUM($F$2:F20),NA())</f>
        <v>#N/A</v>
      </c>
      <c r="O20" s="7" t="e">
        <f t="shared" ca="1" si="6"/>
        <v>#N/A</v>
      </c>
      <c r="P20" s="7" t="e">
        <f t="shared" ca="1" si="7"/>
        <v>#N/A</v>
      </c>
      <c r="Q20" s="5"/>
      <c r="Z20" s="1"/>
      <c r="AA20" s="1"/>
      <c r="AB20" s="1"/>
      <c r="AC20" s="1"/>
      <c r="AD20" s="1"/>
      <c r="AE20" s="1"/>
      <c r="AF20" s="1"/>
      <c r="AG20" s="1"/>
      <c r="AH20" s="1"/>
      <c r="AI20" s="1"/>
      <c r="AJ20" s="1"/>
    </row>
    <row r="21" spans="1:36">
      <c r="A21" s="74">
        <f t="shared" ca="1" si="0"/>
        <v>44246</v>
      </c>
      <c r="B21" s="58">
        <f ca="1">IF(SUMIF('Master Log'!A:A,"&lt;="&amp;$C76,'Master Log'!K:K)&lt;&gt;0,(SUMIF('Master Log'!A:A,"&lt;="&amp;$C76,'Master Log'!K:K))-SUM($B$2:B20),0)</f>
        <v>0</v>
      </c>
      <c r="C21" s="58">
        <f ca="1">IF(SUMIF('Master Log'!A:A,"&lt;="&amp;$C76,'Master Log'!L:L)&lt;&gt;0,(SUMIF('Master Log'!A:A,"&lt;="&amp;$C76,'Master Log'!L:L))-SUM($C$2:C20),0)</f>
        <v>0</v>
      </c>
      <c r="D21" s="7" t="e">
        <f t="shared" ca="1" si="1"/>
        <v>#N/A</v>
      </c>
      <c r="E21" s="7" t="e">
        <f ca="1">IF(B21&gt;0,(SUM($B$2:B21)-SUM($C$2:C21))/SUM($B$2:B21),NA())</f>
        <v>#N/A</v>
      </c>
      <c r="F21" s="6">
        <f ca="1">IF(SUMIF('Master Log'!A:A,"&lt;="&amp;$C76,'Master Log'!Q:Q)&lt;&gt;0,(SUMIF('Master Log'!A:A,"&lt;="&amp;$C76,'Master Log'!Q:Q))-SUM($F$2:F20),0)</f>
        <v>0</v>
      </c>
      <c r="G21" s="6">
        <f ca="1">IF(SUMIF('Master Log'!A:A,"&lt;="&amp;$C76,'Master Log'!O:O)&lt;&gt;0,(SUMIF('Master Log'!A:A,"&lt;="&amp;$C76,'Master Log'!O:O))-SUM($G$2:G20),0)</f>
        <v>0</v>
      </c>
      <c r="H21" s="58" t="e">
        <f t="shared" ca="1" si="2"/>
        <v>#N/A</v>
      </c>
      <c r="I21" s="58">
        <f ca="1">IF(SUMIF('Master Log'!A:A,"&lt;="&amp;$C76,'Master Log'!P:P)&lt;&gt;0,(SUMIF('Master Log'!A:A,"&lt;="&amp;$C76,'Master Log'!P:P))-SUM($I$2:I20),0)</f>
        <v>0</v>
      </c>
      <c r="J21" s="58" t="e">
        <f t="shared" ca="1" si="3"/>
        <v>#N/A</v>
      </c>
      <c r="K21" s="7" t="e">
        <f t="shared" ca="1" si="4"/>
        <v>#N/A</v>
      </c>
      <c r="L21" s="7" t="e">
        <f ca="1">IF(B21&gt;0,SUM($F$2:F21)/(SUM($B$2:B21)-SUM($C$2:C21))/(SUM($I$2:I21)/(SUM($B$2:B21)-SUM($C$2:C21))),NA())</f>
        <v>#N/A</v>
      </c>
      <c r="M21" s="7" t="e">
        <f t="shared" ca="1" si="5"/>
        <v>#N/A</v>
      </c>
      <c r="N21" s="7" t="e">
        <f ca="1">IF(B21&gt;0,SUM($G$2:G21)/SUM($F$2:F21),NA())</f>
        <v>#N/A</v>
      </c>
      <c r="O21" s="7" t="e">
        <f t="shared" ca="1" si="6"/>
        <v>#N/A</v>
      </c>
      <c r="P21" s="7" t="e">
        <f t="shared" ca="1" si="7"/>
        <v>#N/A</v>
      </c>
      <c r="Q21" s="5"/>
      <c r="Z21" s="1"/>
      <c r="AA21" s="1"/>
      <c r="AB21" s="1"/>
      <c r="AC21" s="1"/>
      <c r="AD21" s="1"/>
      <c r="AE21" s="1"/>
      <c r="AF21" s="1"/>
      <c r="AG21" s="1"/>
      <c r="AH21" s="1"/>
      <c r="AI21" s="1"/>
      <c r="AJ21" s="1"/>
    </row>
    <row r="22" spans="1:36">
      <c r="A22" s="74">
        <f t="shared" ca="1" si="0"/>
        <v>44253</v>
      </c>
      <c r="B22" s="58">
        <f ca="1">IF(SUMIF('Master Log'!A:A,"&lt;="&amp;$C77,'Master Log'!K:K)&lt;&gt;0,(SUMIF('Master Log'!A:A,"&lt;="&amp;$C77,'Master Log'!K:K))-SUM($B$2:B21),0)</f>
        <v>0</v>
      </c>
      <c r="C22" s="58">
        <f ca="1">IF(SUMIF('Master Log'!A:A,"&lt;="&amp;$C77,'Master Log'!L:L)&lt;&gt;0,(SUMIF('Master Log'!A:A,"&lt;="&amp;$C77,'Master Log'!L:L))-SUM($C$2:C21),0)</f>
        <v>0</v>
      </c>
      <c r="D22" s="7" t="e">
        <f t="shared" ca="1" si="1"/>
        <v>#N/A</v>
      </c>
      <c r="E22" s="7" t="e">
        <f ca="1">IF(B22&gt;0,(SUM($B$2:B22)-SUM($C$2:C22))/SUM($B$2:B22),NA())</f>
        <v>#N/A</v>
      </c>
      <c r="F22" s="6">
        <f ca="1">IF(SUMIF('Master Log'!A:A,"&lt;="&amp;$C77,'Master Log'!Q:Q)&lt;&gt;0,(SUMIF('Master Log'!A:A,"&lt;="&amp;$C77,'Master Log'!Q:Q))-SUM($F$2:F21),0)</f>
        <v>0</v>
      </c>
      <c r="G22" s="6">
        <f ca="1">IF(SUMIF('Master Log'!A:A,"&lt;="&amp;$C77,'Master Log'!O:O)&lt;&gt;0,(SUMIF('Master Log'!A:A,"&lt;="&amp;$C77,'Master Log'!O:O))-SUM($G$2:G21),0)</f>
        <v>0</v>
      </c>
      <c r="H22" s="58" t="e">
        <f t="shared" ca="1" si="2"/>
        <v>#N/A</v>
      </c>
      <c r="I22" s="58">
        <f ca="1">IF(SUMIF('Master Log'!A:A,"&lt;="&amp;$C77,'Master Log'!P:P)&lt;&gt;0,(SUMIF('Master Log'!A:A,"&lt;="&amp;$C77,'Master Log'!P:P))-SUM($I$2:I21),0)</f>
        <v>0</v>
      </c>
      <c r="J22" s="58" t="e">
        <f t="shared" ca="1" si="3"/>
        <v>#N/A</v>
      </c>
      <c r="K22" s="7" t="e">
        <f t="shared" ca="1" si="4"/>
        <v>#N/A</v>
      </c>
      <c r="L22" s="7" t="e">
        <f ca="1">IF(B22&gt;0,SUM($F$2:F22)/(SUM($B$2:B22)-SUM($C$2:C22))/(SUM($I$2:I22)/(SUM($B$2:B22)-SUM($C$2:C22))),NA())</f>
        <v>#N/A</v>
      </c>
      <c r="M22" s="7" t="e">
        <f t="shared" ca="1" si="5"/>
        <v>#N/A</v>
      </c>
      <c r="N22" s="7" t="e">
        <f ca="1">IF(B22&gt;0,SUM($G$2:G22)/SUM($F$2:F22),NA())</f>
        <v>#N/A</v>
      </c>
      <c r="O22" s="7" t="e">
        <f t="shared" ca="1" si="6"/>
        <v>#N/A</v>
      </c>
      <c r="P22" s="7" t="e">
        <f t="shared" ca="1" si="7"/>
        <v>#N/A</v>
      </c>
      <c r="Q22" s="5"/>
      <c r="Z22" s="1"/>
      <c r="AA22" s="1"/>
      <c r="AB22" s="1"/>
      <c r="AC22" s="1"/>
      <c r="AD22" s="1"/>
      <c r="AE22" s="1"/>
      <c r="AF22" s="1"/>
      <c r="AG22" s="1"/>
      <c r="AH22" s="1"/>
      <c r="AI22" s="1"/>
      <c r="AJ22" s="1"/>
    </row>
    <row r="23" spans="1:36">
      <c r="A23" s="74">
        <f t="shared" ca="1" si="0"/>
        <v>44260</v>
      </c>
      <c r="B23" s="58">
        <f ca="1">IF(SUMIF('Master Log'!A:A,"&lt;="&amp;$C78,'Master Log'!K:K)&lt;&gt;0,(SUMIF('Master Log'!A:A,"&lt;="&amp;$C78,'Master Log'!K:K))-SUM($B$2:B22),0)</f>
        <v>0</v>
      </c>
      <c r="C23" s="58">
        <f ca="1">IF(SUMIF('Master Log'!A:A,"&lt;="&amp;$C78,'Master Log'!L:L)&lt;&gt;0,(SUMIF('Master Log'!A:A,"&lt;="&amp;$C78,'Master Log'!L:L))-SUM($C$2:C22),0)</f>
        <v>0</v>
      </c>
      <c r="D23" s="7" t="e">
        <f t="shared" ca="1" si="1"/>
        <v>#N/A</v>
      </c>
      <c r="E23" s="7" t="e">
        <f ca="1">IF(B23&gt;0,(SUM($B$2:B23)-SUM($C$2:C23))/SUM($B$2:B23),NA())</f>
        <v>#N/A</v>
      </c>
      <c r="F23" s="6">
        <f ca="1">IF(SUMIF('Master Log'!A:A,"&lt;="&amp;$C78,'Master Log'!Q:Q)&lt;&gt;0,(SUMIF('Master Log'!A:A,"&lt;="&amp;$C78,'Master Log'!Q:Q))-SUM($F$2:F22),0)</f>
        <v>0</v>
      </c>
      <c r="G23" s="6">
        <f ca="1">IF(SUMIF('Master Log'!A:A,"&lt;="&amp;$C78,'Master Log'!O:O)&lt;&gt;0,(SUMIF('Master Log'!A:A,"&lt;="&amp;$C78,'Master Log'!O:O))-SUM($G$2:G22),0)</f>
        <v>0</v>
      </c>
      <c r="H23" s="58" t="e">
        <f t="shared" ca="1" si="2"/>
        <v>#N/A</v>
      </c>
      <c r="I23" s="58">
        <f ca="1">IF(SUMIF('Master Log'!A:A,"&lt;="&amp;$C78,'Master Log'!P:P)&lt;&gt;0,(SUMIF('Master Log'!A:A,"&lt;="&amp;$C78,'Master Log'!P:P))-SUM($I$2:I22),0)</f>
        <v>0</v>
      </c>
      <c r="J23" s="58" t="e">
        <f t="shared" ca="1" si="3"/>
        <v>#N/A</v>
      </c>
      <c r="K23" s="7" t="e">
        <f t="shared" ca="1" si="4"/>
        <v>#N/A</v>
      </c>
      <c r="L23" s="7" t="e">
        <f ca="1">IF(B23&gt;0,SUM($F$2:F23)/(SUM($B$2:B23)-SUM($C$2:C23))/(SUM($I$2:I23)/(SUM($B$2:B23)-SUM($C$2:C23))),NA())</f>
        <v>#N/A</v>
      </c>
      <c r="M23" s="7" t="e">
        <f t="shared" ca="1" si="5"/>
        <v>#N/A</v>
      </c>
      <c r="N23" s="7" t="e">
        <f ca="1">IF(B23&gt;0,SUM($G$2:G23)/SUM($F$2:F23),NA())</f>
        <v>#N/A</v>
      </c>
      <c r="O23" s="7" t="e">
        <f t="shared" ca="1" si="6"/>
        <v>#N/A</v>
      </c>
      <c r="P23" s="7" t="e">
        <f t="shared" ca="1" si="7"/>
        <v>#N/A</v>
      </c>
      <c r="Q23" s="5"/>
      <c r="Z23" s="1"/>
      <c r="AA23" s="1"/>
      <c r="AB23" s="1"/>
      <c r="AC23" s="1"/>
      <c r="AD23" s="1"/>
      <c r="AE23" s="1"/>
      <c r="AF23" s="1"/>
      <c r="AG23" s="1"/>
      <c r="AH23" s="1"/>
      <c r="AI23" s="1"/>
      <c r="AJ23" s="1"/>
    </row>
    <row r="24" spans="1:36">
      <c r="A24" s="74">
        <f t="shared" ca="1" si="0"/>
        <v>44267</v>
      </c>
      <c r="B24" s="58">
        <f ca="1">IF(SUMIF('Master Log'!A:A,"&lt;="&amp;$C79,'Master Log'!K:K)&lt;&gt;0,(SUMIF('Master Log'!A:A,"&lt;="&amp;$C79,'Master Log'!K:K))-SUM($B$2:B23),0)</f>
        <v>0</v>
      </c>
      <c r="C24" s="58">
        <f ca="1">IF(SUMIF('Master Log'!A:A,"&lt;="&amp;$C79,'Master Log'!L:L)&lt;&gt;0,(SUMIF('Master Log'!A:A,"&lt;="&amp;$C79,'Master Log'!L:L))-SUM($C$2:C23),0)</f>
        <v>0</v>
      </c>
      <c r="D24" s="7" t="e">
        <f t="shared" ca="1" si="1"/>
        <v>#N/A</v>
      </c>
      <c r="E24" s="7" t="e">
        <f ca="1">IF(B24&gt;0,(SUM($B$2:B24)-SUM($C$2:C24))/SUM($B$2:B24),NA())</f>
        <v>#N/A</v>
      </c>
      <c r="F24" s="6">
        <f ca="1">IF(SUMIF('Master Log'!A:A,"&lt;="&amp;$C79,'Master Log'!Q:Q)&lt;&gt;0,(SUMIF('Master Log'!A:A,"&lt;="&amp;$C79,'Master Log'!Q:Q))-SUM($F$2:F23),0)</f>
        <v>0</v>
      </c>
      <c r="G24" s="6">
        <f ca="1">IF(SUMIF('Master Log'!A:A,"&lt;="&amp;$C79,'Master Log'!O:O)&lt;&gt;0,(SUMIF('Master Log'!A:A,"&lt;="&amp;$C79,'Master Log'!O:O))-SUM($G$2:G23),0)</f>
        <v>0</v>
      </c>
      <c r="H24" s="58" t="e">
        <f t="shared" ca="1" si="2"/>
        <v>#N/A</v>
      </c>
      <c r="I24" s="58">
        <f ca="1">IF(SUMIF('Master Log'!A:A,"&lt;="&amp;$C79,'Master Log'!P:P)&lt;&gt;0,(SUMIF('Master Log'!A:A,"&lt;="&amp;$C79,'Master Log'!P:P))-SUM($I$2:I23),0)</f>
        <v>0</v>
      </c>
      <c r="J24" s="58" t="e">
        <f t="shared" ca="1" si="3"/>
        <v>#N/A</v>
      </c>
      <c r="K24" s="7" t="e">
        <f t="shared" ca="1" si="4"/>
        <v>#N/A</v>
      </c>
      <c r="L24" s="7" t="e">
        <f ca="1">IF(B24&gt;0,SUM($F$2:F24)/(SUM($B$2:B24)-SUM($C$2:C24))/(SUM($I$2:I24)/(SUM($B$2:B24)-SUM($C$2:C24))),NA())</f>
        <v>#N/A</v>
      </c>
      <c r="M24" s="7" t="e">
        <f t="shared" ca="1" si="5"/>
        <v>#N/A</v>
      </c>
      <c r="N24" s="7" t="e">
        <f ca="1">IF(B24&gt;0,SUM($G$2:G24)/SUM($F$2:F24),NA())</f>
        <v>#N/A</v>
      </c>
      <c r="O24" s="7" t="e">
        <f t="shared" ca="1" si="6"/>
        <v>#N/A</v>
      </c>
      <c r="P24" s="7" t="e">
        <f t="shared" ca="1" si="7"/>
        <v>#N/A</v>
      </c>
      <c r="Q24" s="5"/>
      <c r="Z24" s="1"/>
      <c r="AA24" s="1"/>
      <c r="AB24" s="1"/>
      <c r="AC24" s="1"/>
      <c r="AD24" s="1"/>
      <c r="AE24" s="1"/>
      <c r="AF24" s="1"/>
      <c r="AG24" s="1"/>
      <c r="AH24" s="1"/>
      <c r="AI24" s="1"/>
      <c r="AJ24" s="1"/>
    </row>
    <row r="25" spans="1:36">
      <c r="A25" s="74">
        <f t="shared" ca="1" si="0"/>
        <v>44274</v>
      </c>
      <c r="B25" s="58">
        <f ca="1">IF(SUMIF('Master Log'!A:A,"&lt;="&amp;$C80,'Master Log'!K:K)&lt;&gt;0,(SUMIF('Master Log'!A:A,"&lt;="&amp;$C80,'Master Log'!K:K))-SUM($B$2:B24),0)</f>
        <v>0</v>
      </c>
      <c r="C25" s="58">
        <f ca="1">IF(SUMIF('Master Log'!A:A,"&lt;="&amp;$C80,'Master Log'!L:L)&lt;&gt;0,(SUMIF('Master Log'!A:A,"&lt;="&amp;$C80,'Master Log'!L:L))-SUM($C$2:C24),0)</f>
        <v>0</v>
      </c>
      <c r="D25" s="7" t="e">
        <f t="shared" ca="1" si="1"/>
        <v>#N/A</v>
      </c>
      <c r="E25" s="7" t="e">
        <f ca="1">IF(B25&gt;0,(SUM($B$2:B25)-SUM($C$2:C25))/SUM($B$2:B25),NA())</f>
        <v>#N/A</v>
      </c>
      <c r="F25" s="6">
        <f ca="1">IF(SUMIF('Master Log'!A:A,"&lt;="&amp;$C80,'Master Log'!Q:Q)&lt;&gt;0,(SUMIF('Master Log'!A:A,"&lt;="&amp;$C80,'Master Log'!Q:Q))-SUM($F$2:F24),0)</f>
        <v>0</v>
      </c>
      <c r="G25" s="6">
        <f ca="1">IF(SUMIF('Master Log'!A:A,"&lt;="&amp;$C80,'Master Log'!O:O)&lt;&gt;0,(SUMIF('Master Log'!A:A,"&lt;="&amp;$C80,'Master Log'!O:O))-SUM($G$2:G24),0)</f>
        <v>0</v>
      </c>
      <c r="H25" s="58" t="e">
        <f t="shared" ca="1" si="2"/>
        <v>#N/A</v>
      </c>
      <c r="I25" s="58">
        <f ca="1">IF(SUMIF('Master Log'!A:A,"&lt;="&amp;$C80,'Master Log'!P:P)&lt;&gt;0,(SUMIF('Master Log'!A:A,"&lt;="&amp;$C80,'Master Log'!P:P))-SUM($I$2:I24),0)</f>
        <v>0</v>
      </c>
      <c r="J25" s="58" t="e">
        <f t="shared" ca="1" si="3"/>
        <v>#N/A</v>
      </c>
      <c r="K25" s="7" t="e">
        <f t="shared" ca="1" si="4"/>
        <v>#N/A</v>
      </c>
      <c r="L25" s="7" t="e">
        <f ca="1">IF(B25&gt;0,SUM($F$2:F25)/(SUM($B$2:B25)-SUM($C$2:C25))/(SUM($I$2:I25)/(SUM($B$2:B25)-SUM($C$2:C25))),NA())</f>
        <v>#N/A</v>
      </c>
      <c r="M25" s="7" t="e">
        <f t="shared" ca="1" si="5"/>
        <v>#N/A</v>
      </c>
      <c r="N25" s="7" t="e">
        <f ca="1">IF(B25&gt;0,SUM($G$2:G25)/SUM($F$2:F25),NA())</f>
        <v>#N/A</v>
      </c>
      <c r="O25" s="7" t="e">
        <f t="shared" ca="1" si="6"/>
        <v>#N/A</v>
      </c>
      <c r="P25" s="7" t="e">
        <f t="shared" ca="1" si="7"/>
        <v>#N/A</v>
      </c>
      <c r="Q25" s="5"/>
      <c r="Z25" s="1"/>
      <c r="AA25" s="1"/>
      <c r="AB25" s="1"/>
      <c r="AC25" s="1"/>
      <c r="AD25" s="1"/>
      <c r="AE25" s="1"/>
      <c r="AF25" s="1"/>
      <c r="AG25" s="1"/>
      <c r="AH25" s="1"/>
      <c r="AI25" s="1"/>
      <c r="AJ25" s="1"/>
    </row>
    <row r="26" spans="1:36">
      <c r="A26" s="74">
        <f t="shared" ca="1" si="0"/>
        <v>44281</v>
      </c>
      <c r="B26" s="58">
        <f ca="1">IF(SUMIF('Master Log'!A:A,"&lt;="&amp;$C81,'Master Log'!K:K)&lt;&gt;0,(SUMIF('Master Log'!A:A,"&lt;="&amp;$C81,'Master Log'!K:K))-SUM($B$2:B25),0)</f>
        <v>0</v>
      </c>
      <c r="C26" s="58">
        <f ca="1">IF(SUMIF('Master Log'!A:A,"&lt;="&amp;$C81,'Master Log'!L:L)&lt;&gt;0,(SUMIF('Master Log'!A:A,"&lt;="&amp;$C81,'Master Log'!L:L))-SUM($C$2:C25),0)</f>
        <v>0</v>
      </c>
      <c r="D26" s="7" t="e">
        <f t="shared" ca="1" si="1"/>
        <v>#N/A</v>
      </c>
      <c r="E26" s="7" t="e">
        <f ca="1">IF(B26&gt;0,(SUM($B$2:B26)-SUM($C$2:C26))/SUM($B$2:B26),NA())</f>
        <v>#N/A</v>
      </c>
      <c r="F26" s="6">
        <f ca="1">IF(SUMIF('Master Log'!A:A,"&lt;="&amp;$C81,'Master Log'!Q:Q)&lt;&gt;0,(SUMIF('Master Log'!A:A,"&lt;="&amp;$C81,'Master Log'!Q:Q))-SUM($F$2:F25),0)</f>
        <v>0</v>
      </c>
      <c r="G26" s="6">
        <f ca="1">IF(SUMIF('Master Log'!A:A,"&lt;="&amp;$C81,'Master Log'!O:O)&lt;&gt;0,(SUMIF('Master Log'!A:A,"&lt;="&amp;$C81,'Master Log'!O:O))-SUM($G$2:G25),0)</f>
        <v>0</v>
      </c>
      <c r="H26" s="58" t="e">
        <f t="shared" ca="1" si="2"/>
        <v>#N/A</v>
      </c>
      <c r="I26" s="58">
        <f ca="1">IF(SUMIF('Master Log'!A:A,"&lt;="&amp;$C81,'Master Log'!P:P)&lt;&gt;0,(SUMIF('Master Log'!A:A,"&lt;="&amp;$C81,'Master Log'!P:P))-SUM($I$2:I25),0)</f>
        <v>0</v>
      </c>
      <c r="J26" s="58" t="e">
        <f t="shared" ca="1" si="3"/>
        <v>#N/A</v>
      </c>
      <c r="K26" s="7" t="e">
        <f t="shared" ca="1" si="4"/>
        <v>#N/A</v>
      </c>
      <c r="L26" s="7" t="e">
        <f ca="1">IF(B26&gt;0,SUM($F$2:F26)/(SUM($B$2:B26)-SUM($C$2:C26))/(SUM($I$2:I26)/(SUM($B$2:B26)-SUM($C$2:C26))),NA())</f>
        <v>#N/A</v>
      </c>
      <c r="M26" s="7" t="e">
        <f t="shared" ca="1" si="5"/>
        <v>#N/A</v>
      </c>
      <c r="N26" s="7" t="e">
        <f ca="1">IF(B26&gt;0,SUM($G$2:G26)/SUM($F$2:F26),NA())</f>
        <v>#N/A</v>
      </c>
      <c r="O26" s="7" t="e">
        <f t="shared" ca="1" si="6"/>
        <v>#N/A</v>
      </c>
      <c r="P26" s="7" t="e">
        <f t="shared" ca="1" si="7"/>
        <v>#N/A</v>
      </c>
      <c r="Q26" s="5"/>
      <c r="Z26" s="1"/>
      <c r="AA26" s="1"/>
      <c r="AB26" s="1"/>
      <c r="AC26" s="1"/>
      <c r="AD26" s="1"/>
      <c r="AE26" s="1"/>
      <c r="AF26" s="1"/>
      <c r="AG26" s="1"/>
      <c r="AH26" s="1"/>
      <c r="AI26" s="1"/>
      <c r="AJ26" s="1"/>
    </row>
    <row r="27" spans="1:36">
      <c r="A27" s="74">
        <f t="shared" ca="1" si="0"/>
        <v>44288</v>
      </c>
      <c r="B27" s="58">
        <f ca="1">IF(SUMIF('Master Log'!A:A,"&lt;="&amp;$C82,'Master Log'!K:K)&lt;&gt;0,(SUMIF('Master Log'!A:A,"&lt;="&amp;$C82,'Master Log'!K:K))-SUM($B$2:B26),0)</f>
        <v>0</v>
      </c>
      <c r="C27" s="58">
        <f ca="1">IF(SUMIF('Master Log'!A:A,"&lt;="&amp;$C82,'Master Log'!L:L)&lt;&gt;0,(SUMIF('Master Log'!A:A,"&lt;="&amp;$C82,'Master Log'!L:L))-SUM($C$2:C26),0)</f>
        <v>0</v>
      </c>
      <c r="D27" s="7" t="e">
        <f t="shared" ca="1" si="1"/>
        <v>#N/A</v>
      </c>
      <c r="E27" s="7" t="e">
        <f ca="1">IF(B27&gt;0,(SUM($B$2:B27)-SUM($C$2:C27))/SUM($B$2:B27),NA())</f>
        <v>#N/A</v>
      </c>
      <c r="F27" s="6">
        <f ca="1">IF(SUMIF('Master Log'!A:A,"&lt;="&amp;$C82,'Master Log'!Q:Q)&lt;&gt;0,(SUMIF('Master Log'!A:A,"&lt;="&amp;$C82,'Master Log'!Q:Q))-SUM($F$2:F26),0)</f>
        <v>0</v>
      </c>
      <c r="G27" s="6">
        <f ca="1">IF(SUMIF('Master Log'!A:A,"&lt;="&amp;$C82,'Master Log'!O:O)&lt;&gt;0,(SUMIF('Master Log'!A:A,"&lt;="&amp;$C82,'Master Log'!O:O))-SUM($G$2:G26),0)</f>
        <v>0</v>
      </c>
      <c r="H27" s="58" t="e">
        <f t="shared" ca="1" si="2"/>
        <v>#N/A</v>
      </c>
      <c r="I27" s="58">
        <f ca="1">IF(SUMIF('Master Log'!A:A,"&lt;="&amp;$C82,'Master Log'!P:P)&lt;&gt;0,(SUMIF('Master Log'!A:A,"&lt;="&amp;$C82,'Master Log'!P:P))-SUM($I$2:I26),0)</f>
        <v>0</v>
      </c>
      <c r="J27" s="58" t="e">
        <f t="shared" ca="1" si="3"/>
        <v>#N/A</v>
      </c>
      <c r="K27" s="7" t="e">
        <f t="shared" ca="1" si="4"/>
        <v>#N/A</v>
      </c>
      <c r="L27" s="7" t="e">
        <f ca="1">IF(B27&gt;0,SUM($F$2:F27)/(SUM($B$2:B27)-SUM($C$2:C27))/(SUM($I$2:I27)/(SUM($B$2:B27)-SUM($C$2:C27))),NA())</f>
        <v>#N/A</v>
      </c>
      <c r="M27" s="7" t="e">
        <f t="shared" ca="1" si="5"/>
        <v>#N/A</v>
      </c>
      <c r="N27" s="7" t="e">
        <f ca="1">IF(B27&gt;0,SUM($G$2:G27)/SUM($F$2:F27),NA())</f>
        <v>#N/A</v>
      </c>
      <c r="O27" s="7" t="e">
        <f t="shared" ca="1" si="6"/>
        <v>#N/A</v>
      </c>
      <c r="P27" s="7" t="e">
        <f t="shared" ca="1" si="7"/>
        <v>#N/A</v>
      </c>
      <c r="Q27" s="5"/>
      <c r="Z27" s="1"/>
      <c r="AA27" s="1"/>
      <c r="AB27" s="1"/>
      <c r="AC27" s="1"/>
      <c r="AD27" s="1"/>
      <c r="AE27" s="1"/>
      <c r="AF27" s="1"/>
      <c r="AG27" s="1"/>
      <c r="AH27" s="1"/>
      <c r="AI27" s="1"/>
      <c r="AJ27" s="1"/>
    </row>
    <row r="28" spans="1:36">
      <c r="A28" s="74">
        <f t="shared" ca="1" si="0"/>
        <v>44295</v>
      </c>
      <c r="B28" s="58">
        <f ca="1">IF(SUMIF('Master Log'!A:A,"&lt;="&amp;$C83,'Master Log'!K:K)&lt;&gt;0,(SUMIF('Master Log'!A:A,"&lt;="&amp;$C83,'Master Log'!K:K))-SUM($B$2:B27),0)</f>
        <v>1170</v>
      </c>
      <c r="C28" s="58">
        <f ca="1">IF(SUMIF('Master Log'!A:A,"&lt;="&amp;$C83,'Master Log'!L:L)&lt;&gt;0,(SUMIF('Master Log'!A:A,"&lt;="&amp;$C83,'Master Log'!L:L))-SUM($C$2:C27),0)</f>
        <v>482</v>
      </c>
      <c r="D28" s="7">
        <f t="shared" ca="1" si="1"/>
        <v>0.58803418803418805</v>
      </c>
      <c r="E28" s="7">
        <f ca="1">IF(B28&gt;0,(SUM($B$2:B28)-SUM($C$2:C28))/SUM($B$2:B28),NA())</f>
        <v>0.58803418803418805</v>
      </c>
      <c r="F28" s="6">
        <f ca="1">IF(SUMIF('Master Log'!A:A,"&lt;="&amp;$C83,'Master Log'!Q:Q)&lt;&gt;0,(SUMIF('Master Log'!A:A,"&lt;="&amp;$C83,'Master Log'!Q:Q))-SUM($F$2:F27),0)</f>
        <v>37464</v>
      </c>
      <c r="G28" s="6">
        <f ca="1">IF(SUMIF('Master Log'!A:A,"&lt;="&amp;$C83,'Master Log'!O:O)&lt;&gt;0,(SUMIF('Master Log'!A:A,"&lt;="&amp;$C83,'Master Log'!O:O))-SUM($G$2:G27),0)</f>
        <v>1189</v>
      </c>
      <c r="H28" s="58">
        <f t="shared" ca="1" si="2"/>
        <v>54.453488372093027</v>
      </c>
      <c r="I28" s="58">
        <f ca="1">IF(SUMIF('Master Log'!A:A,"&lt;="&amp;$C83,'Master Log'!P:P)&lt;&gt;0,(SUMIF('Master Log'!A:A,"&lt;="&amp;$C83,'Master Log'!P:P))-SUM($I$2:I27),0)</f>
        <v>0</v>
      </c>
      <c r="J28" s="58">
        <f t="shared" ca="1" si="3"/>
        <v>0</v>
      </c>
      <c r="K28" s="7" t="e">
        <f t="shared" ca="1" si="4"/>
        <v>#DIV/0!</v>
      </c>
      <c r="L28" s="7" t="e">
        <f ca="1">IF(B28&gt;0,SUM($F$2:F28)/(SUM($B$2:B28)-SUM($C$2:C28))/(SUM($I$2:I28)/(SUM($B$2:B28)-SUM($C$2:C28))),NA())</f>
        <v>#DIV/0!</v>
      </c>
      <c r="M28" s="7">
        <f t="shared" ca="1" si="5"/>
        <v>3.173713431560965E-2</v>
      </c>
      <c r="N28" s="7">
        <f ca="1">IF(B28&gt;0,SUM($G$2:G28)/SUM($F$2:F28),NA())</f>
        <v>3.173713431560965E-2</v>
      </c>
      <c r="O28" s="7" t="e">
        <f t="shared" ca="1" si="6"/>
        <v>#DIV/0!</v>
      </c>
      <c r="P28" s="7" t="e">
        <f t="shared" ca="1" si="7"/>
        <v>#DIV/0!</v>
      </c>
      <c r="Q28" s="5"/>
      <c r="Z28" s="1"/>
      <c r="AA28" s="1"/>
      <c r="AB28" s="1"/>
      <c r="AC28" s="1"/>
      <c r="AD28" s="1"/>
      <c r="AE28" s="1"/>
      <c r="AF28" s="1"/>
      <c r="AG28" s="1"/>
      <c r="AH28" s="1"/>
      <c r="AI28" s="1"/>
      <c r="AJ28" s="1"/>
    </row>
    <row r="29" spans="1:36">
      <c r="A29" s="74">
        <f t="shared" ca="1" si="0"/>
        <v>44302</v>
      </c>
      <c r="B29" s="58">
        <f ca="1">IF(SUMIF('Master Log'!A:A,"&lt;="&amp;$C84,'Master Log'!K:K)&lt;&gt;0,(SUMIF('Master Log'!A:A,"&lt;="&amp;$C84,'Master Log'!K:K))-SUM($B$2:B28),0)</f>
        <v>1320</v>
      </c>
      <c r="C29" s="58">
        <f ca="1">IF(SUMIF('Master Log'!A:A,"&lt;="&amp;$C84,'Master Log'!L:L)&lt;&gt;0,(SUMIF('Master Log'!A:A,"&lt;="&amp;$C84,'Master Log'!L:L))-SUM($C$2:C28),0)</f>
        <v>502</v>
      </c>
      <c r="D29" s="7">
        <f t="shared" ca="1" si="1"/>
        <v>0.61969696969696975</v>
      </c>
      <c r="E29" s="7">
        <f ca="1">IF(B29&gt;0,(SUM($B$2:B29)-SUM($C$2:C29))/SUM($B$2:B29),NA())</f>
        <v>0.60481927710843375</v>
      </c>
      <c r="F29" s="6">
        <f ca="1">IF(SUMIF('Master Log'!A:A,"&lt;="&amp;$C84,'Master Log'!Q:Q)&lt;&gt;0,(SUMIF('Master Log'!A:A,"&lt;="&amp;$C84,'Master Log'!Q:Q))-SUM($F$2:F28),0)</f>
        <v>31436</v>
      </c>
      <c r="G29" s="6">
        <f ca="1">IF(SUMIF('Master Log'!A:A,"&lt;="&amp;$C84,'Master Log'!O:O)&lt;&gt;0,(SUMIF('Master Log'!A:A,"&lt;="&amp;$C84,'Master Log'!O:O))-SUM($G$2:G28),0)</f>
        <v>787</v>
      </c>
      <c r="H29" s="58">
        <f t="shared" ca="1" si="2"/>
        <v>38.430317848410759</v>
      </c>
      <c r="I29" s="58">
        <f ca="1">IF(SUMIF('Master Log'!A:A,"&lt;="&amp;$C84,'Master Log'!P:P)&lt;&gt;0,(SUMIF('Master Log'!A:A,"&lt;="&amp;$C84,'Master Log'!P:P))-SUM($I$2:I28),0)</f>
        <v>0</v>
      </c>
      <c r="J29" s="58">
        <f t="shared" ca="1" si="3"/>
        <v>0</v>
      </c>
      <c r="K29" s="7" t="e">
        <f t="shared" ca="1" si="4"/>
        <v>#DIV/0!</v>
      </c>
      <c r="L29" s="7" t="e">
        <f ca="1">IF(B29&gt;0,SUM($F$2:F29)/(SUM($B$2:B29)-SUM($C$2:C29))/(SUM($I$2:I29)/(SUM($B$2:B29)-SUM($C$2:C29))),NA())</f>
        <v>#DIV/0!</v>
      </c>
      <c r="M29" s="7">
        <f t="shared" ca="1" si="5"/>
        <v>2.5034991729227636E-2</v>
      </c>
      <c r="N29" s="7">
        <f ca="1">IF(B29&gt;0,SUM($G$2:G29)/SUM($F$2:F29),NA())</f>
        <v>2.8679245283018868E-2</v>
      </c>
      <c r="O29" s="7" t="e">
        <f t="shared" ca="1" si="6"/>
        <v>#DIV/0!</v>
      </c>
      <c r="P29" s="7" t="e">
        <f t="shared" ca="1" si="7"/>
        <v>#DIV/0!</v>
      </c>
      <c r="Q29" s="5"/>
      <c r="Z29" s="1"/>
      <c r="AA29" s="1"/>
      <c r="AB29" s="1"/>
      <c r="AC29" s="1"/>
      <c r="AD29" s="1"/>
      <c r="AE29" s="1"/>
      <c r="AF29" s="1"/>
      <c r="AG29" s="1"/>
      <c r="AH29" s="1"/>
      <c r="AI29" s="1"/>
      <c r="AJ29" s="1"/>
    </row>
    <row r="30" spans="1:36">
      <c r="A30" s="74">
        <f t="shared" ca="1" si="0"/>
        <v>44309</v>
      </c>
      <c r="B30" s="58">
        <f ca="1">IF(SUMIF('Master Log'!A:A,"&lt;="&amp;$C85,'Master Log'!K:K)&lt;&gt;0,(SUMIF('Master Log'!A:A,"&lt;="&amp;$C85,'Master Log'!K:K))-SUM($B$2:B29),0)</f>
        <v>4260</v>
      </c>
      <c r="C30" s="58">
        <f ca="1">IF(SUMIF('Master Log'!A:A,"&lt;="&amp;$C85,'Master Log'!L:L)&lt;&gt;0,(SUMIF('Master Log'!A:A,"&lt;="&amp;$C85,'Master Log'!L:L))-SUM($C$2:C29),0)</f>
        <v>730</v>
      </c>
      <c r="D30" s="7">
        <f t="shared" ca="1" si="1"/>
        <v>0.82863849765258213</v>
      </c>
      <c r="E30" s="7">
        <f ca="1">IF(B30&gt;0,(SUM($B$2:B30)-SUM($C$2:C30))/SUM($B$2:B30),NA())</f>
        <v>0.74607407407407411</v>
      </c>
      <c r="F30" s="6">
        <f ca="1">IF(SUMIF('Master Log'!A:A,"&lt;="&amp;$C85,'Master Log'!Q:Q)&lt;&gt;0,(SUMIF('Master Log'!A:A,"&lt;="&amp;$C85,'Master Log'!Q:Q))-SUM($F$2:F29),0)</f>
        <v>117146</v>
      </c>
      <c r="G30" s="6">
        <f ca="1">IF(SUMIF('Master Log'!A:A,"&lt;="&amp;$C85,'Master Log'!O:O)&lt;&gt;0,(SUMIF('Master Log'!A:A,"&lt;="&amp;$C85,'Master Log'!O:O))-SUM($G$2:G29),0)</f>
        <v>2077</v>
      </c>
      <c r="H30" s="58">
        <f t="shared" ca="1" si="2"/>
        <v>33.185835694050994</v>
      </c>
      <c r="I30" s="58">
        <f ca="1">IF(SUMIF('Master Log'!A:A,"&lt;="&amp;$C85,'Master Log'!P:P)&lt;&gt;0,(SUMIF('Master Log'!A:A,"&lt;="&amp;$C85,'Master Log'!P:P))-SUM($I$2:I29),0)</f>
        <v>0</v>
      </c>
      <c r="J30" s="58">
        <f t="shared" ca="1" si="3"/>
        <v>0</v>
      </c>
      <c r="K30" s="7" t="e">
        <f t="shared" ca="1" si="4"/>
        <v>#DIV/0!</v>
      </c>
      <c r="L30" s="7" t="e">
        <f ca="1">IF(B30&gt;0,SUM($F$2:F30)/(SUM($B$2:B30)-SUM($C$2:C30))/(SUM($I$2:I30)/(SUM($B$2:B30)-SUM($C$2:C30))),NA())</f>
        <v>#DIV/0!</v>
      </c>
      <c r="M30" s="7">
        <f t="shared" ca="1" si="5"/>
        <v>1.7730012121626004E-2</v>
      </c>
      <c r="N30" s="7">
        <f ca="1">IF(B30&gt;0,SUM($G$2:G30)/SUM($F$2:F30),NA())</f>
        <v>2.1784934908570999E-2</v>
      </c>
      <c r="O30" s="7" t="e">
        <f t="shared" ca="1" si="6"/>
        <v>#DIV/0!</v>
      </c>
      <c r="P30" s="7" t="e">
        <f t="shared" ca="1" si="7"/>
        <v>#DIV/0!</v>
      </c>
      <c r="Q30" s="5"/>
      <c r="Z30" s="1"/>
      <c r="AA30" s="1"/>
      <c r="AB30" s="1"/>
      <c r="AC30" s="1"/>
      <c r="AD30" s="1"/>
      <c r="AE30" s="1"/>
      <c r="AF30" s="1"/>
      <c r="AG30" s="1"/>
      <c r="AH30" s="1"/>
      <c r="AI30" s="1"/>
      <c r="AJ30" s="1"/>
    </row>
    <row r="31" spans="1:36">
      <c r="A31" s="74">
        <f t="shared" ca="1" si="0"/>
        <v>44316</v>
      </c>
      <c r="B31" s="58">
        <f ca="1">IF(SUMIF('Master Log'!A:A,"&lt;="&amp;$C86,'Master Log'!K:K)&lt;&gt;0,(SUMIF('Master Log'!A:A,"&lt;="&amp;$C86,'Master Log'!K:K))-SUM($B$2:B30),0)</f>
        <v>0</v>
      </c>
      <c r="C31" s="58">
        <f ca="1">IF(SUMIF('Master Log'!A:A,"&lt;="&amp;$C86,'Master Log'!L:L)&lt;&gt;0,(SUMIF('Master Log'!A:A,"&lt;="&amp;$C86,'Master Log'!L:L))-SUM($C$2:C30),0)</f>
        <v>0</v>
      </c>
      <c r="D31" s="7" t="e">
        <f t="shared" ca="1" si="1"/>
        <v>#N/A</v>
      </c>
      <c r="E31" s="7" t="e">
        <f ca="1">IF(B31&gt;0,(SUM($B$2:B31)-SUM($C$2:C31))/SUM($B$2:B31),NA())</f>
        <v>#N/A</v>
      </c>
      <c r="F31" s="6">
        <f ca="1">IF(SUMIF('Master Log'!A:A,"&lt;="&amp;$C86,'Master Log'!Q:Q)&lt;&gt;0,(SUMIF('Master Log'!A:A,"&lt;="&amp;$C86,'Master Log'!Q:Q))-SUM($F$2:F30),0)</f>
        <v>0</v>
      </c>
      <c r="G31" s="6">
        <f ca="1">IF(SUMIF('Master Log'!A:A,"&lt;="&amp;$C86,'Master Log'!O:O)&lt;&gt;0,(SUMIF('Master Log'!A:A,"&lt;="&amp;$C86,'Master Log'!O:O))-SUM($G$2:G30),0)</f>
        <v>0</v>
      </c>
      <c r="H31" s="58" t="e">
        <f t="shared" ca="1" si="2"/>
        <v>#N/A</v>
      </c>
      <c r="I31" s="58">
        <f ca="1">IF(SUMIF('Master Log'!A:A,"&lt;="&amp;$C86,'Master Log'!P:P)&lt;&gt;0,(SUMIF('Master Log'!A:A,"&lt;="&amp;$C86,'Master Log'!P:P))-SUM($I$2:I30),0)</f>
        <v>0</v>
      </c>
      <c r="J31" s="58" t="e">
        <f t="shared" ca="1" si="3"/>
        <v>#N/A</v>
      </c>
      <c r="K31" s="7" t="e">
        <f t="shared" ca="1" si="4"/>
        <v>#N/A</v>
      </c>
      <c r="L31" s="7" t="e">
        <f ca="1">IF(B31&gt;0,SUM($F$2:F31)/(SUM($B$2:B31)-SUM($C$2:C31))/(SUM($I$2:I31)/(SUM($B$2:B31)-SUM($C$2:C31))),NA())</f>
        <v>#N/A</v>
      </c>
      <c r="M31" s="7" t="e">
        <f t="shared" ca="1" si="5"/>
        <v>#N/A</v>
      </c>
      <c r="N31" s="7" t="e">
        <f ca="1">IF(B31&gt;0,SUM($G$2:G31)/SUM($F$2:F31),NA())</f>
        <v>#N/A</v>
      </c>
      <c r="O31" s="7" t="e">
        <f t="shared" ca="1" si="6"/>
        <v>#N/A</v>
      </c>
      <c r="P31" s="7" t="e">
        <f t="shared" ca="1" si="7"/>
        <v>#N/A</v>
      </c>
      <c r="Q31" s="5"/>
      <c r="Z31" s="1"/>
      <c r="AA31" s="1"/>
      <c r="AB31" s="1"/>
      <c r="AC31" s="1"/>
      <c r="AD31" s="1"/>
      <c r="AE31" s="1"/>
      <c r="AF31" s="1"/>
      <c r="AG31" s="1"/>
      <c r="AH31" s="1"/>
      <c r="AI31" s="1"/>
      <c r="AJ31" s="1"/>
    </row>
    <row r="32" spans="1:36">
      <c r="A32" s="74">
        <f t="shared" ca="1" si="0"/>
        <v>44323</v>
      </c>
      <c r="B32" s="58">
        <f ca="1">IF(SUMIF('Master Log'!A:A,"&lt;="&amp;$C87,'Master Log'!K:K)&lt;&gt;0,(SUMIF('Master Log'!A:A,"&lt;="&amp;$C87,'Master Log'!K:K))-SUM($B$2:B31),0)</f>
        <v>660</v>
      </c>
      <c r="C32" s="58">
        <f ca="1">IF(SUMIF('Master Log'!A:A,"&lt;="&amp;$C87,'Master Log'!L:L)&lt;&gt;0,(SUMIF('Master Log'!A:A,"&lt;="&amp;$C87,'Master Log'!L:L))-SUM($C$2:C31),0)</f>
        <v>80</v>
      </c>
      <c r="D32" s="7">
        <f t="shared" ca="1" si="1"/>
        <v>0.87878787878787878</v>
      </c>
      <c r="E32" s="7">
        <f ca="1">IF(B32&gt;0,(SUM($B$2:B32)-SUM($C$2:C32))/SUM($B$2:B32),NA())</f>
        <v>0.75789473684210529</v>
      </c>
      <c r="F32" s="6">
        <f ca="1">IF(SUMIF('Master Log'!A:A,"&lt;="&amp;$C87,'Master Log'!Q:Q)&lt;&gt;0,(SUMIF('Master Log'!A:A,"&lt;="&amp;$C87,'Master Log'!Q:Q))-SUM($F$2:F31),0)</f>
        <v>15792</v>
      </c>
      <c r="G32" s="6">
        <f ca="1">IF(SUMIF('Master Log'!A:A,"&lt;="&amp;$C87,'Master Log'!O:O)&lt;&gt;0,(SUMIF('Master Log'!A:A,"&lt;="&amp;$C87,'Master Log'!O:O))-SUM($G$2:G31),0)</f>
        <v>1828</v>
      </c>
      <c r="H32" s="58">
        <f t="shared" ca="1" si="2"/>
        <v>27.22758620689655</v>
      </c>
      <c r="I32" s="58">
        <f ca="1">IF(SUMIF('Master Log'!A:A,"&lt;="&amp;$C87,'Master Log'!P:P)&lt;&gt;0,(SUMIF('Master Log'!A:A,"&lt;="&amp;$C87,'Master Log'!P:P))-SUM($I$2:I31),0)</f>
        <v>0</v>
      </c>
      <c r="J32" s="58">
        <f t="shared" ca="1" si="3"/>
        <v>0</v>
      </c>
      <c r="K32" s="7" t="e">
        <f t="shared" ca="1" si="4"/>
        <v>#DIV/0!</v>
      </c>
      <c r="L32" s="7" t="e">
        <f ca="1">IF(B32&gt;0,SUM($F$2:F32)/(SUM($B$2:B32)-SUM($C$2:C32))/(SUM($I$2:I32)/(SUM($B$2:B32)-SUM($C$2:C32))),NA())</f>
        <v>#DIV/0!</v>
      </c>
      <c r="M32" s="7">
        <f t="shared" ca="1" si="5"/>
        <v>0.11575481256332321</v>
      </c>
      <c r="N32" s="7">
        <f ca="1">IF(B32&gt;0,SUM($G$2:G32)/SUM($F$2:F32),NA())</f>
        <v>2.9137228866714888E-2</v>
      </c>
      <c r="O32" s="7" t="e">
        <f t="shared" ca="1" si="6"/>
        <v>#DIV/0!</v>
      </c>
      <c r="P32" s="7" t="e">
        <f t="shared" ca="1" si="7"/>
        <v>#DIV/0!</v>
      </c>
      <c r="Q32" s="5"/>
      <c r="Z32" s="1"/>
      <c r="AA32" s="1"/>
      <c r="AB32" s="1"/>
      <c r="AC32" s="1"/>
      <c r="AD32" s="1"/>
      <c r="AE32" s="1"/>
      <c r="AF32" s="1"/>
      <c r="AG32" s="1"/>
      <c r="AH32" s="1"/>
      <c r="AI32" s="1"/>
      <c r="AJ32" s="1"/>
    </row>
    <row r="33" spans="1:36">
      <c r="A33" s="74">
        <f t="shared" ca="1" si="0"/>
        <v>44330</v>
      </c>
      <c r="B33" s="58">
        <f ca="1">IF(SUMIF('Master Log'!A:A,"&lt;="&amp;$C88,'Master Log'!K:K)&lt;&gt;0,(SUMIF('Master Log'!A:A,"&lt;="&amp;$C88,'Master Log'!K:K))-SUM($B$2:B32),0)</f>
        <v>420</v>
      </c>
      <c r="C33" s="58">
        <f ca="1">IF(SUMIF('Master Log'!A:A,"&lt;="&amp;$C88,'Master Log'!L:L)&lt;&gt;0,(SUMIF('Master Log'!A:A,"&lt;="&amp;$C88,'Master Log'!L:L))-SUM($C$2:C32),0)</f>
        <v>235</v>
      </c>
      <c r="D33" s="7">
        <f t="shared" ca="1" si="1"/>
        <v>0.44047619047619047</v>
      </c>
      <c r="E33" s="7">
        <f ca="1">IF(B33&gt;0,(SUM($B$2:B33)-SUM($C$2:C33))/SUM($B$2:B33),NA())</f>
        <v>0.74086845466155815</v>
      </c>
      <c r="F33" s="6">
        <f ca="1">IF(SUMIF('Master Log'!A:A,"&lt;="&amp;$C88,'Master Log'!Q:Q)&lt;&gt;0,(SUMIF('Master Log'!A:A,"&lt;="&amp;$C88,'Master Log'!Q:Q))-SUM($F$2:F32),0)</f>
        <v>8712</v>
      </c>
      <c r="G33" s="6">
        <f ca="1">IF(SUMIF('Master Log'!A:A,"&lt;="&amp;$C88,'Master Log'!O:O)&lt;&gt;0,(SUMIF('Master Log'!A:A,"&lt;="&amp;$C88,'Master Log'!O:O))-SUM($G$2:G32),0)</f>
        <v>247</v>
      </c>
      <c r="H33" s="58">
        <f t="shared" ca="1" si="2"/>
        <v>47.091891891891891</v>
      </c>
      <c r="I33" s="58">
        <f ca="1">IF(SUMIF('Master Log'!A:A,"&lt;="&amp;$C88,'Master Log'!P:P)&lt;&gt;0,(SUMIF('Master Log'!A:A,"&lt;="&amp;$C88,'Master Log'!P:P))-SUM($I$2:I32),0)</f>
        <v>0</v>
      </c>
      <c r="J33" s="58">
        <f t="shared" ca="1" si="3"/>
        <v>0</v>
      </c>
      <c r="K33" s="7" t="e">
        <f t="shared" ca="1" si="4"/>
        <v>#DIV/0!</v>
      </c>
      <c r="L33" s="7" t="e">
        <f ca="1">IF(B33&gt;0,SUM($F$2:F33)/(SUM($B$2:B33)-SUM($C$2:C33))/(SUM($I$2:I33)/(SUM($B$2:B33)-SUM($C$2:C33))),NA())</f>
        <v>#DIV/0!</v>
      </c>
      <c r="M33" s="7">
        <f t="shared" ca="1" si="5"/>
        <v>2.835169880624426E-2</v>
      </c>
      <c r="N33" s="7">
        <f ca="1">IF(B33&gt;0,SUM($G$2:G33)/SUM($F$2:F33),NA())</f>
        <v>2.9104725718356685E-2</v>
      </c>
      <c r="O33" s="7" t="e">
        <f t="shared" ca="1" si="6"/>
        <v>#DIV/0!</v>
      </c>
      <c r="P33" s="7" t="e">
        <f t="shared" ca="1" si="7"/>
        <v>#DIV/0!</v>
      </c>
      <c r="Q33" s="5"/>
      <c r="Z33" s="1"/>
      <c r="AA33" s="1"/>
      <c r="AB33" s="1"/>
      <c r="AC33" s="1"/>
      <c r="AD33" s="1"/>
      <c r="AE33" s="1"/>
      <c r="AF33" s="1"/>
      <c r="AG33" s="1"/>
      <c r="AH33" s="1"/>
      <c r="AI33" s="1"/>
      <c r="AJ33" s="1"/>
    </row>
    <row r="34" spans="1:36">
      <c r="A34" s="74">
        <f t="shared" ca="1" si="0"/>
        <v>44337</v>
      </c>
      <c r="B34" s="58">
        <f ca="1">IF(SUMIF('Master Log'!A:A,"&lt;="&amp;$C89,'Master Log'!K:K)&lt;&gt;0,(SUMIF('Master Log'!A:A,"&lt;="&amp;$C89,'Master Log'!K:K))-SUM($B$2:B33),0)</f>
        <v>0</v>
      </c>
      <c r="C34" s="58">
        <f ca="1">IF(SUMIF('Master Log'!A:A,"&lt;="&amp;$C89,'Master Log'!L:L)&lt;&gt;0,(SUMIF('Master Log'!A:A,"&lt;="&amp;$C89,'Master Log'!L:L))-SUM($C$2:C33),0)</f>
        <v>0</v>
      </c>
      <c r="D34" s="7" t="e">
        <f t="shared" ca="1" si="1"/>
        <v>#N/A</v>
      </c>
      <c r="E34" s="7" t="e">
        <f ca="1">IF(B34&gt;0,(SUM($B$2:B34)-SUM($C$2:C34))/SUM($B$2:B34),NA())</f>
        <v>#N/A</v>
      </c>
      <c r="F34" s="6">
        <f ca="1">IF(SUMIF('Master Log'!A:A,"&lt;="&amp;$C89,'Master Log'!Q:Q)&lt;&gt;0,(SUMIF('Master Log'!A:A,"&lt;="&amp;$C89,'Master Log'!Q:Q))-SUM($F$2:F33),0)</f>
        <v>0</v>
      </c>
      <c r="G34" s="6">
        <f ca="1">IF(SUMIF('Master Log'!A:A,"&lt;="&amp;$C89,'Master Log'!O:O)&lt;&gt;0,(SUMIF('Master Log'!A:A,"&lt;="&amp;$C89,'Master Log'!O:O))-SUM($G$2:G33),0)</f>
        <v>0</v>
      </c>
      <c r="H34" s="58" t="e">
        <f t="shared" ca="1" si="2"/>
        <v>#N/A</v>
      </c>
      <c r="I34" s="58">
        <f ca="1">IF(SUMIF('Master Log'!A:A,"&lt;="&amp;$C89,'Master Log'!P:P)&lt;&gt;0,(SUMIF('Master Log'!A:A,"&lt;="&amp;$C89,'Master Log'!P:P))-SUM($I$2:I33),0)</f>
        <v>0</v>
      </c>
      <c r="J34" s="58" t="e">
        <f t="shared" ca="1" si="3"/>
        <v>#N/A</v>
      </c>
      <c r="K34" s="7" t="e">
        <f t="shared" ca="1" si="4"/>
        <v>#N/A</v>
      </c>
      <c r="L34" s="7" t="e">
        <f ca="1">IF(B34&gt;0,SUM($F$2:F34)/(SUM($B$2:B34)-SUM($C$2:C34))/(SUM($I$2:I34)/(SUM($B$2:B34)-SUM($C$2:C34))),NA())</f>
        <v>#N/A</v>
      </c>
      <c r="M34" s="7" t="e">
        <f t="shared" ca="1" si="5"/>
        <v>#N/A</v>
      </c>
      <c r="N34" s="7" t="e">
        <f ca="1">IF(B34&gt;0,SUM($G$2:G34)/SUM($F$2:F34),NA())</f>
        <v>#N/A</v>
      </c>
      <c r="O34" s="7" t="e">
        <f t="shared" ca="1" si="6"/>
        <v>#N/A</v>
      </c>
      <c r="P34" s="7" t="e">
        <f t="shared" ca="1" si="7"/>
        <v>#N/A</v>
      </c>
      <c r="Q34" s="5"/>
      <c r="Z34" s="1"/>
      <c r="AA34" s="1"/>
      <c r="AB34" s="1"/>
      <c r="AC34" s="1"/>
      <c r="AD34" s="1"/>
      <c r="AE34" s="1"/>
      <c r="AF34" s="1"/>
      <c r="AG34" s="1"/>
      <c r="AH34" s="1"/>
      <c r="AI34" s="1"/>
      <c r="AJ34" s="1"/>
    </row>
    <row r="35" spans="1:36">
      <c r="A35" s="74">
        <f t="shared" ca="1" si="0"/>
        <v>44344</v>
      </c>
      <c r="B35" s="58">
        <f ca="1">IF(SUMIF('Master Log'!A:A,"&lt;="&amp;$C90,'Master Log'!K:K)&lt;&gt;0,(SUMIF('Master Log'!A:A,"&lt;="&amp;$C90,'Master Log'!K:K))-SUM($B$2:B34),0)</f>
        <v>100</v>
      </c>
      <c r="C35" s="58">
        <f ca="1">IF(SUMIF('Master Log'!A:A,"&lt;="&amp;$C90,'Master Log'!L:L)&lt;&gt;0,(SUMIF('Master Log'!A:A,"&lt;="&amp;$C90,'Master Log'!L:L))-SUM($C$2:C34),0)</f>
        <v>0</v>
      </c>
      <c r="D35" s="7">
        <f t="shared" ca="1" si="1"/>
        <v>1</v>
      </c>
      <c r="E35" s="7">
        <f ca="1">IF(B35&gt;0,(SUM($B$2:B35)-SUM($C$2:C35))/SUM($B$2:B35),NA())</f>
        <v>0.74413619167717526</v>
      </c>
      <c r="F35" s="6">
        <f ca="1">IF(SUMIF('Master Log'!A:A,"&lt;="&amp;$C90,'Master Log'!Q:Q)&lt;&gt;0,(SUMIF('Master Log'!A:A,"&lt;="&amp;$C90,'Master Log'!Q:Q))-SUM($F$2:F34),0)</f>
        <v>4320</v>
      </c>
      <c r="G35" s="6">
        <f ca="1">IF(SUMIF('Master Log'!A:A,"&lt;="&amp;$C90,'Master Log'!O:O)&lt;&gt;0,(SUMIF('Master Log'!A:A,"&lt;="&amp;$C90,'Master Log'!O:O))-SUM($G$2:G34),0)</f>
        <v>424</v>
      </c>
      <c r="H35" s="58">
        <f t="shared" ca="1" si="2"/>
        <v>43.2</v>
      </c>
      <c r="I35" s="58">
        <f ca="1">IF(SUMIF('Master Log'!A:A,"&lt;="&amp;$C90,'Master Log'!P:P)&lt;&gt;0,(SUMIF('Master Log'!A:A,"&lt;="&amp;$C90,'Master Log'!P:P))-SUM($I$2:I34),0)</f>
        <v>0</v>
      </c>
      <c r="J35" s="58">
        <f t="shared" ca="1" si="3"/>
        <v>0</v>
      </c>
      <c r="K35" s="7" t="e">
        <f t="shared" ca="1" si="4"/>
        <v>#DIV/0!</v>
      </c>
      <c r="L35" s="7" t="e">
        <f ca="1">IF(B35&gt;0,SUM($F$2:F35)/(SUM($B$2:B35)-SUM($C$2:C35))/(SUM($I$2:I35)/(SUM($B$2:B35)-SUM($C$2:C35))),NA())</f>
        <v>#DIV/0!</v>
      </c>
      <c r="M35" s="7">
        <f t="shared" ca="1" si="5"/>
        <v>9.8148148148148151E-2</v>
      </c>
      <c r="N35" s="7">
        <f ca="1">IF(B35&gt;0,SUM($G$2:G35)/SUM($F$2:F35),NA())</f>
        <v>3.0492856145576393E-2</v>
      </c>
      <c r="O35" s="7" t="e">
        <f t="shared" ca="1" si="6"/>
        <v>#DIV/0!</v>
      </c>
      <c r="P35" s="7" t="e">
        <f t="shared" ca="1" si="7"/>
        <v>#DIV/0!</v>
      </c>
      <c r="Q35" s="5"/>
      <c r="Z35" s="1"/>
      <c r="AA35" s="1"/>
      <c r="AB35" s="1"/>
      <c r="AC35" s="1"/>
      <c r="AD35" s="1"/>
      <c r="AE35" s="1"/>
      <c r="AF35" s="1"/>
      <c r="AG35" s="1"/>
      <c r="AH35" s="1"/>
      <c r="AI35" s="1"/>
      <c r="AJ35" s="1"/>
    </row>
    <row r="36" spans="1:36">
      <c r="A36" s="74">
        <f t="shared" ca="1" si="0"/>
        <v>44351</v>
      </c>
      <c r="B36" s="58">
        <f ca="1">IF(SUMIF('Master Log'!A:A,"&lt;="&amp;$C91,'Master Log'!K:K)&lt;&gt;0,(SUMIF('Master Log'!A:A,"&lt;="&amp;$C91,'Master Log'!K:K))-SUM($B$2:B35),0)</f>
        <v>0</v>
      </c>
      <c r="C36" s="58">
        <f ca="1">IF(SUMIF('Master Log'!A:A,"&lt;="&amp;$C91,'Master Log'!L:L)&lt;&gt;0,(SUMIF('Master Log'!A:A,"&lt;="&amp;$C91,'Master Log'!L:L))-SUM($C$2:C35),0)</f>
        <v>0</v>
      </c>
      <c r="D36" s="7" t="e">
        <f t="shared" ca="1" si="1"/>
        <v>#N/A</v>
      </c>
      <c r="E36" s="7" t="e">
        <f ca="1">IF(B36&gt;0,(SUM($B$2:B36)-SUM($C$2:C36))/SUM($B$2:B36),NA())</f>
        <v>#N/A</v>
      </c>
      <c r="F36" s="6">
        <f ca="1">IF(SUMIF('Master Log'!A:A,"&lt;="&amp;$C91,'Master Log'!Q:Q)&lt;&gt;0,(SUMIF('Master Log'!A:A,"&lt;="&amp;$C91,'Master Log'!Q:Q))-SUM($F$2:F35),0)</f>
        <v>0</v>
      </c>
      <c r="G36" s="6">
        <f ca="1">IF(SUMIF('Master Log'!A:A,"&lt;="&amp;$C91,'Master Log'!O:O)&lt;&gt;0,(SUMIF('Master Log'!A:A,"&lt;="&amp;$C91,'Master Log'!O:O))-SUM($G$2:G35),0)</f>
        <v>0</v>
      </c>
      <c r="H36" s="58" t="e">
        <f t="shared" ca="1" si="2"/>
        <v>#N/A</v>
      </c>
      <c r="I36" s="58">
        <f ca="1">IF(SUMIF('Master Log'!A:A,"&lt;="&amp;$C91,'Master Log'!P:P)&lt;&gt;0,(SUMIF('Master Log'!A:A,"&lt;="&amp;$C91,'Master Log'!P:P))-SUM($I$2:I35),0)</f>
        <v>0</v>
      </c>
      <c r="J36" s="58" t="e">
        <f t="shared" ca="1" si="3"/>
        <v>#N/A</v>
      </c>
      <c r="K36" s="7" t="e">
        <f t="shared" ca="1" si="4"/>
        <v>#N/A</v>
      </c>
      <c r="L36" s="7" t="e">
        <f ca="1">IF(B36&gt;0,SUM($F$2:F36)/(SUM($B$2:B36)-SUM($C$2:C36))/(SUM($I$2:I36)/(SUM($B$2:B36)-SUM($C$2:C36))),NA())</f>
        <v>#N/A</v>
      </c>
      <c r="M36" s="7" t="e">
        <f t="shared" ca="1" si="5"/>
        <v>#N/A</v>
      </c>
      <c r="N36" s="7" t="e">
        <f ca="1">IF(B36&gt;0,SUM($G$2:G36)/SUM($F$2:F36),NA())</f>
        <v>#N/A</v>
      </c>
      <c r="O36" s="7" t="e">
        <f t="shared" ca="1" si="6"/>
        <v>#N/A</v>
      </c>
      <c r="P36" s="7" t="e">
        <f t="shared" ca="1" si="7"/>
        <v>#N/A</v>
      </c>
      <c r="Q36" s="5"/>
      <c r="Z36" s="1"/>
      <c r="AA36" s="1"/>
      <c r="AB36" s="1"/>
      <c r="AC36" s="1"/>
      <c r="AD36" s="1"/>
      <c r="AE36" s="1"/>
      <c r="AF36" s="1"/>
      <c r="AG36" s="1"/>
      <c r="AH36" s="1"/>
      <c r="AI36" s="1"/>
      <c r="AJ36" s="1"/>
    </row>
    <row r="37" spans="1:36">
      <c r="A37" s="74">
        <f t="shared" ca="1" si="0"/>
        <v>44358</v>
      </c>
      <c r="B37" s="58">
        <f ca="1">IF(SUMIF('Master Log'!A:A,"&lt;="&amp;$C92,'Master Log'!K:K)&lt;&gt;0,(SUMIF('Master Log'!A:A,"&lt;="&amp;$C92,'Master Log'!K:K))-SUM($B$2:B36),0)</f>
        <v>420</v>
      </c>
      <c r="C37" s="58">
        <f ca="1">IF(SUMIF('Master Log'!A:A,"&lt;="&amp;$C92,'Master Log'!L:L)&lt;&gt;0,(SUMIF('Master Log'!A:A,"&lt;="&amp;$C92,'Master Log'!L:L))-SUM($C$2:C36),0)</f>
        <v>30</v>
      </c>
      <c r="D37" s="7">
        <f t="shared" ca="1" si="1"/>
        <v>0.9285714285714286</v>
      </c>
      <c r="E37" s="7">
        <f ca="1">IF(B37&gt;0,(SUM($B$2:B37)-SUM($C$2:C37))/SUM($B$2:B37),NA())</f>
        <v>0.75341317365269456</v>
      </c>
      <c r="F37" s="6">
        <f ca="1">IF(SUMIF('Master Log'!A:A,"&lt;="&amp;$C92,'Master Log'!Q:Q)&lt;&gt;0,(SUMIF('Master Log'!A:A,"&lt;="&amp;$C92,'Master Log'!Q:Q))-SUM($F$2:F36),0)</f>
        <v>13500</v>
      </c>
      <c r="G37" s="6">
        <f ca="1">IF(SUMIF('Master Log'!A:A,"&lt;="&amp;$C92,'Master Log'!O:O)&lt;&gt;0,(SUMIF('Master Log'!A:A,"&lt;="&amp;$C92,'Master Log'!O:O))-SUM($G$2:G36),0)</f>
        <v>650</v>
      </c>
      <c r="H37" s="58">
        <f t="shared" ca="1" si="2"/>
        <v>34.615384615384613</v>
      </c>
      <c r="I37" s="58">
        <f ca="1">IF(SUMIF('Master Log'!A:A,"&lt;="&amp;$C92,'Master Log'!P:P)&lt;&gt;0,(SUMIF('Master Log'!A:A,"&lt;="&amp;$C92,'Master Log'!P:P))-SUM($I$2:I36),0)</f>
        <v>0</v>
      </c>
      <c r="J37" s="58">
        <f t="shared" ca="1" si="3"/>
        <v>0</v>
      </c>
      <c r="K37" s="7" t="e">
        <f t="shared" ca="1" si="4"/>
        <v>#DIV/0!</v>
      </c>
      <c r="L37" s="7" t="e">
        <f ca="1">IF(B37&gt;0,SUM($F$2:F37)/(SUM($B$2:B37)-SUM($C$2:C37))/(SUM($I$2:I37)/(SUM($B$2:B37)-SUM($C$2:C37))),NA())</f>
        <v>#DIV/0!</v>
      </c>
      <c r="M37" s="7">
        <f t="shared" ca="1" si="5"/>
        <v>4.8148148148148148E-2</v>
      </c>
      <c r="N37" s="7">
        <f ca="1">IF(B37&gt;0,SUM($G$2:G37)/SUM($F$2:F37),NA())</f>
        <v>3.1536541577264966E-2</v>
      </c>
      <c r="O37" s="7" t="e">
        <f t="shared" ca="1" si="6"/>
        <v>#DIV/0!</v>
      </c>
      <c r="P37" s="7" t="e">
        <f t="shared" ca="1" si="7"/>
        <v>#DIV/0!</v>
      </c>
      <c r="Q37" s="5"/>
      <c r="Z37" s="1"/>
      <c r="AA37" s="1"/>
      <c r="AB37" s="1"/>
      <c r="AC37" s="1"/>
      <c r="AD37" s="1"/>
      <c r="AE37" s="1"/>
      <c r="AF37" s="1"/>
      <c r="AG37" s="1"/>
      <c r="AH37" s="1"/>
      <c r="AI37" s="1"/>
      <c r="AJ37" s="1"/>
    </row>
    <row r="38" spans="1:36">
      <c r="A38" s="74">
        <f t="shared" ca="1" si="0"/>
        <v>44365</v>
      </c>
      <c r="B38" s="58">
        <f ca="1">IF(SUMIF('Master Log'!A:A,"&lt;="&amp;$C93,'Master Log'!K:K)&lt;&gt;0,(SUMIF('Master Log'!A:A,"&lt;="&amp;$C93,'Master Log'!K:K))-SUM($B$2:B37),0)</f>
        <v>0</v>
      </c>
      <c r="C38" s="58">
        <f ca="1">IF(SUMIF('Master Log'!A:A,"&lt;="&amp;$C93,'Master Log'!L:L)&lt;&gt;0,(SUMIF('Master Log'!A:A,"&lt;="&amp;$C93,'Master Log'!L:L))-SUM($C$2:C37),0)</f>
        <v>0</v>
      </c>
      <c r="D38" s="7" t="e">
        <f t="shared" ca="1" si="1"/>
        <v>#N/A</v>
      </c>
      <c r="E38" s="7" t="e">
        <f ca="1">IF(B38&gt;0,(SUM($B$2:B38)-SUM($C$2:C38))/SUM($B$2:B38),NA())</f>
        <v>#N/A</v>
      </c>
      <c r="F38" s="6">
        <f ca="1">IF(SUMIF('Master Log'!A:A,"&lt;="&amp;$C93,'Master Log'!Q:Q)&lt;&gt;0,(SUMIF('Master Log'!A:A,"&lt;="&amp;$C93,'Master Log'!Q:Q))-SUM($F$2:F37),0)</f>
        <v>0</v>
      </c>
      <c r="G38" s="6">
        <f ca="1">IF(SUMIF('Master Log'!A:A,"&lt;="&amp;$C93,'Master Log'!O:O)&lt;&gt;0,(SUMIF('Master Log'!A:A,"&lt;="&amp;$C93,'Master Log'!O:O))-SUM($G$2:G37),0)</f>
        <v>0</v>
      </c>
      <c r="H38" s="58" t="e">
        <f t="shared" ca="1" si="2"/>
        <v>#N/A</v>
      </c>
      <c r="I38" s="58">
        <f ca="1">IF(SUMIF('Master Log'!A:A,"&lt;="&amp;$C93,'Master Log'!P:P)&lt;&gt;0,(SUMIF('Master Log'!A:A,"&lt;="&amp;$C93,'Master Log'!P:P))-SUM($I$2:I37),0)</f>
        <v>0</v>
      </c>
      <c r="J38" s="58" t="e">
        <f t="shared" ca="1" si="3"/>
        <v>#N/A</v>
      </c>
      <c r="K38" s="7" t="e">
        <f t="shared" ca="1" si="4"/>
        <v>#N/A</v>
      </c>
      <c r="L38" s="7" t="e">
        <f ca="1">IF(B38&gt;0,SUM($F$2:F38)/(SUM($B$2:B38)-SUM($C$2:C38))/(SUM($I$2:I38)/(SUM($B$2:B38)-SUM($C$2:C38))),NA())</f>
        <v>#N/A</v>
      </c>
      <c r="M38" s="7" t="e">
        <f t="shared" ca="1" si="5"/>
        <v>#N/A</v>
      </c>
      <c r="N38" s="7" t="e">
        <f ca="1">IF(B38&gt;0,SUM($G$2:G38)/SUM($F$2:F38),NA())</f>
        <v>#N/A</v>
      </c>
      <c r="O38" s="7" t="e">
        <f t="shared" ca="1" si="6"/>
        <v>#N/A</v>
      </c>
      <c r="P38" s="7" t="e">
        <f t="shared" ca="1" si="7"/>
        <v>#N/A</v>
      </c>
      <c r="Q38" s="5"/>
      <c r="Z38" s="1"/>
      <c r="AA38" s="1"/>
      <c r="AB38" s="1"/>
      <c r="AC38" s="1"/>
      <c r="AD38" s="1"/>
      <c r="AE38" s="1"/>
      <c r="AF38" s="1"/>
      <c r="AG38" s="1"/>
      <c r="AH38" s="1"/>
      <c r="AI38" s="1"/>
      <c r="AJ38" s="1"/>
    </row>
    <row r="39" spans="1:36">
      <c r="A39" s="74">
        <f t="shared" ca="1" si="0"/>
        <v>44372</v>
      </c>
      <c r="B39" s="58">
        <f ca="1">IF(SUMIF('Master Log'!A:A,"&lt;="&amp;$C94,'Master Log'!K:K)&lt;&gt;0,(SUMIF('Master Log'!A:A,"&lt;="&amp;$C94,'Master Log'!K:K))-SUM($B$2:B38),0)</f>
        <v>450</v>
      </c>
      <c r="C39" s="58">
        <f ca="1">IF(SUMIF('Master Log'!A:A,"&lt;="&amp;$C94,'Master Log'!L:L)&lt;&gt;0,(SUMIF('Master Log'!A:A,"&lt;="&amp;$C94,'Master Log'!L:L))-SUM($C$2:C38),0)</f>
        <v>170</v>
      </c>
      <c r="D39" s="7">
        <f t="shared" ca="1" si="1"/>
        <v>0.62222222222222223</v>
      </c>
      <c r="E39" s="7">
        <f ca="1">IF(B39&gt;0,(SUM($B$2:B39)-SUM($C$2:C39))/SUM($B$2:B39),NA())</f>
        <v>0.74670454545454545</v>
      </c>
      <c r="F39" s="6">
        <f ca="1">IF(SUMIF('Master Log'!A:A,"&lt;="&amp;$C94,'Master Log'!Q:Q)&lt;&gt;0,(SUMIF('Master Log'!A:A,"&lt;="&amp;$C94,'Master Log'!Q:Q))-SUM($F$2:F38),0)</f>
        <v>10752</v>
      </c>
      <c r="G39" s="6">
        <f ca="1">IF(SUMIF('Master Log'!A:A,"&lt;="&amp;$C94,'Master Log'!O:O)&lt;&gt;0,(SUMIF('Master Log'!A:A,"&lt;="&amp;$C94,'Master Log'!O:O))-SUM($G$2:G38),0)</f>
        <v>603</v>
      </c>
      <c r="H39" s="58">
        <f t="shared" ca="1" si="2"/>
        <v>38.4</v>
      </c>
      <c r="I39" s="58">
        <f ca="1">IF(SUMIF('Master Log'!A:A,"&lt;="&amp;$C94,'Master Log'!P:P)&lt;&gt;0,(SUMIF('Master Log'!A:A,"&lt;="&amp;$C94,'Master Log'!P:P))-SUM($I$2:I38),0)</f>
        <v>0</v>
      </c>
      <c r="J39" s="58">
        <f t="shared" ca="1" si="3"/>
        <v>0</v>
      </c>
      <c r="K39" s="7" t="e">
        <f t="shared" ca="1" si="4"/>
        <v>#DIV/0!</v>
      </c>
      <c r="L39" s="7" t="e">
        <f ca="1">IF(B39&gt;0,SUM($F$2:F39)/(SUM($B$2:B39)-SUM($C$2:C39))/(SUM($I$2:I39)/(SUM($B$2:B39)-SUM($C$2:C39))),NA())</f>
        <v>#DIV/0!</v>
      </c>
      <c r="M39" s="7">
        <f t="shared" ca="1" si="5"/>
        <v>5.6082589285714288E-2</v>
      </c>
      <c r="N39" s="7">
        <f ca="1">IF(B39&gt;0,SUM($G$2:G39)/SUM($F$2:F39),NA())</f>
        <v>3.2640242219452831E-2</v>
      </c>
      <c r="O39" s="7" t="e">
        <f t="shared" ca="1" si="6"/>
        <v>#DIV/0!</v>
      </c>
      <c r="P39" s="7" t="e">
        <f t="shared" ca="1" si="7"/>
        <v>#DIV/0!</v>
      </c>
      <c r="Q39" s="5"/>
      <c r="Z39" s="1"/>
      <c r="AA39" s="1"/>
      <c r="AB39" s="1"/>
      <c r="AC39" s="1"/>
      <c r="AD39" s="1"/>
      <c r="AE39" s="1"/>
      <c r="AF39" s="1"/>
      <c r="AG39" s="1"/>
      <c r="AH39" s="1"/>
      <c r="AI39" s="1"/>
      <c r="AJ39" s="1"/>
    </row>
    <row r="40" spans="1:36">
      <c r="A40" s="74">
        <f t="shared" ca="1" si="0"/>
        <v>44379</v>
      </c>
      <c r="B40" s="58">
        <f ca="1">IF(SUMIF('Master Log'!A:A,"&lt;="&amp;$C95,'Master Log'!K:K)&lt;&gt;0,(SUMIF('Master Log'!A:A,"&lt;="&amp;$C95,'Master Log'!K:K))-SUM($B$2:B39),0)</f>
        <v>0</v>
      </c>
      <c r="C40" s="58">
        <f ca="1">IF(SUMIF('Master Log'!A:A,"&lt;="&amp;$C95,'Master Log'!L:L)&lt;&gt;0,(SUMIF('Master Log'!A:A,"&lt;="&amp;$C95,'Master Log'!L:L))-SUM($C$2:C39),0)</f>
        <v>0</v>
      </c>
      <c r="D40" s="7" t="e">
        <f t="shared" ca="1" si="1"/>
        <v>#N/A</v>
      </c>
      <c r="E40" s="7" t="e">
        <f ca="1">IF(B40&gt;0,(SUM($B$2:B40)-SUM($C$2:C40))/SUM($B$2:B40),NA())</f>
        <v>#N/A</v>
      </c>
      <c r="F40" s="6">
        <f ca="1">IF(SUMIF('Master Log'!A:A,"&lt;="&amp;$C95,'Master Log'!Q:Q)&lt;&gt;0,(SUMIF('Master Log'!A:A,"&lt;="&amp;$C95,'Master Log'!Q:Q))-SUM($F$2:F39),0)</f>
        <v>0</v>
      </c>
      <c r="G40" s="6">
        <f ca="1">IF(SUMIF('Master Log'!A:A,"&lt;="&amp;$C95,'Master Log'!O:O)&lt;&gt;0,(SUMIF('Master Log'!A:A,"&lt;="&amp;$C95,'Master Log'!O:O))-SUM($G$2:G39),0)</f>
        <v>0</v>
      </c>
      <c r="H40" s="58" t="e">
        <f t="shared" ca="1" si="2"/>
        <v>#N/A</v>
      </c>
      <c r="I40" s="58">
        <f ca="1">IF(SUMIF('Master Log'!A:A,"&lt;="&amp;$C95,'Master Log'!P:P)&lt;&gt;0,(SUMIF('Master Log'!A:A,"&lt;="&amp;$C95,'Master Log'!P:P))-SUM($I$2:I39),0)</f>
        <v>0</v>
      </c>
      <c r="J40" s="58" t="e">
        <f t="shared" ca="1" si="3"/>
        <v>#N/A</v>
      </c>
      <c r="K40" s="7" t="e">
        <f t="shared" ca="1" si="4"/>
        <v>#N/A</v>
      </c>
      <c r="L40" s="7" t="e">
        <f ca="1">IF(B40&gt;0,SUM($F$2:F40)/(SUM($B$2:B40)-SUM($C$2:C40))/(SUM($I$2:I40)/(SUM($B$2:B40)-SUM($C$2:C40))),NA())</f>
        <v>#N/A</v>
      </c>
      <c r="M40" s="7" t="e">
        <f t="shared" ca="1" si="5"/>
        <v>#N/A</v>
      </c>
      <c r="N40" s="7" t="e">
        <f ca="1">IF(B40&gt;0,SUM($G$2:G40)/SUM($F$2:F40),NA())</f>
        <v>#N/A</v>
      </c>
      <c r="O40" s="7" t="e">
        <f t="shared" ca="1" si="6"/>
        <v>#N/A</v>
      </c>
      <c r="P40" s="7" t="e">
        <f t="shared" ca="1" si="7"/>
        <v>#N/A</v>
      </c>
      <c r="Q40" s="5"/>
      <c r="Z40" s="1"/>
      <c r="AA40" s="1"/>
      <c r="AB40" s="1"/>
      <c r="AC40" s="1"/>
      <c r="AD40" s="1"/>
      <c r="AE40" s="1"/>
      <c r="AF40" s="1"/>
      <c r="AG40" s="1"/>
      <c r="AH40" s="1"/>
      <c r="AI40" s="1"/>
      <c r="AJ40" s="1"/>
    </row>
    <row r="41" spans="1:36">
      <c r="A41" s="74">
        <f t="shared" ca="1" si="0"/>
        <v>44386</v>
      </c>
      <c r="B41" s="58">
        <f ca="1">IF(SUMIF('Master Log'!A:A,"&lt;="&amp;$C96,'Master Log'!K:K)&lt;&gt;0,(SUMIF('Master Log'!A:A,"&lt;="&amp;$C96,'Master Log'!K:K))-SUM($B$2:B40),0)</f>
        <v>0</v>
      </c>
      <c r="C41" s="58">
        <f ca="1">IF(SUMIF('Master Log'!A:A,"&lt;="&amp;$C96,'Master Log'!L:L)&lt;&gt;0,(SUMIF('Master Log'!A:A,"&lt;="&amp;$C96,'Master Log'!L:L))-SUM($C$2:C40),0)</f>
        <v>0</v>
      </c>
      <c r="D41" s="7" t="e">
        <f t="shared" ca="1" si="1"/>
        <v>#N/A</v>
      </c>
      <c r="E41" s="7" t="e">
        <f ca="1">IF(B41&gt;0,(SUM($B$2:B41)-SUM($C$2:C41))/SUM($B$2:B41),NA())</f>
        <v>#N/A</v>
      </c>
      <c r="F41" s="6">
        <f ca="1">IF(SUMIF('Master Log'!A:A,"&lt;="&amp;$C96,'Master Log'!Q:Q)&lt;&gt;0,(SUMIF('Master Log'!A:A,"&lt;="&amp;$C96,'Master Log'!Q:Q))-SUM($F$2:F40),0)</f>
        <v>0</v>
      </c>
      <c r="G41" s="6">
        <f ca="1">IF(SUMIF('Master Log'!A:A,"&lt;="&amp;$C96,'Master Log'!O:O)&lt;&gt;0,(SUMIF('Master Log'!A:A,"&lt;="&amp;$C96,'Master Log'!O:O))-SUM($G$2:G40),0)</f>
        <v>0</v>
      </c>
      <c r="H41" s="58" t="e">
        <f t="shared" ca="1" si="2"/>
        <v>#N/A</v>
      </c>
      <c r="I41" s="58">
        <f ca="1">IF(SUMIF('Master Log'!A:A,"&lt;="&amp;$C96,'Master Log'!P:P)&lt;&gt;0,(SUMIF('Master Log'!A:A,"&lt;="&amp;$C96,'Master Log'!P:P))-SUM($I$2:I40),0)</f>
        <v>0</v>
      </c>
      <c r="J41" s="58" t="e">
        <f t="shared" ca="1" si="3"/>
        <v>#N/A</v>
      </c>
      <c r="K41" s="7" t="e">
        <f t="shared" ca="1" si="4"/>
        <v>#N/A</v>
      </c>
      <c r="L41" s="7" t="e">
        <f ca="1">IF(B41&gt;0,SUM($F$2:F41)/(SUM($B$2:B41)-SUM($C$2:C41))/(SUM($I$2:I41)/(SUM($B$2:B41)-SUM($C$2:C41))),NA())</f>
        <v>#N/A</v>
      </c>
      <c r="M41" s="7" t="e">
        <f t="shared" ca="1" si="5"/>
        <v>#N/A</v>
      </c>
      <c r="N41" s="7" t="e">
        <f ca="1">IF(B41&gt;0,SUM($G$2:G41)/SUM($F$2:F41),NA())</f>
        <v>#N/A</v>
      </c>
      <c r="O41" s="7" t="e">
        <f t="shared" ca="1" si="6"/>
        <v>#N/A</v>
      </c>
      <c r="P41" s="7" t="e">
        <f t="shared" ca="1" si="7"/>
        <v>#N/A</v>
      </c>
      <c r="Q41" s="5"/>
      <c r="Z41" s="1"/>
      <c r="AA41" s="1"/>
      <c r="AB41" s="1"/>
      <c r="AC41" s="1"/>
      <c r="AD41" s="1"/>
      <c r="AE41" s="1"/>
      <c r="AF41" s="1"/>
      <c r="AG41" s="1"/>
      <c r="AH41" s="1"/>
      <c r="AI41" s="1"/>
      <c r="AJ41" s="1"/>
    </row>
    <row r="42" spans="1:36">
      <c r="A42" s="74">
        <f t="shared" ca="1" si="0"/>
        <v>44393</v>
      </c>
      <c r="B42" s="58">
        <f ca="1">IF(SUMIF('Master Log'!A:A,"&lt;="&amp;$C97,'Master Log'!K:K)&lt;&gt;0,(SUMIF('Master Log'!A:A,"&lt;="&amp;$C97,'Master Log'!K:K))-SUM($B$2:B41),0)</f>
        <v>0</v>
      </c>
      <c r="C42" s="58">
        <f ca="1">IF(SUMIF('Master Log'!A:A,"&lt;="&amp;$C97,'Master Log'!L:L)&lt;&gt;0,(SUMIF('Master Log'!A:A,"&lt;="&amp;$C97,'Master Log'!L:L))-SUM($C$2:C41),0)</f>
        <v>0</v>
      </c>
      <c r="D42" s="7" t="e">
        <f t="shared" ca="1" si="1"/>
        <v>#N/A</v>
      </c>
      <c r="E42" s="7" t="e">
        <f ca="1">IF(B42&gt;0,(SUM($B$2:B42)-SUM($C$2:C42))/SUM($B$2:B42),NA())</f>
        <v>#N/A</v>
      </c>
      <c r="F42" s="6">
        <f ca="1">IF(SUMIF('Master Log'!A:A,"&lt;="&amp;$C97,'Master Log'!Q:Q)&lt;&gt;0,(SUMIF('Master Log'!A:A,"&lt;="&amp;$C97,'Master Log'!Q:Q))-SUM($F$2:F41),0)</f>
        <v>0</v>
      </c>
      <c r="G42" s="6">
        <f ca="1">IF(SUMIF('Master Log'!A:A,"&lt;="&amp;$C97,'Master Log'!O:O)&lt;&gt;0,(SUMIF('Master Log'!A:A,"&lt;="&amp;$C97,'Master Log'!O:O))-SUM($G$2:G41),0)</f>
        <v>0</v>
      </c>
      <c r="H42" s="58" t="e">
        <f t="shared" ca="1" si="2"/>
        <v>#N/A</v>
      </c>
      <c r="I42" s="58">
        <f ca="1">IF(SUMIF('Master Log'!A:A,"&lt;="&amp;$C97,'Master Log'!P:P)&lt;&gt;0,(SUMIF('Master Log'!A:A,"&lt;="&amp;$C97,'Master Log'!P:P))-SUM($I$2:I41),0)</f>
        <v>0</v>
      </c>
      <c r="J42" s="58" t="e">
        <f t="shared" ca="1" si="3"/>
        <v>#N/A</v>
      </c>
      <c r="K42" s="7" t="e">
        <f t="shared" ca="1" si="4"/>
        <v>#N/A</v>
      </c>
      <c r="L42" s="7" t="e">
        <f ca="1">IF(B42&gt;0,SUM($F$2:F42)/(SUM($B$2:B42)-SUM($C$2:C42))/(SUM($I$2:I42)/(SUM($B$2:B42)-SUM($C$2:C42))),NA())</f>
        <v>#N/A</v>
      </c>
      <c r="M42" s="7" t="e">
        <f t="shared" ca="1" si="5"/>
        <v>#N/A</v>
      </c>
      <c r="N42" s="7" t="e">
        <f ca="1">IF(B42&gt;0,SUM($G$2:G42)/SUM($F$2:F42),NA())</f>
        <v>#N/A</v>
      </c>
      <c r="O42" s="7" t="e">
        <f t="shared" ca="1" si="6"/>
        <v>#N/A</v>
      </c>
      <c r="P42" s="7" t="e">
        <f t="shared" ca="1" si="7"/>
        <v>#N/A</v>
      </c>
      <c r="Q42" s="5"/>
      <c r="Z42" s="1"/>
      <c r="AA42" s="1"/>
      <c r="AB42" s="1"/>
      <c r="AC42" s="1"/>
      <c r="AD42" s="1"/>
      <c r="AE42" s="1"/>
      <c r="AF42" s="1"/>
      <c r="AG42" s="1"/>
      <c r="AH42" s="1"/>
      <c r="AI42" s="1"/>
      <c r="AJ42" s="1"/>
    </row>
    <row r="43" spans="1:36">
      <c r="A43" s="74">
        <f t="shared" ca="1" si="0"/>
        <v>44400</v>
      </c>
      <c r="B43" s="58">
        <f ca="1">IF(SUMIF('Master Log'!A:A,"&lt;="&amp;$C98,'Master Log'!K:K)&lt;&gt;0,(SUMIF('Master Log'!A:A,"&lt;="&amp;$C98,'Master Log'!K:K))-SUM($B$2:B42),0)</f>
        <v>0</v>
      </c>
      <c r="C43" s="58">
        <f ca="1">IF(SUMIF('Master Log'!A:A,"&lt;="&amp;$C98,'Master Log'!L:L)&lt;&gt;0,(SUMIF('Master Log'!A:A,"&lt;="&amp;$C98,'Master Log'!L:L))-SUM($C$2:C42),0)</f>
        <v>0</v>
      </c>
      <c r="D43" s="7" t="e">
        <f t="shared" ca="1" si="1"/>
        <v>#N/A</v>
      </c>
      <c r="E43" s="7" t="e">
        <f ca="1">IF(B43&gt;0,(SUM($B$2:B43)-SUM($C$2:C43))/SUM($B$2:B43),NA())</f>
        <v>#N/A</v>
      </c>
      <c r="F43" s="6">
        <f ca="1">IF(SUMIF('Master Log'!A:A,"&lt;="&amp;$C98,'Master Log'!Q:Q)&lt;&gt;0,(SUMIF('Master Log'!A:A,"&lt;="&amp;$C98,'Master Log'!Q:Q))-SUM($F$2:F42),0)</f>
        <v>0</v>
      </c>
      <c r="G43" s="6">
        <f ca="1">IF(SUMIF('Master Log'!A:A,"&lt;="&amp;$C98,'Master Log'!O:O)&lt;&gt;0,(SUMIF('Master Log'!A:A,"&lt;="&amp;$C98,'Master Log'!O:O))-SUM($G$2:G42),0)</f>
        <v>0</v>
      </c>
      <c r="H43" s="58" t="e">
        <f t="shared" ca="1" si="2"/>
        <v>#N/A</v>
      </c>
      <c r="I43" s="58">
        <f ca="1">IF(SUMIF('Master Log'!A:A,"&lt;="&amp;$C98,'Master Log'!P:P)&lt;&gt;0,(SUMIF('Master Log'!A:A,"&lt;="&amp;$C98,'Master Log'!P:P))-SUM($I$2:I42),0)</f>
        <v>0</v>
      </c>
      <c r="J43" s="58" t="e">
        <f t="shared" ca="1" si="3"/>
        <v>#N/A</v>
      </c>
      <c r="K43" s="7" t="e">
        <f t="shared" ca="1" si="4"/>
        <v>#N/A</v>
      </c>
      <c r="L43" s="7" t="e">
        <f ca="1">IF(B43&gt;0,SUM($F$2:F43)/(SUM($B$2:B43)-SUM($C$2:C43))/(SUM($I$2:I43)/(SUM($B$2:B43)-SUM($C$2:C43))),NA())</f>
        <v>#N/A</v>
      </c>
      <c r="M43" s="7" t="e">
        <f t="shared" ca="1" si="5"/>
        <v>#N/A</v>
      </c>
      <c r="N43" s="7" t="e">
        <f ca="1">IF(B43&gt;0,SUM($G$2:G43)/SUM($F$2:F43),NA())</f>
        <v>#N/A</v>
      </c>
      <c r="O43" s="7" t="e">
        <f t="shared" ca="1" si="6"/>
        <v>#N/A</v>
      </c>
      <c r="P43" s="7" t="e">
        <f t="shared" ca="1" si="7"/>
        <v>#N/A</v>
      </c>
      <c r="Q43" s="5"/>
      <c r="Z43" s="1"/>
      <c r="AA43" s="1"/>
      <c r="AB43" s="1"/>
      <c r="AC43" s="1"/>
      <c r="AD43" s="1"/>
      <c r="AE43" s="1"/>
      <c r="AF43" s="1"/>
      <c r="AG43" s="1"/>
      <c r="AH43" s="1"/>
      <c r="AI43" s="1"/>
      <c r="AJ43" s="1"/>
    </row>
    <row r="44" spans="1:36">
      <c r="A44" s="74">
        <f t="shared" ca="1" si="0"/>
        <v>44407</v>
      </c>
      <c r="B44" s="58">
        <f ca="1">IF(SUMIF('Master Log'!A:A,"&lt;="&amp;$C99,'Master Log'!K:K)&lt;&gt;0,(SUMIF('Master Log'!A:A,"&lt;="&amp;$C99,'Master Log'!K:K))-SUM($B$2:B43),0)</f>
        <v>0</v>
      </c>
      <c r="C44" s="58">
        <f ca="1">IF(SUMIF('Master Log'!A:A,"&lt;="&amp;$C99,'Master Log'!L:L)&lt;&gt;0,(SUMIF('Master Log'!A:A,"&lt;="&amp;$C99,'Master Log'!L:L))-SUM($C$2:C43),0)</f>
        <v>0</v>
      </c>
      <c r="D44" s="7" t="e">
        <f t="shared" ca="1" si="1"/>
        <v>#N/A</v>
      </c>
      <c r="E44" s="7" t="e">
        <f ca="1">IF(B44&gt;0,(SUM($B$2:B44)-SUM($C$2:C44))/SUM($B$2:B44),NA())</f>
        <v>#N/A</v>
      </c>
      <c r="F44" s="6">
        <f ca="1">IF(SUMIF('Master Log'!A:A,"&lt;="&amp;$C99,'Master Log'!Q:Q)&lt;&gt;0,(SUMIF('Master Log'!A:A,"&lt;="&amp;$C99,'Master Log'!Q:Q))-SUM($F$2:F43),0)</f>
        <v>0</v>
      </c>
      <c r="G44" s="6">
        <f ca="1">IF(SUMIF('Master Log'!A:A,"&lt;="&amp;$C99,'Master Log'!O:O)&lt;&gt;0,(SUMIF('Master Log'!A:A,"&lt;="&amp;$C99,'Master Log'!O:O))-SUM($G$2:G43),0)</f>
        <v>0</v>
      </c>
      <c r="H44" s="58" t="e">
        <f t="shared" ca="1" si="2"/>
        <v>#N/A</v>
      </c>
      <c r="I44" s="58">
        <f ca="1">IF(SUMIF('Master Log'!A:A,"&lt;="&amp;$C99,'Master Log'!P:P)&lt;&gt;0,(SUMIF('Master Log'!A:A,"&lt;="&amp;$C99,'Master Log'!P:P))-SUM($I$2:I43),0)</f>
        <v>0</v>
      </c>
      <c r="J44" s="58" t="e">
        <f t="shared" ca="1" si="3"/>
        <v>#N/A</v>
      </c>
      <c r="K44" s="7" t="e">
        <f t="shared" ca="1" si="4"/>
        <v>#N/A</v>
      </c>
      <c r="L44" s="7" t="e">
        <f ca="1">IF(B44&gt;0,SUM($F$2:F44)/(SUM($B$2:B44)-SUM($C$2:C44))/(SUM($I$2:I44)/(SUM($B$2:B44)-SUM($C$2:C44))),NA())</f>
        <v>#N/A</v>
      </c>
      <c r="M44" s="7" t="e">
        <f t="shared" ca="1" si="5"/>
        <v>#N/A</v>
      </c>
      <c r="N44" s="7" t="e">
        <f ca="1">IF(B44&gt;0,SUM($G$2:G44)/SUM($F$2:F44),NA())</f>
        <v>#N/A</v>
      </c>
      <c r="O44" s="7" t="e">
        <f t="shared" ca="1" si="6"/>
        <v>#N/A</v>
      </c>
      <c r="P44" s="7" t="e">
        <f t="shared" ca="1" si="7"/>
        <v>#N/A</v>
      </c>
      <c r="Q44" s="5"/>
      <c r="Z44" s="1"/>
      <c r="AA44" s="1"/>
      <c r="AB44" s="1"/>
      <c r="AC44" s="1"/>
      <c r="AD44" s="1"/>
      <c r="AE44" s="1"/>
      <c r="AF44" s="1"/>
      <c r="AG44" s="1"/>
      <c r="AH44" s="1"/>
      <c r="AI44" s="1"/>
      <c r="AJ44" s="1"/>
    </row>
    <row r="45" spans="1:36">
      <c r="A45" s="74">
        <f t="shared" ca="1" si="0"/>
        <v>44414</v>
      </c>
      <c r="B45" s="58">
        <f ca="1">IF(SUMIF('Master Log'!A:A,"&lt;="&amp;$C100,'Master Log'!K:K)&lt;&gt;0,(SUMIF('Master Log'!A:A,"&lt;="&amp;$C100,'Master Log'!K:K))-SUM($B$2:B44),0)</f>
        <v>0</v>
      </c>
      <c r="C45" s="58">
        <f ca="1">IF(SUMIF('Master Log'!A:A,"&lt;="&amp;$C100,'Master Log'!L:L)&lt;&gt;0,(SUMIF('Master Log'!A:A,"&lt;="&amp;$C100,'Master Log'!L:L))-SUM($C$2:C44),0)</f>
        <v>0</v>
      </c>
      <c r="D45" s="7" t="e">
        <f t="shared" ca="1" si="1"/>
        <v>#N/A</v>
      </c>
      <c r="E45" s="7" t="e">
        <f ca="1">IF(B45&gt;0,(SUM($B$2:B45)-SUM($C$2:C45))/SUM($B$2:B45),NA())</f>
        <v>#N/A</v>
      </c>
      <c r="F45" s="6">
        <f ca="1">IF(SUMIF('Master Log'!A:A,"&lt;="&amp;$C100,'Master Log'!Q:Q)&lt;&gt;0,(SUMIF('Master Log'!A:A,"&lt;="&amp;$C100,'Master Log'!Q:Q))-SUM($F$2:F44),0)</f>
        <v>0</v>
      </c>
      <c r="G45" s="6">
        <f ca="1">IF(SUMIF('Master Log'!A:A,"&lt;="&amp;$C100,'Master Log'!O:O)&lt;&gt;0,(SUMIF('Master Log'!A:A,"&lt;="&amp;$C100,'Master Log'!O:O))-SUM($G$2:G44),0)</f>
        <v>0</v>
      </c>
      <c r="H45" s="58" t="e">
        <f t="shared" ca="1" si="2"/>
        <v>#N/A</v>
      </c>
      <c r="I45" s="58">
        <f ca="1">IF(SUMIF('Master Log'!A:A,"&lt;="&amp;$C100,'Master Log'!P:P)&lt;&gt;0,(SUMIF('Master Log'!A:A,"&lt;="&amp;$C100,'Master Log'!P:P))-SUM($I$2:I44),0)</f>
        <v>0</v>
      </c>
      <c r="J45" s="58" t="e">
        <f t="shared" ca="1" si="3"/>
        <v>#N/A</v>
      </c>
      <c r="K45" s="7" t="e">
        <f t="shared" ca="1" si="4"/>
        <v>#N/A</v>
      </c>
      <c r="L45" s="7" t="e">
        <f ca="1">IF(B45&gt;0,SUM($F$2:F45)/(SUM($B$2:B45)-SUM($C$2:C45))/(SUM($I$2:I45)/(SUM($B$2:B45)-SUM($C$2:C45))),NA())</f>
        <v>#N/A</v>
      </c>
      <c r="M45" s="7" t="e">
        <f t="shared" ca="1" si="5"/>
        <v>#N/A</v>
      </c>
      <c r="N45" s="7" t="e">
        <f ca="1">IF(B45&gt;0,SUM($G$2:G45)/SUM($F$2:F45),NA())</f>
        <v>#N/A</v>
      </c>
      <c r="O45" s="7" t="e">
        <f t="shared" ca="1" si="6"/>
        <v>#N/A</v>
      </c>
      <c r="P45" s="7" t="e">
        <f t="shared" ca="1" si="7"/>
        <v>#N/A</v>
      </c>
      <c r="Q45" s="5"/>
      <c r="Z45" s="1"/>
      <c r="AA45" s="1"/>
      <c r="AB45" s="1"/>
      <c r="AC45" s="1"/>
      <c r="AD45" s="1"/>
      <c r="AE45" s="1"/>
      <c r="AF45" s="1"/>
      <c r="AG45" s="1"/>
      <c r="AH45" s="1"/>
      <c r="AI45" s="1"/>
      <c r="AJ45" s="1"/>
    </row>
    <row r="46" spans="1:36">
      <c r="A46" s="74">
        <f t="shared" ca="1" si="0"/>
        <v>44421</v>
      </c>
      <c r="B46" s="58">
        <f ca="1">IF(SUMIF('Master Log'!A:A,"&lt;="&amp;$C101,'Master Log'!K:K)&lt;&gt;0,(SUMIF('Master Log'!A:A,"&lt;="&amp;$C101,'Master Log'!K:K))-SUM($B$2:B45),0)</f>
        <v>0</v>
      </c>
      <c r="C46" s="58">
        <f ca="1">IF(SUMIF('Master Log'!A:A,"&lt;="&amp;$C101,'Master Log'!L:L)&lt;&gt;0,(SUMIF('Master Log'!A:A,"&lt;="&amp;$C101,'Master Log'!L:L))-SUM($C$2:C45),0)</f>
        <v>0</v>
      </c>
      <c r="D46" s="7" t="e">
        <f t="shared" ca="1" si="1"/>
        <v>#N/A</v>
      </c>
      <c r="E46" s="7" t="e">
        <f ca="1">IF(B46&gt;0,(SUM($B$2:B46)-SUM($C$2:C46))/SUM($B$2:B46),NA())</f>
        <v>#N/A</v>
      </c>
      <c r="F46" s="6">
        <f ca="1">IF(SUMIF('Master Log'!A:A,"&lt;="&amp;$C101,'Master Log'!Q:Q)&lt;&gt;0,(SUMIF('Master Log'!A:A,"&lt;="&amp;$C101,'Master Log'!Q:Q))-SUM($F$2:F45),0)</f>
        <v>0</v>
      </c>
      <c r="G46" s="6">
        <f ca="1">IF(SUMIF('Master Log'!A:A,"&lt;="&amp;$C101,'Master Log'!O:O)&lt;&gt;0,(SUMIF('Master Log'!A:A,"&lt;="&amp;$C101,'Master Log'!O:O))-SUM($G$2:G45),0)</f>
        <v>0</v>
      </c>
      <c r="H46" s="58" t="e">
        <f t="shared" ca="1" si="2"/>
        <v>#N/A</v>
      </c>
      <c r="I46" s="58">
        <f ca="1">IF(SUMIF('Master Log'!A:A,"&lt;="&amp;$C101,'Master Log'!P:P)&lt;&gt;0,(SUMIF('Master Log'!A:A,"&lt;="&amp;$C101,'Master Log'!P:P))-SUM($I$2:I45),0)</f>
        <v>0</v>
      </c>
      <c r="J46" s="58" t="e">
        <f t="shared" ca="1" si="3"/>
        <v>#N/A</v>
      </c>
      <c r="K46" s="7" t="e">
        <f t="shared" ca="1" si="4"/>
        <v>#N/A</v>
      </c>
      <c r="L46" s="7" t="e">
        <f ca="1">IF(B46&gt;0,SUM($F$2:F46)/(SUM($B$2:B46)-SUM($C$2:C46))/(SUM($I$2:I46)/(SUM($B$2:B46)-SUM($C$2:C46))),NA())</f>
        <v>#N/A</v>
      </c>
      <c r="M46" s="7" t="e">
        <f t="shared" ca="1" si="5"/>
        <v>#N/A</v>
      </c>
      <c r="N46" s="7" t="e">
        <f ca="1">IF(B46&gt;0,SUM($G$2:G46)/SUM($F$2:F46),NA())</f>
        <v>#N/A</v>
      </c>
      <c r="O46" s="7" t="e">
        <f t="shared" ca="1" si="6"/>
        <v>#N/A</v>
      </c>
      <c r="P46" s="7" t="e">
        <f t="shared" ca="1" si="7"/>
        <v>#N/A</v>
      </c>
      <c r="Q46" s="5"/>
      <c r="Z46" s="1"/>
      <c r="AA46" s="1"/>
      <c r="AB46" s="1"/>
      <c r="AC46" s="1"/>
      <c r="AD46" s="1"/>
      <c r="AE46" s="1"/>
      <c r="AF46" s="1"/>
      <c r="AG46" s="1"/>
      <c r="AH46" s="1"/>
      <c r="AI46" s="1"/>
      <c r="AJ46" s="1"/>
    </row>
    <row r="47" spans="1:36">
      <c r="A47" s="74">
        <f t="shared" ca="1" si="0"/>
        <v>44428</v>
      </c>
      <c r="B47" s="58">
        <f ca="1">IF(SUMIF('Master Log'!A:A,"&lt;="&amp;$C102,'Master Log'!K:K)&lt;&gt;0,(SUMIF('Master Log'!A:A,"&lt;="&amp;$C102,'Master Log'!K:K))-SUM($B$2:B46),0)</f>
        <v>0</v>
      </c>
      <c r="C47" s="58">
        <f ca="1">IF(SUMIF('Master Log'!A:A,"&lt;="&amp;$C102,'Master Log'!L:L)&lt;&gt;0,(SUMIF('Master Log'!A:A,"&lt;="&amp;$C102,'Master Log'!L:L))-SUM($C$2:C46),0)</f>
        <v>0</v>
      </c>
      <c r="D47" s="7" t="e">
        <f t="shared" ca="1" si="1"/>
        <v>#N/A</v>
      </c>
      <c r="E47" s="7" t="e">
        <f ca="1">IF(B47&gt;0,(SUM($B$2:B47)-SUM($C$2:C47))/SUM($B$2:B47),NA())</f>
        <v>#N/A</v>
      </c>
      <c r="F47" s="6">
        <f ca="1">IF(SUMIF('Master Log'!A:A,"&lt;="&amp;$C102,'Master Log'!Q:Q)&lt;&gt;0,(SUMIF('Master Log'!A:A,"&lt;="&amp;$C102,'Master Log'!Q:Q))-SUM($F$2:F46),0)</f>
        <v>0</v>
      </c>
      <c r="G47" s="6">
        <f ca="1">IF(SUMIF('Master Log'!A:A,"&lt;="&amp;$C102,'Master Log'!O:O)&lt;&gt;0,(SUMIF('Master Log'!A:A,"&lt;="&amp;$C102,'Master Log'!O:O))-SUM($G$2:G46),0)</f>
        <v>0</v>
      </c>
      <c r="H47" s="58" t="e">
        <f t="shared" ca="1" si="2"/>
        <v>#N/A</v>
      </c>
      <c r="I47" s="58">
        <f ca="1">IF(SUMIF('Master Log'!A:A,"&lt;="&amp;$C102,'Master Log'!P:P)&lt;&gt;0,(SUMIF('Master Log'!A:A,"&lt;="&amp;$C102,'Master Log'!P:P))-SUM($I$2:I46),0)</f>
        <v>0</v>
      </c>
      <c r="J47" s="58" t="e">
        <f t="shared" ca="1" si="3"/>
        <v>#N/A</v>
      </c>
      <c r="K47" s="7" t="e">
        <f t="shared" ca="1" si="4"/>
        <v>#N/A</v>
      </c>
      <c r="L47" s="7" t="e">
        <f ca="1">IF(B47&gt;0,SUM($F$2:F47)/(SUM($B$2:B47)-SUM($C$2:C47))/(SUM($I$2:I47)/(SUM($B$2:B47)-SUM($C$2:C47))),NA())</f>
        <v>#N/A</v>
      </c>
      <c r="M47" s="7" t="e">
        <f t="shared" ca="1" si="5"/>
        <v>#N/A</v>
      </c>
      <c r="N47" s="7" t="e">
        <f ca="1">IF(B47&gt;0,SUM($G$2:G47)/SUM($F$2:F47),NA())</f>
        <v>#N/A</v>
      </c>
      <c r="O47" s="7" t="e">
        <f t="shared" ca="1" si="6"/>
        <v>#N/A</v>
      </c>
      <c r="P47" s="7" t="e">
        <f t="shared" ca="1" si="7"/>
        <v>#N/A</v>
      </c>
      <c r="Q47" s="5"/>
      <c r="Z47" s="1"/>
      <c r="AA47" s="1"/>
      <c r="AB47" s="1"/>
      <c r="AC47" s="1"/>
      <c r="AD47" s="1"/>
      <c r="AE47" s="1"/>
      <c r="AF47" s="1"/>
      <c r="AG47" s="1"/>
      <c r="AH47" s="1"/>
      <c r="AI47" s="1"/>
      <c r="AJ47" s="1"/>
    </row>
    <row r="48" spans="1:36">
      <c r="A48" s="74">
        <f t="shared" ca="1" si="0"/>
        <v>44435</v>
      </c>
      <c r="B48" s="58">
        <f ca="1">IF(SUMIF('Master Log'!A:A,"&lt;="&amp;$C103,'Master Log'!K:K)&lt;&gt;0,(SUMIF('Master Log'!A:A,"&lt;="&amp;$C103,'Master Log'!K:K))-SUM($B$2:B47),0)</f>
        <v>0</v>
      </c>
      <c r="C48" s="58">
        <f ca="1">IF(SUMIF('Master Log'!A:A,"&lt;="&amp;$C103,'Master Log'!L:L)&lt;&gt;0,(SUMIF('Master Log'!A:A,"&lt;="&amp;$C103,'Master Log'!L:L))-SUM($C$2:C47),0)</f>
        <v>0</v>
      </c>
      <c r="D48" s="7" t="e">
        <f t="shared" ca="1" si="1"/>
        <v>#N/A</v>
      </c>
      <c r="E48" s="7" t="e">
        <f ca="1">IF(B48&gt;0,(SUM($B$2:B48)-SUM($C$2:C48))/SUM($B$2:B48),NA())</f>
        <v>#N/A</v>
      </c>
      <c r="F48" s="6">
        <f ca="1">IF(SUMIF('Master Log'!A:A,"&lt;="&amp;$C103,'Master Log'!Q:Q)&lt;&gt;0,(SUMIF('Master Log'!A:A,"&lt;="&amp;$C103,'Master Log'!Q:Q))-SUM($F$2:F47),0)</f>
        <v>0</v>
      </c>
      <c r="G48" s="6">
        <f ca="1">IF(SUMIF('Master Log'!A:A,"&lt;="&amp;$C103,'Master Log'!O:O)&lt;&gt;0,(SUMIF('Master Log'!A:A,"&lt;="&amp;$C103,'Master Log'!O:O))-SUM($G$2:G47),0)</f>
        <v>0</v>
      </c>
      <c r="H48" s="58" t="e">
        <f t="shared" ca="1" si="2"/>
        <v>#N/A</v>
      </c>
      <c r="I48" s="58">
        <f ca="1">IF(SUMIF('Master Log'!A:A,"&lt;="&amp;$C103,'Master Log'!P:P)&lt;&gt;0,(SUMIF('Master Log'!A:A,"&lt;="&amp;$C103,'Master Log'!P:P))-SUM($I$2:I47),0)</f>
        <v>0</v>
      </c>
      <c r="J48" s="58" t="e">
        <f t="shared" ca="1" si="3"/>
        <v>#N/A</v>
      </c>
      <c r="K48" s="7" t="e">
        <f t="shared" ca="1" si="4"/>
        <v>#N/A</v>
      </c>
      <c r="L48" s="7" t="e">
        <f ca="1">IF(B48&gt;0,SUM($F$2:F48)/(SUM($B$2:B48)-SUM($C$2:C48))/(SUM($I$2:I48)/(SUM($B$2:B48)-SUM($C$2:C48))),NA())</f>
        <v>#N/A</v>
      </c>
      <c r="M48" s="7" t="e">
        <f t="shared" ca="1" si="5"/>
        <v>#N/A</v>
      </c>
      <c r="N48" s="7" t="e">
        <f ca="1">IF(B48&gt;0,SUM($G$2:G48)/SUM($F$2:F48),NA())</f>
        <v>#N/A</v>
      </c>
      <c r="O48" s="7" t="e">
        <f t="shared" ca="1" si="6"/>
        <v>#N/A</v>
      </c>
      <c r="P48" s="7" t="e">
        <f t="shared" ca="1" si="7"/>
        <v>#N/A</v>
      </c>
      <c r="Q48" s="5"/>
      <c r="Z48" s="1"/>
      <c r="AA48" s="1"/>
      <c r="AB48" s="1"/>
      <c r="AC48" s="1"/>
      <c r="AD48" s="1"/>
      <c r="AE48" s="1"/>
      <c r="AF48" s="1"/>
      <c r="AG48" s="1"/>
      <c r="AH48" s="1"/>
      <c r="AI48" s="1"/>
      <c r="AJ48" s="1"/>
    </row>
    <row r="49" spans="1:36">
      <c r="A49" s="74">
        <f t="shared" ca="1" si="0"/>
        <v>44442</v>
      </c>
      <c r="B49" s="58">
        <f ca="1">IF(SUMIF('Master Log'!A:A,"&lt;="&amp;$C104,'Master Log'!K:K)&lt;&gt;0,(SUMIF('Master Log'!A:A,"&lt;="&amp;$C104,'Master Log'!K:K))-SUM($B$2:B48),0)</f>
        <v>0</v>
      </c>
      <c r="C49" s="58">
        <f ca="1">IF(SUMIF('Master Log'!A:A,"&lt;="&amp;$C104,'Master Log'!L:L)&lt;&gt;0,(SUMIF('Master Log'!A:A,"&lt;="&amp;$C104,'Master Log'!L:L))-SUM($C$2:C48),0)</f>
        <v>0</v>
      </c>
      <c r="D49" s="7" t="e">
        <f t="shared" ca="1" si="1"/>
        <v>#N/A</v>
      </c>
      <c r="E49" s="7" t="e">
        <f ca="1">IF(B49&gt;0,(SUM($B$2:B49)-SUM($C$2:C49))/SUM($B$2:B49),NA())</f>
        <v>#N/A</v>
      </c>
      <c r="F49" s="6">
        <f ca="1">IF(SUMIF('Master Log'!A:A,"&lt;="&amp;$C104,'Master Log'!Q:Q)&lt;&gt;0,(SUMIF('Master Log'!A:A,"&lt;="&amp;$C104,'Master Log'!Q:Q))-SUM($F$2:F48),0)</f>
        <v>0</v>
      </c>
      <c r="G49" s="6">
        <f ca="1">IF(SUMIF('Master Log'!A:A,"&lt;="&amp;$C104,'Master Log'!O:O)&lt;&gt;0,(SUMIF('Master Log'!A:A,"&lt;="&amp;$C104,'Master Log'!O:O))-SUM($G$2:G48),0)</f>
        <v>0</v>
      </c>
      <c r="H49" s="58" t="e">
        <f t="shared" ca="1" si="2"/>
        <v>#N/A</v>
      </c>
      <c r="I49" s="58">
        <f ca="1">IF(SUMIF('Master Log'!A:A,"&lt;="&amp;$C104,'Master Log'!P:P)&lt;&gt;0,(SUMIF('Master Log'!A:A,"&lt;="&amp;$C104,'Master Log'!P:P))-SUM($I$2:I48),0)</f>
        <v>0</v>
      </c>
      <c r="J49" s="58" t="e">
        <f t="shared" ca="1" si="3"/>
        <v>#N/A</v>
      </c>
      <c r="K49" s="7" t="e">
        <f t="shared" ca="1" si="4"/>
        <v>#N/A</v>
      </c>
      <c r="L49" s="7" t="e">
        <f ca="1">IF(B49&gt;0,SUM($F$2:F49)/(SUM($B$2:B49)-SUM($C$2:C49))/(SUM($I$2:I49)/(SUM($B$2:B49)-SUM($C$2:C49))),NA())</f>
        <v>#N/A</v>
      </c>
      <c r="M49" s="7" t="e">
        <f t="shared" ca="1" si="5"/>
        <v>#N/A</v>
      </c>
      <c r="N49" s="7" t="e">
        <f ca="1">IF(B49&gt;0,SUM($G$2:G49)/SUM($F$2:F49),NA())</f>
        <v>#N/A</v>
      </c>
      <c r="O49" s="7" t="e">
        <f t="shared" ca="1" si="6"/>
        <v>#N/A</v>
      </c>
      <c r="P49" s="7" t="e">
        <f t="shared" ca="1" si="7"/>
        <v>#N/A</v>
      </c>
      <c r="Q49" s="5"/>
      <c r="Z49" s="1"/>
      <c r="AA49" s="1"/>
      <c r="AB49" s="1"/>
      <c r="AC49" s="1"/>
      <c r="AD49" s="1"/>
      <c r="AE49" s="1"/>
      <c r="AF49" s="1"/>
      <c r="AG49" s="1"/>
      <c r="AH49" s="1"/>
      <c r="AI49" s="1"/>
      <c r="AJ49" s="1"/>
    </row>
    <row r="50" spans="1:36">
      <c r="A50" s="74">
        <f t="shared" ca="1" si="0"/>
        <v>44449</v>
      </c>
      <c r="B50" s="58">
        <f ca="1">IF(SUMIF('Master Log'!A:A,"&lt;="&amp;$C105,'Master Log'!K:K)&lt;&gt;0,(SUMIF('Master Log'!A:A,"&lt;="&amp;$C105,'Master Log'!K:K))-SUM($B$2:B49),0)</f>
        <v>0</v>
      </c>
      <c r="C50" s="58">
        <f ca="1">IF(SUMIF('Master Log'!A:A,"&lt;="&amp;$C105,'Master Log'!L:L)&lt;&gt;0,(SUMIF('Master Log'!A:A,"&lt;="&amp;$C105,'Master Log'!L:L))-SUM($C$2:C49),0)</f>
        <v>0</v>
      </c>
      <c r="D50" s="7" t="e">
        <f t="shared" ca="1" si="1"/>
        <v>#N/A</v>
      </c>
      <c r="E50" s="7" t="e">
        <f ca="1">IF(B50&gt;0,(SUM($B$2:B50)-SUM($C$2:C50))/SUM($B$2:B50),NA())</f>
        <v>#N/A</v>
      </c>
      <c r="F50" s="6">
        <f ca="1">IF(SUMIF('Master Log'!A:A,"&lt;="&amp;$C105,'Master Log'!Q:Q)&lt;&gt;0,(SUMIF('Master Log'!A:A,"&lt;="&amp;$C105,'Master Log'!Q:Q))-SUM($F$2:F49),0)</f>
        <v>0</v>
      </c>
      <c r="G50" s="6">
        <f ca="1">IF(SUMIF('Master Log'!A:A,"&lt;="&amp;$C105,'Master Log'!O:O)&lt;&gt;0,(SUMIF('Master Log'!A:A,"&lt;="&amp;$C105,'Master Log'!O:O))-SUM($G$2:G49),0)</f>
        <v>0</v>
      </c>
      <c r="H50" s="58" t="e">
        <f t="shared" ca="1" si="2"/>
        <v>#N/A</v>
      </c>
      <c r="I50" s="58">
        <f ca="1">IF(SUMIF('Master Log'!A:A,"&lt;="&amp;$C105,'Master Log'!P:P)&lt;&gt;0,(SUMIF('Master Log'!A:A,"&lt;="&amp;$C105,'Master Log'!P:P))-SUM($I$2:I49),0)</f>
        <v>0</v>
      </c>
      <c r="J50" s="58" t="e">
        <f t="shared" ca="1" si="3"/>
        <v>#N/A</v>
      </c>
      <c r="K50" s="7" t="e">
        <f t="shared" ca="1" si="4"/>
        <v>#N/A</v>
      </c>
      <c r="L50" s="7" t="e">
        <f ca="1">IF(B50&gt;0,SUM($F$2:F50)/(SUM($B$2:B50)-SUM($C$2:C50))/(SUM($I$2:I50)/(SUM($B$2:B50)-SUM($C$2:C50))),NA())</f>
        <v>#N/A</v>
      </c>
      <c r="M50" s="7" t="e">
        <f t="shared" ca="1" si="5"/>
        <v>#N/A</v>
      </c>
      <c r="N50" s="7" t="e">
        <f ca="1">IF(B50&gt;0,SUM($G$2:G50)/SUM($F$2:F50),NA())</f>
        <v>#N/A</v>
      </c>
      <c r="O50" s="7" t="e">
        <f t="shared" ca="1" si="6"/>
        <v>#N/A</v>
      </c>
      <c r="P50" s="7" t="e">
        <f t="shared" ca="1" si="7"/>
        <v>#N/A</v>
      </c>
      <c r="Q50" s="5"/>
      <c r="Z50" s="1"/>
      <c r="AA50" s="1"/>
      <c r="AB50" s="1"/>
      <c r="AC50" s="1"/>
      <c r="AD50" s="1"/>
      <c r="AE50" s="1"/>
      <c r="AF50" s="1"/>
      <c r="AG50" s="1"/>
      <c r="AH50" s="1"/>
      <c r="AI50" s="1"/>
      <c r="AJ50" s="1"/>
    </row>
    <row r="51" spans="1:36">
      <c r="A51" s="74">
        <f t="shared" ca="1" si="0"/>
        <v>44456</v>
      </c>
      <c r="B51" s="58">
        <f ca="1">IF(SUMIF('Master Log'!A:A,"&lt;="&amp;$C106,'Master Log'!K:K)&lt;&gt;0,(SUMIF('Master Log'!A:A,"&lt;="&amp;$C106,'Master Log'!K:K))-SUM($B$2:B50),0)</f>
        <v>0</v>
      </c>
      <c r="C51" s="58">
        <f ca="1">IF(SUMIF('Master Log'!A:A,"&lt;="&amp;$C106,'Master Log'!L:L)&lt;&gt;0,(SUMIF('Master Log'!A:A,"&lt;="&amp;$C106,'Master Log'!L:L))-SUM($C$2:C50),0)</f>
        <v>0</v>
      </c>
      <c r="D51" s="7" t="e">
        <f t="shared" ca="1" si="1"/>
        <v>#N/A</v>
      </c>
      <c r="E51" s="7" t="e">
        <f ca="1">IF(B51&gt;0,(SUM($B$2:B51)-SUM($C$2:C51))/SUM($B$2:B51),NA())</f>
        <v>#N/A</v>
      </c>
      <c r="F51" s="6">
        <f ca="1">IF(SUMIF('Master Log'!A:A,"&lt;="&amp;$C106,'Master Log'!Q:Q)&lt;&gt;0,(SUMIF('Master Log'!A:A,"&lt;="&amp;$C106,'Master Log'!Q:Q))-SUM($F$2:F50),0)</f>
        <v>0</v>
      </c>
      <c r="G51" s="6">
        <f ca="1">IF(SUMIF('Master Log'!A:A,"&lt;="&amp;$C106,'Master Log'!O:O)&lt;&gt;0,(SUMIF('Master Log'!A:A,"&lt;="&amp;$C106,'Master Log'!O:O))-SUM($G$2:G50),0)</f>
        <v>0</v>
      </c>
      <c r="H51" s="58" t="e">
        <f t="shared" ca="1" si="2"/>
        <v>#N/A</v>
      </c>
      <c r="I51" s="58">
        <f ca="1">IF(SUMIF('Master Log'!A:A,"&lt;="&amp;$C106,'Master Log'!P:P)&lt;&gt;0,(SUMIF('Master Log'!A:A,"&lt;="&amp;$C106,'Master Log'!P:P))-SUM($I$2:I50),0)</f>
        <v>0</v>
      </c>
      <c r="J51" s="58" t="e">
        <f t="shared" ca="1" si="3"/>
        <v>#N/A</v>
      </c>
      <c r="K51" s="7" t="e">
        <f t="shared" ca="1" si="4"/>
        <v>#N/A</v>
      </c>
      <c r="L51" s="7" t="e">
        <f ca="1">IF(B51&gt;0,SUM($F$2:F51)/(SUM($B$2:B51)-SUM($C$2:C51))/(SUM($I$2:I51)/(SUM($B$2:B51)-SUM($C$2:C51))),NA())</f>
        <v>#N/A</v>
      </c>
      <c r="M51" s="7" t="e">
        <f t="shared" ca="1" si="5"/>
        <v>#N/A</v>
      </c>
      <c r="N51" s="7" t="e">
        <f ca="1">IF(B51&gt;0,SUM($G$2:G51)/SUM($F$2:F51),NA())</f>
        <v>#N/A</v>
      </c>
      <c r="O51" s="7" t="e">
        <f t="shared" ca="1" si="6"/>
        <v>#N/A</v>
      </c>
      <c r="P51" s="7" t="e">
        <f t="shared" ca="1" si="7"/>
        <v>#N/A</v>
      </c>
      <c r="Q51" s="5"/>
      <c r="Z51" s="1"/>
      <c r="AA51" s="1"/>
      <c r="AB51" s="1"/>
      <c r="AC51" s="1"/>
      <c r="AD51" s="1"/>
      <c r="AE51" s="1"/>
      <c r="AF51" s="1"/>
      <c r="AG51" s="1"/>
      <c r="AH51" s="1"/>
      <c r="AI51" s="1"/>
      <c r="AJ51" s="1"/>
    </row>
    <row r="52" spans="1:36">
      <c r="A52" s="74">
        <f t="shared" ca="1" si="0"/>
        <v>44463</v>
      </c>
      <c r="B52" s="58">
        <f ca="1">IF(SUMIF('Master Log'!A:A,"&lt;="&amp;$C107,'Master Log'!K:K)&lt;&gt;0,(SUMIF('Master Log'!A:A,"&lt;="&amp;$C107,'Master Log'!K:K))-SUM($B$2:B51),0)</f>
        <v>0</v>
      </c>
      <c r="C52" s="58">
        <f ca="1">IF(SUMIF('Master Log'!A:A,"&lt;="&amp;$C107,'Master Log'!L:L)&lt;&gt;0,(SUMIF('Master Log'!A:A,"&lt;="&amp;$C107,'Master Log'!L:L))-SUM($C$2:C51),0)</f>
        <v>0</v>
      </c>
      <c r="D52" s="7" t="e">
        <f t="shared" ca="1" si="1"/>
        <v>#N/A</v>
      </c>
      <c r="E52" s="7" t="e">
        <f ca="1">IF(B52&gt;0,(SUM($B$2:B52)-SUM($C$2:C52))/SUM($B$2:B52),NA())</f>
        <v>#N/A</v>
      </c>
      <c r="F52" s="6">
        <f ca="1">IF(SUMIF('Master Log'!A:A,"&lt;="&amp;$C107,'Master Log'!Q:Q)&lt;&gt;0,(SUMIF('Master Log'!A:A,"&lt;="&amp;$C107,'Master Log'!Q:Q))-SUM($F$2:F51),0)</f>
        <v>0</v>
      </c>
      <c r="G52" s="6">
        <f ca="1">IF(SUMIF('Master Log'!A:A,"&lt;="&amp;$C107,'Master Log'!O:O)&lt;&gt;0,(SUMIF('Master Log'!A:A,"&lt;="&amp;$C107,'Master Log'!O:O))-SUM($G$2:G51),0)</f>
        <v>0</v>
      </c>
      <c r="H52" s="58" t="e">
        <f t="shared" ca="1" si="2"/>
        <v>#N/A</v>
      </c>
      <c r="I52" s="58">
        <f ca="1">IF(SUMIF('Master Log'!A:A,"&lt;="&amp;$C107,'Master Log'!P:P)&lt;&gt;0,(SUMIF('Master Log'!A:A,"&lt;="&amp;$C107,'Master Log'!P:P))-SUM($I$2:I51),0)</f>
        <v>0</v>
      </c>
      <c r="J52" s="58" t="e">
        <f t="shared" ca="1" si="3"/>
        <v>#N/A</v>
      </c>
      <c r="K52" s="7" t="e">
        <f t="shared" ca="1" si="4"/>
        <v>#N/A</v>
      </c>
      <c r="L52" s="7" t="e">
        <f ca="1">IF(B52&gt;0,SUM($F$2:F52)/(SUM($B$2:B52)-SUM($C$2:C52))/(SUM($I$2:I52)/(SUM($B$2:B52)-SUM($C$2:C52))),NA())</f>
        <v>#N/A</v>
      </c>
      <c r="M52" s="7" t="e">
        <f t="shared" ca="1" si="5"/>
        <v>#N/A</v>
      </c>
      <c r="N52" s="7" t="e">
        <f ca="1">IF(B52&gt;0,SUM($G$2:G52)/SUM($F$2:F52),NA())</f>
        <v>#N/A</v>
      </c>
      <c r="O52" s="7" t="e">
        <f t="shared" ca="1" si="6"/>
        <v>#N/A</v>
      </c>
      <c r="P52" s="7" t="e">
        <f t="shared" ca="1" si="7"/>
        <v>#N/A</v>
      </c>
      <c r="Q52" s="5"/>
      <c r="Z52" s="1"/>
      <c r="AA52" s="1"/>
      <c r="AB52" s="1"/>
      <c r="AC52" s="1"/>
      <c r="AD52" s="1"/>
      <c r="AE52" s="1"/>
      <c r="AF52" s="1"/>
      <c r="AG52" s="1"/>
      <c r="AH52" s="1"/>
      <c r="AI52" s="1"/>
      <c r="AJ52" s="1"/>
    </row>
    <row r="53" spans="1:36">
      <c r="A53" s="74">
        <f t="shared" ca="1" si="0"/>
        <v>44470</v>
      </c>
      <c r="B53" s="58">
        <f ca="1">IF(SUMIF('Master Log'!A:A,"&lt;="&amp;$C108,'Master Log'!K:K)&lt;&gt;0,(SUMIF('Master Log'!A:A,"&lt;="&amp;$C108,'Master Log'!K:K))-SUM($B$2:B52),0)</f>
        <v>0</v>
      </c>
      <c r="C53" s="58">
        <f ca="1">IF(SUMIF('Master Log'!A:A,"&lt;="&amp;$C108,'Master Log'!L:L)&lt;&gt;0,(SUMIF('Master Log'!A:A,"&lt;="&amp;$C108,'Master Log'!L:L))-SUM($C$2:C52),0)</f>
        <v>0</v>
      </c>
      <c r="D53" s="7" t="e">
        <f t="shared" ca="1" si="1"/>
        <v>#N/A</v>
      </c>
      <c r="E53" s="7" t="e">
        <f ca="1">IF(B53&gt;0,(SUM($B$2:B53)-SUM($C$2:C53))/SUM($B$2:B53),NA())</f>
        <v>#N/A</v>
      </c>
      <c r="F53" s="6">
        <f ca="1">IF(SUMIF('Master Log'!A:A,"&lt;="&amp;$C108,'Master Log'!Q:Q)&lt;&gt;0,(SUMIF('Master Log'!A:A,"&lt;="&amp;$C108,'Master Log'!Q:Q))-SUM($F$2:F52),0)</f>
        <v>0</v>
      </c>
      <c r="G53" s="6">
        <f ca="1">IF(SUMIF('Master Log'!A:A,"&lt;="&amp;$C108,'Master Log'!O:O)&lt;&gt;0,(SUMIF('Master Log'!A:A,"&lt;="&amp;$C108,'Master Log'!O:O))-SUM($G$2:G52),0)</f>
        <v>0</v>
      </c>
      <c r="H53" s="58" t="e">
        <f t="shared" ca="1" si="2"/>
        <v>#N/A</v>
      </c>
      <c r="I53" s="58">
        <f ca="1">IF(SUMIF('Master Log'!A:A,"&lt;="&amp;$C108,'Master Log'!P:P)&lt;&gt;0,(SUMIF('Master Log'!A:A,"&lt;="&amp;$C108,'Master Log'!P:P))-SUM($I$2:I52),0)</f>
        <v>0</v>
      </c>
      <c r="J53" s="58" t="e">
        <f t="shared" ca="1" si="3"/>
        <v>#N/A</v>
      </c>
      <c r="K53" s="7" t="e">
        <f t="shared" ca="1" si="4"/>
        <v>#N/A</v>
      </c>
      <c r="L53" s="7" t="e">
        <f ca="1">IF(B53&gt;0,SUM($F$2:F53)/(SUM($B$2:B53)-SUM($C$2:C53))/(SUM($I$2:I53)/(SUM($B$2:B53)-SUM($C$2:C53))),NA())</f>
        <v>#N/A</v>
      </c>
      <c r="M53" s="7" t="e">
        <f t="shared" ca="1" si="5"/>
        <v>#N/A</v>
      </c>
      <c r="N53" s="7" t="e">
        <f ca="1">IF(B53&gt;0,SUM($G$2:G53)/SUM($F$2:F53),NA())</f>
        <v>#N/A</v>
      </c>
      <c r="O53" s="7" t="e">
        <f t="shared" ca="1" si="6"/>
        <v>#N/A</v>
      </c>
      <c r="P53" s="7" t="e">
        <f t="shared" ca="1" si="7"/>
        <v>#N/A</v>
      </c>
      <c r="Q53" s="5"/>
      <c r="Z53" s="1"/>
      <c r="AA53" s="1"/>
      <c r="AB53" s="1"/>
      <c r="AC53" s="1"/>
      <c r="AD53" s="1"/>
      <c r="AE53" s="1"/>
      <c r="AF53" s="1"/>
      <c r="AG53" s="1"/>
      <c r="AH53" s="1"/>
      <c r="AI53" s="1"/>
      <c r="AJ53" s="1"/>
    </row>
    <row r="54" spans="1:36">
      <c r="A54" s="74">
        <f ca="1">C109</f>
        <v>44477</v>
      </c>
      <c r="B54" s="58">
        <f ca="1">IF(SUMIF('Master Log'!A:A,"&lt;="&amp;$C109,'Master Log'!K:K)&lt;&gt;0,(SUMIF('Master Log'!A:A,"&lt;="&amp;$C109,'Master Log'!K:K))-SUM($B$2:B53),0)</f>
        <v>0</v>
      </c>
      <c r="C54" s="58">
        <f ca="1">IF(SUMIF('Master Log'!A:A,"&lt;="&amp;$C109,'Master Log'!L:L)&lt;&gt;0,(SUMIF('Master Log'!A:A,"&lt;="&amp;$C109,'Master Log'!L:L))-SUM($C$2:C53),0)</f>
        <v>0</v>
      </c>
      <c r="D54" s="7" t="e">
        <f ca="1">IF(B54&gt;0,(B54-C54)/B54,NA())</f>
        <v>#N/A</v>
      </c>
      <c r="E54" s="7" t="e">
        <f ca="1">IF(B54&gt;0,(SUM($B$2:B54)-SUM($C$2:C54))/SUM($B$2:B54),NA())</f>
        <v>#N/A</v>
      </c>
      <c r="F54" s="6">
        <f ca="1">IF(SUMIF('Master Log'!A:A,"&lt;="&amp;$C109,'Master Log'!Q:Q)&lt;&gt;0,(SUMIF('Master Log'!A:A,"&lt;="&amp;$C109,'Master Log'!Q:Q))-SUM($F$2:F53),0)</f>
        <v>0</v>
      </c>
      <c r="G54" s="6">
        <f ca="1">IF(SUMIF('Master Log'!A:A,"&lt;="&amp;$C109,'Master Log'!O:O)&lt;&gt;0,(SUMIF('Master Log'!A:A,"&lt;="&amp;$C109,'Master Log'!O:O))-SUM($G$2:G53),0)</f>
        <v>0</v>
      </c>
      <c r="H54" s="58" t="e">
        <f ca="1">IF(B54&gt;0,F54/(B54-C54),NA())</f>
        <v>#N/A</v>
      </c>
      <c r="I54" s="58">
        <f ca="1">IF(SUMIF('Master Log'!A:A,"&lt;="&amp;$C109,'Master Log'!P:P)&lt;&gt;0,(SUMIF('Master Log'!A:A,"&lt;="&amp;$C109,'Master Log'!P:P))-SUM($I$2:I53),0)</f>
        <v>0</v>
      </c>
      <c r="J54" s="58" t="e">
        <f ca="1">IF(B54&gt;0,I54/(B54-C54),NA())</f>
        <v>#N/A</v>
      </c>
      <c r="K54" s="7" t="e">
        <f ca="1">IF(B54&gt;0,H54/J54,NA())</f>
        <v>#N/A</v>
      </c>
      <c r="L54" s="7" t="e">
        <f ca="1">IF(B54&gt;0,SUM($F$2:F54)/(SUM($B$2:B54)-SUM($C$2:C54))/(SUM($I$2:I54)/(SUM($B$2:B54)-SUM($C$2:C54))),NA())</f>
        <v>#N/A</v>
      </c>
      <c r="M54" s="7" t="e">
        <f ca="1">IF(B54&gt;0,G54/F54,NA())</f>
        <v>#N/A</v>
      </c>
      <c r="N54" s="7" t="e">
        <f ca="1">IF(B54&gt;0,SUM($G$2:G54)/SUM($F$2:F54),NA())</f>
        <v>#N/A</v>
      </c>
      <c r="O54" s="7" t="e">
        <f ca="1">IF(B54&gt;0,D54*K54*M54,NA())</f>
        <v>#N/A</v>
      </c>
      <c r="P54" s="7" t="e">
        <f ca="1">IF(B54&gt;0,E54*L54*N54,NA())</f>
        <v>#N/A</v>
      </c>
      <c r="Q54" s="5"/>
      <c r="Z54" s="1"/>
      <c r="AA54" s="1"/>
      <c r="AB54" s="1"/>
      <c r="AC54" s="1"/>
      <c r="AD54" s="1"/>
      <c r="AE54" s="1"/>
      <c r="AF54" s="1"/>
      <c r="AG54" s="1"/>
      <c r="AH54" s="1"/>
      <c r="AI54" s="1"/>
      <c r="AJ54" s="1"/>
    </row>
    <row r="55" spans="1:36">
      <c r="A55" s="71"/>
      <c r="P55" s="60"/>
      <c r="Z55" s="1"/>
      <c r="AA55" s="1"/>
      <c r="AB55" s="1"/>
      <c r="AD55" s="1"/>
      <c r="AE55" s="1"/>
      <c r="AF55" s="1"/>
      <c r="AH55" s="1">
        <v>0.89</v>
      </c>
      <c r="AI55" s="1">
        <v>0.08</v>
      </c>
      <c r="AJ55" s="1">
        <v>0.03</v>
      </c>
    </row>
    <row r="56" spans="1:36" ht="29">
      <c r="C56" s="70" t="s">
        <v>128</v>
      </c>
      <c r="E56" s="69" t="s">
        <v>127</v>
      </c>
    </row>
    <row r="57" spans="1:36">
      <c r="B57" s="4"/>
      <c r="C57" s="4">
        <f t="shared" ref="C57:C107" ca="1" si="8">C58-7</f>
        <v>44113</v>
      </c>
      <c r="D57" s="1"/>
      <c r="E57" s="10">
        <v>1</v>
      </c>
    </row>
    <row r="58" spans="1:36" s="5" customFormat="1">
      <c r="A58" s="73"/>
      <c r="B58" s="4"/>
      <c r="C58" s="4">
        <f t="shared" ca="1" si="8"/>
        <v>44120</v>
      </c>
      <c r="D58"/>
      <c r="E58" s="10">
        <v>2</v>
      </c>
      <c r="L58" s="10"/>
      <c r="M58" s="10"/>
      <c r="N58" s="10"/>
      <c r="Q58"/>
      <c r="R58"/>
      <c r="S58"/>
      <c r="T58"/>
      <c r="U58"/>
      <c r="V58"/>
      <c r="W58"/>
      <c r="X58"/>
      <c r="Y58"/>
      <c r="Z58"/>
      <c r="AA58"/>
      <c r="AB58"/>
      <c r="AC58"/>
      <c r="AD58"/>
      <c r="AE58"/>
      <c r="AF58"/>
      <c r="AG58"/>
      <c r="AH58"/>
      <c r="AI58"/>
      <c r="AJ58"/>
    </row>
    <row r="59" spans="1:36" s="5" customFormat="1">
      <c r="A59" s="73"/>
      <c r="B59" s="4"/>
      <c r="C59" s="4">
        <f t="shared" ca="1" si="8"/>
        <v>44127</v>
      </c>
      <c r="D59"/>
      <c r="E59" s="10">
        <v>3</v>
      </c>
      <c r="L59" s="10"/>
      <c r="M59" s="10"/>
      <c r="N59" s="10"/>
      <c r="Q59"/>
      <c r="R59"/>
      <c r="S59"/>
      <c r="T59"/>
      <c r="U59"/>
      <c r="V59"/>
      <c r="W59"/>
      <c r="X59"/>
      <c r="Y59"/>
      <c r="Z59"/>
      <c r="AA59"/>
      <c r="AB59"/>
      <c r="AC59"/>
      <c r="AD59"/>
      <c r="AE59"/>
      <c r="AF59"/>
      <c r="AG59"/>
      <c r="AH59"/>
      <c r="AI59"/>
      <c r="AJ59"/>
    </row>
    <row r="60" spans="1:36" s="5" customFormat="1">
      <c r="A60" s="73"/>
      <c r="B60" s="4"/>
      <c r="C60" s="4">
        <f t="shared" ca="1" si="8"/>
        <v>44134</v>
      </c>
      <c r="D60"/>
      <c r="E60" s="10">
        <v>4</v>
      </c>
      <c r="L60" s="10"/>
      <c r="M60" s="10"/>
      <c r="N60" s="10"/>
      <c r="Q60"/>
      <c r="R60"/>
      <c r="S60"/>
      <c r="T60"/>
      <c r="U60"/>
      <c r="V60"/>
      <c r="W60"/>
      <c r="X60"/>
      <c r="Y60"/>
      <c r="Z60"/>
      <c r="AA60"/>
      <c r="AB60"/>
      <c r="AC60"/>
      <c r="AD60"/>
      <c r="AE60"/>
      <c r="AF60"/>
      <c r="AG60"/>
      <c r="AH60"/>
      <c r="AI60"/>
      <c r="AJ60"/>
    </row>
    <row r="61" spans="1:36" s="5" customFormat="1">
      <c r="A61" s="73"/>
      <c r="B61" s="4"/>
      <c r="C61" s="4">
        <f t="shared" ca="1" si="8"/>
        <v>44141</v>
      </c>
      <c r="D61"/>
      <c r="E61" s="10">
        <v>5</v>
      </c>
      <c r="L61" s="10"/>
      <c r="M61" s="10"/>
      <c r="N61" s="10"/>
      <c r="Q61"/>
      <c r="R61"/>
      <c r="S61"/>
      <c r="T61"/>
      <c r="U61"/>
      <c r="V61"/>
      <c r="W61"/>
      <c r="X61"/>
      <c r="Y61"/>
      <c r="Z61"/>
      <c r="AA61"/>
      <c r="AB61"/>
      <c r="AC61"/>
      <c r="AD61"/>
      <c r="AE61"/>
      <c r="AF61"/>
      <c r="AG61"/>
      <c r="AH61"/>
      <c r="AI61"/>
      <c r="AJ61"/>
    </row>
    <row r="62" spans="1:36" s="5" customFormat="1">
      <c r="A62" s="73"/>
      <c r="B62" s="4"/>
      <c r="C62" s="4">
        <f t="shared" ca="1" si="8"/>
        <v>44148</v>
      </c>
      <c r="D62"/>
      <c r="E62" s="10">
        <v>6</v>
      </c>
      <c r="L62" s="10"/>
      <c r="M62" s="10"/>
      <c r="N62" s="10"/>
      <c r="Q62"/>
      <c r="R62"/>
      <c r="S62"/>
      <c r="T62"/>
      <c r="U62"/>
      <c r="V62"/>
      <c r="W62"/>
      <c r="X62"/>
      <c r="Y62"/>
      <c r="Z62"/>
      <c r="AA62"/>
      <c r="AB62"/>
      <c r="AC62"/>
      <c r="AD62"/>
      <c r="AE62"/>
      <c r="AF62"/>
      <c r="AG62"/>
      <c r="AH62"/>
      <c r="AI62"/>
      <c r="AJ62"/>
    </row>
    <row r="63" spans="1:36" s="5" customFormat="1">
      <c r="A63" s="73"/>
      <c r="B63" s="4"/>
      <c r="C63" s="4">
        <f t="shared" ca="1" si="8"/>
        <v>44155</v>
      </c>
      <c r="D63"/>
      <c r="E63" s="10">
        <v>7</v>
      </c>
      <c r="L63" s="10"/>
      <c r="M63" s="10"/>
      <c r="N63" s="10"/>
      <c r="Q63"/>
      <c r="R63"/>
      <c r="S63"/>
      <c r="T63"/>
      <c r="U63"/>
      <c r="V63"/>
      <c r="W63"/>
      <c r="X63"/>
      <c r="Y63"/>
      <c r="Z63"/>
      <c r="AA63"/>
      <c r="AB63"/>
      <c r="AC63"/>
      <c r="AD63"/>
      <c r="AE63"/>
      <c r="AF63"/>
      <c r="AG63"/>
      <c r="AH63"/>
      <c r="AI63"/>
      <c r="AJ63"/>
    </row>
    <row r="64" spans="1:36" s="5" customFormat="1">
      <c r="A64" s="73"/>
      <c r="B64" s="4"/>
      <c r="C64" s="4">
        <f t="shared" ca="1" si="8"/>
        <v>44162</v>
      </c>
      <c r="D64"/>
      <c r="E64" s="10">
        <v>8</v>
      </c>
      <c r="L64" s="10"/>
      <c r="M64" s="10"/>
      <c r="N64" s="10"/>
      <c r="Q64"/>
      <c r="R64"/>
      <c r="S64"/>
      <c r="T64"/>
      <c r="U64"/>
      <c r="V64"/>
      <c r="W64"/>
      <c r="X64"/>
      <c r="Y64"/>
      <c r="Z64"/>
      <c r="AA64"/>
      <c r="AB64"/>
      <c r="AC64"/>
      <c r="AD64"/>
      <c r="AE64"/>
      <c r="AF64"/>
      <c r="AG64"/>
      <c r="AH64"/>
      <c r="AI64"/>
      <c r="AJ64"/>
    </row>
    <row r="65" spans="1:36" s="5" customFormat="1">
      <c r="A65" s="73"/>
      <c r="B65" s="4"/>
      <c r="C65" s="4">
        <f t="shared" ca="1" si="8"/>
        <v>44169</v>
      </c>
      <c r="D65"/>
      <c r="E65" s="10">
        <v>9</v>
      </c>
      <c r="L65" s="10"/>
      <c r="M65" s="10"/>
      <c r="N65" s="10"/>
      <c r="Q65"/>
      <c r="R65"/>
      <c r="S65"/>
      <c r="T65"/>
      <c r="U65"/>
      <c r="V65"/>
      <c r="W65"/>
      <c r="X65"/>
      <c r="Y65"/>
      <c r="Z65"/>
      <c r="AA65"/>
      <c r="AB65"/>
      <c r="AC65"/>
      <c r="AD65"/>
      <c r="AE65"/>
      <c r="AF65"/>
      <c r="AG65"/>
      <c r="AH65"/>
      <c r="AI65"/>
      <c r="AJ65"/>
    </row>
    <row r="66" spans="1:36" s="5" customFormat="1">
      <c r="A66" s="73"/>
      <c r="B66" s="4"/>
      <c r="C66" s="4">
        <f t="shared" ca="1" si="8"/>
        <v>44176</v>
      </c>
      <c r="D66"/>
      <c r="E66" s="10">
        <v>10</v>
      </c>
      <c r="L66" s="10"/>
      <c r="M66" s="10"/>
      <c r="N66" s="10"/>
      <c r="Q66"/>
      <c r="R66"/>
      <c r="S66"/>
      <c r="T66"/>
      <c r="U66"/>
      <c r="V66"/>
      <c r="W66"/>
      <c r="X66"/>
      <c r="Y66"/>
      <c r="Z66"/>
      <c r="AA66"/>
      <c r="AB66"/>
      <c r="AC66"/>
      <c r="AD66"/>
      <c r="AE66"/>
      <c r="AF66"/>
      <c r="AG66"/>
      <c r="AH66"/>
      <c r="AI66"/>
      <c r="AJ66"/>
    </row>
    <row r="67" spans="1:36" s="5" customFormat="1">
      <c r="A67" s="73"/>
      <c r="B67" s="4"/>
      <c r="C67" s="4">
        <f t="shared" ca="1" si="8"/>
        <v>44183</v>
      </c>
      <c r="D67"/>
      <c r="E67" s="10">
        <v>11</v>
      </c>
      <c r="L67" s="10"/>
      <c r="M67" s="10"/>
      <c r="N67" s="10"/>
      <c r="Q67"/>
      <c r="R67"/>
      <c r="S67"/>
      <c r="T67"/>
      <c r="U67"/>
      <c r="V67"/>
      <c r="W67"/>
      <c r="X67"/>
      <c r="Y67"/>
      <c r="Z67"/>
      <c r="AA67"/>
      <c r="AB67"/>
      <c r="AC67"/>
      <c r="AD67"/>
      <c r="AE67"/>
      <c r="AF67"/>
      <c r="AG67"/>
      <c r="AH67"/>
      <c r="AI67"/>
      <c r="AJ67"/>
    </row>
    <row r="68" spans="1:36" s="5" customFormat="1">
      <c r="A68" s="73"/>
      <c r="B68" s="4"/>
      <c r="C68" s="4">
        <f t="shared" ca="1" si="8"/>
        <v>44190</v>
      </c>
      <c r="D68"/>
      <c r="E68" s="10">
        <v>12</v>
      </c>
      <c r="L68" s="10"/>
      <c r="M68" s="10"/>
      <c r="N68" s="10"/>
      <c r="Q68"/>
      <c r="R68"/>
      <c r="S68"/>
      <c r="T68"/>
      <c r="U68"/>
      <c r="V68"/>
      <c r="W68"/>
      <c r="X68"/>
      <c r="Y68"/>
      <c r="Z68"/>
      <c r="AA68"/>
      <c r="AB68"/>
      <c r="AC68"/>
      <c r="AD68"/>
      <c r="AE68"/>
      <c r="AF68"/>
      <c r="AG68"/>
      <c r="AH68"/>
      <c r="AI68"/>
      <c r="AJ68"/>
    </row>
    <row r="69" spans="1:36" s="5" customFormat="1">
      <c r="A69" s="73"/>
      <c r="B69" s="4"/>
      <c r="C69" s="4">
        <f t="shared" ca="1" si="8"/>
        <v>44197</v>
      </c>
      <c r="D69"/>
      <c r="E69" s="10">
        <v>13</v>
      </c>
      <c r="L69" s="10"/>
      <c r="M69" s="10"/>
      <c r="N69" s="10"/>
      <c r="Q69"/>
      <c r="R69"/>
      <c r="S69"/>
      <c r="T69"/>
      <c r="U69"/>
      <c r="V69"/>
      <c r="W69"/>
      <c r="X69"/>
      <c r="Y69"/>
      <c r="Z69"/>
      <c r="AA69"/>
      <c r="AB69"/>
      <c r="AC69"/>
      <c r="AD69"/>
      <c r="AE69"/>
      <c r="AF69"/>
      <c r="AG69"/>
      <c r="AH69"/>
      <c r="AI69"/>
      <c r="AJ69"/>
    </row>
    <row r="70" spans="1:36">
      <c r="B70" s="4"/>
      <c r="C70" s="4">
        <f t="shared" ca="1" si="8"/>
        <v>44204</v>
      </c>
      <c r="E70" s="10">
        <v>14</v>
      </c>
    </row>
    <row r="71" spans="1:36">
      <c r="B71" s="4"/>
      <c r="C71" s="4">
        <f t="shared" ca="1" si="8"/>
        <v>44211</v>
      </c>
      <c r="E71" s="10">
        <v>15</v>
      </c>
    </row>
    <row r="72" spans="1:36">
      <c r="B72" s="4"/>
      <c r="C72" s="4">
        <f t="shared" ca="1" si="8"/>
        <v>44218</v>
      </c>
      <c r="E72" s="10">
        <v>16</v>
      </c>
    </row>
    <row r="73" spans="1:36">
      <c r="B73" s="4"/>
      <c r="C73" s="4">
        <f t="shared" ca="1" si="8"/>
        <v>44225</v>
      </c>
      <c r="E73" s="10">
        <v>17</v>
      </c>
    </row>
    <row r="74" spans="1:36">
      <c r="B74" s="4"/>
      <c r="C74" s="4">
        <f t="shared" ca="1" si="8"/>
        <v>44232</v>
      </c>
      <c r="E74" s="10">
        <v>18</v>
      </c>
    </row>
    <row r="75" spans="1:36">
      <c r="B75" s="4"/>
      <c r="C75" s="4">
        <f t="shared" ca="1" si="8"/>
        <v>44239</v>
      </c>
      <c r="E75" s="10">
        <v>19</v>
      </c>
    </row>
    <row r="76" spans="1:36">
      <c r="B76" s="4"/>
      <c r="C76" s="4">
        <f t="shared" ca="1" si="8"/>
        <v>44246</v>
      </c>
      <c r="E76" s="10">
        <v>20</v>
      </c>
    </row>
    <row r="77" spans="1:36">
      <c r="B77" s="4"/>
      <c r="C77" s="4">
        <f t="shared" ca="1" si="8"/>
        <v>44253</v>
      </c>
      <c r="E77" s="10">
        <v>21</v>
      </c>
    </row>
    <row r="78" spans="1:36">
      <c r="B78" s="4"/>
      <c r="C78" s="4">
        <f t="shared" ca="1" si="8"/>
        <v>44260</v>
      </c>
      <c r="E78" s="10">
        <v>22</v>
      </c>
    </row>
    <row r="79" spans="1:36">
      <c r="B79" s="4"/>
      <c r="C79" s="4">
        <f t="shared" ca="1" si="8"/>
        <v>44267</v>
      </c>
      <c r="E79" s="10">
        <v>23</v>
      </c>
    </row>
    <row r="80" spans="1:36">
      <c r="B80" s="4"/>
      <c r="C80" s="4">
        <f t="shared" ca="1" si="8"/>
        <v>44274</v>
      </c>
      <c r="E80" s="10">
        <v>24</v>
      </c>
    </row>
    <row r="81" spans="2:5">
      <c r="B81" s="4"/>
      <c r="C81" s="4">
        <f t="shared" ca="1" si="8"/>
        <v>44281</v>
      </c>
      <c r="E81" s="10">
        <v>25</v>
      </c>
    </row>
    <row r="82" spans="2:5">
      <c r="B82" s="4"/>
      <c r="C82" s="4">
        <f t="shared" ca="1" si="8"/>
        <v>44288</v>
      </c>
      <c r="E82" s="10">
        <v>26</v>
      </c>
    </row>
    <row r="83" spans="2:5">
      <c r="B83" s="4"/>
      <c r="C83" s="4">
        <f t="shared" ca="1" si="8"/>
        <v>44295</v>
      </c>
      <c r="E83" s="10">
        <v>27</v>
      </c>
    </row>
    <row r="84" spans="2:5">
      <c r="B84" s="4"/>
      <c r="C84" s="4">
        <f t="shared" ca="1" si="8"/>
        <v>44302</v>
      </c>
      <c r="E84" s="10">
        <v>28</v>
      </c>
    </row>
    <row r="85" spans="2:5">
      <c r="B85" s="4"/>
      <c r="C85" s="4">
        <f t="shared" ca="1" si="8"/>
        <v>44309</v>
      </c>
      <c r="E85" s="10">
        <v>29</v>
      </c>
    </row>
    <row r="86" spans="2:5">
      <c r="B86" s="4"/>
      <c r="C86" s="4">
        <f t="shared" ca="1" si="8"/>
        <v>44316</v>
      </c>
      <c r="E86" s="10">
        <v>30</v>
      </c>
    </row>
    <row r="87" spans="2:5">
      <c r="B87" s="4"/>
      <c r="C87" s="4">
        <f t="shared" ca="1" si="8"/>
        <v>44323</v>
      </c>
      <c r="E87" s="10">
        <v>31</v>
      </c>
    </row>
    <row r="88" spans="2:5">
      <c r="B88" s="4"/>
      <c r="C88" s="4">
        <f t="shared" ca="1" si="8"/>
        <v>44330</v>
      </c>
      <c r="E88" s="10">
        <v>32</v>
      </c>
    </row>
    <row r="89" spans="2:5">
      <c r="B89" s="4"/>
      <c r="C89" s="4">
        <f t="shared" ca="1" si="8"/>
        <v>44337</v>
      </c>
      <c r="E89" s="10">
        <v>33</v>
      </c>
    </row>
    <row r="90" spans="2:5">
      <c r="B90" s="4"/>
      <c r="C90" s="4">
        <f t="shared" ca="1" si="8"/>
        <v>44344</v>
      </c>
      <c r="E90" s="10">
        <v>34</v>
      </c>
    </row>
    <row r="91" spans="2:5">
      <c r="B91" s="4"/>
      <c r="C91" s="4">
        <f t="shared" ca="1" si="8"/>
        <v>44351</v>
      </c>
      <c r="E91" s="10">
        <v>35</v>
      </c>
    </row>
    <row r="92" spans="2:5">
      <c r="B92" s="4"/>
      <c r="C92" s="4">
        <f t="shared" ca="1" si="8"/>
        <v>44358</v>
      </c>
      <c r="E92" s="10">
        <v>36</v>
      </c>
    </row>
    <row r="93" spans="2:5">
      <c r="B93" s="4"/>
      <c r="C93" s="4">
        <f t="shared" ca="1" si="8"/>
        <v>44365</v>
      </c>
      <c r="E93" s="10">
        <v>37</v>
      </c>
    </row>
    <row r="94" spans="2:5">
      <c r="B94" s="4"/>
      <c r="C94" s="4">
        <f t="shared" ca="1" si="8"/>
        <v>44372</v>
      </c>
      <c r="E94" s="10">
        <v>38</v>
      </c>
    </row>
    <row r="95" spans="2:5">
      <c r="B95" s="4"/>
      <c r="C95" s="4">
        <f t="shared" ca="1" si="8"/>
        <v>44379</v>
      </c>
      <c r="E95" s="10">
        <v>39</v>
      </c>
    </row>
    <row r="96" spans="2:5">
      <c r="B96" s="4"/>
      <c r="C96" s="4">
        <f t="shared" ca="1" si="8"/>
        <v>44386</v>
      </c>
      <c r="E96" s="10">
        <v>40</v>
      </c>
    </row>
    <row r="97" spans="2:5">
      <c r="B97" s="4"/>
      <c r="C97" s="4">
        <f t="shared" ca="1" si="8"/>
        <v>44393</v>
      </c>
      <c r="E97" s="10">
        <v>41</v>
      </c>
    </row>
    <row r="98" spans="2:5">
      <c r="B98" s="4"/>
      <c r="C98" s="4">
        <f t="shared" ca="1" si="8"/>
        <v>44400</v>
      </c>
      <c r="E98" s="10">
        <v>42</v>
      </c>
    </row>
    <row r="99" spans="2:5">
      <c r="B99" s="4"/>
      <c r="C99" s="4">
        <f t="shared" ca="1" si="8"/>
        <v>44407</v>
      </c>
      <c r="E99" s="10">
        <v>43</v>
      </c>
    </row>
    <row r="100" spans="2:5">
      <c r="B100" s="4"/>
      <c r="C100" s="4">
        <f t="shared" ca="1" si="8"/>
        <v>44414</v>
      </c>
      <c r="E100" s="10">
        <v>44</v>
      </c>
    </row>
    <row r="101" spans="2:5">
      <c r="B101" s="4"/>
      <c r="C101" s="4">
        <f t="shared" ca="1" si="8"/>
        <v>44421</v>
      </c>
      <c r="E101" s="10">
        <v>45</v>
      </c>
    </row>
    <row r="102" spans="2:5">
      <c r="B102" s="4"/>
      <c r="C102" s="4">
        <f t="shared" ca="1" si="8"/>
        <v>44428</v>
      </c>
      <c r="E102" s="10">
        <v>46</v>
      </c>
    </row>
    <row r="103" spans="2:5">
      <c r="B103" s="4"/>
      <c r="C103" s="4">
        <f t="shared" ca="1" si="8"/>
        <v>44435</v>
      </c>
      <c r="E103" s="10">
        <v>47</v>
      </c>
    </row>
    <row r="104" spans="2:5">
      <c r="B104" s="4"/>
      <c r="C104" s="4">
        <f t="shared" ca="1" si="8"/>
        <v>44442</v>
      </c>
      <c r="E104" s="10">
        <v>48</v>
      </c>
    </row>
    <row r="105" spans="2:5">
      <c r="B105" s="4"/>
      <c r="C105" s="4">
        <f t="shared" ca="1" si="8"/>
        <v>44449</v>
      </c>
      <c r="E105" s="10">
        <v>49</v>
      </c>
    </row>
    <row r="106" spans="2:5">
      <c r="B106" s="4"/>
      <c r="C106" s="4">
        <f t="shared" ca="1" si="8"/>
        <v>44456</v>
      </c>
      <c r="E106" s="10">
        <v>50</v>
      </c>
    </row>
    <row r="107" spans="2:5">
      <c r="B107" s="4"/>
      <c r="C107" s="4">
        <f t="shared" ca="1" si="8"/>
        <v>44463</v>
      </c>
      <c r="E107" s="10">
        <v>51</v>
      </c>
    </row>
    <row r="108" spans="2:5">
      <c r="B108" s="4"/>
      <c r="C108" s="4">
        <f ca="1">C109-7</f>
        <v>44470</v>
      </c>
      <c r="E108" s="10">
        <v>52</v>
      </c>
    </row>
    <row r="109" spans="2:5">
      <c r="B109" s="4"/>
      <c r="C109" s="4">
        <f ca="1">TODAY()</f>
        <v>44477</v>
      </c>
    </row>
  </sheetData>
  <sheetProtection sheet="1" objects="1" scenarios="1"/>
  <pageMargins left="0.7" right="0.7" top="0.75" bottom="0.75" header="0.3" footer="0.3"/>
  <pageSetup orientation="landscape" r:id="rId1"/>
  <headerFooter>
    <oddFooter>&amp;R&amp;1#&amp;"Arial"&amp;10&amp;K000000---Internal Use---&amp;C&amp;"Calibri"&amp;11&amp;K000000DOW RESTRICTED_x000D_&amp;1#&amp;"Arial"&amp;10&amp;K000000---Internal Use---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S211"/>
  <sheetViews>
    <sheetView zoomScale="80" zoomScaleNormal="80" workbookViewId="0">
      <pane ySplit="6" topLeftCell="A25" activePane="bottomLeft" state="frozenSplit"/>
      <selection pane="bottomLeft" activeCell="A43" sqref="A43"/>
    </sheetView>
  </sheetViews>
  <sheetFormatPr baseColWidth="10" defaultColWidth="9.08984375" defaultRowHeight="15.5"/>
  <cols>
    <col min="1" max="1" width="48" style="66" bestFit="1" customWidth="1"/>
    <col min="2" max="2" width="6.36328125" style="149" customWidth="1"/>
    <col min="3" max="3" width="49.36328125" style="66" bestFit="1" customWidth="1"/>
    <col min="4" max="4" width="11.90625" style="67" bestFit="1" customWidth="1"/>
    <col min="5" max="5" width="8.90625" style="67" customWidth="1"/>
    <col min="6" max="6" width="11.453125" style="64" customWidth="1"/>
    <col min="7" max="7" width="18.90625" style="64" customWidth="1"/>
    <col min="8" max="8" width="9.08984375" style="65"/>
    <col min="9" max="9" width="39.6328125" style="65" hidden="1" customWidth="1"/>
    <col min="10" max="10" width="9.08984375" style="65"/>
    <col min="11" max="11" width="9.90625" style="65" bestFit="1" customWidth="1"/>
    <col min="12" max="12" width="9.08984375" style="65"/>
    <col min="13" max="13" width="20" style="65" bestFit="1" customWidth="1"/>
    <col min="14" max="14" width="9.08984375" style="65"/>
    <col min="15" max="15" width="15" style="65" customWidth="1"/>
    <col min="16" max="16" width="9.08984375" style="65"/>
    <col min="17" max="17" width="65.453125" style="65" bestFit="1" customWidth="1"/>
    <col min="18" max="18" width="9.08984375" style="65"/>
    <col min="19" max="19" width="16.08984375" style="65" bestFit="1" customWidth="1"/>
    <col min="20" max="16384" width="9.08984375" style="65"/>
  </cols>
  <sheetData>
    <row r="1" spans="1:19">
      <c r="A1" s="151" t="str">
        <f>IF(Form!N2="French","instructions de la feuille de configuration:","Setup Sheet Instructions:")</f>
        <v>Setup Sheet Instructions:</v>
      </c>
      <c r="B1" s="152"/>
      <c r="C1" s="152"/>
      <c r="D1" s="152"/>
      <c r="E1" s="152"/>
      <c r="F1" s="176"/>
      <c r="G1" s="177"/>
    </row>
    <row r="2" spans="1:19" ht="27.5" customHeight="1">
      <c r="A2" s="467" t="str">
        <f>IF(Form!N2="French","- Personnaliser la liste causes des arrets non planifiés ( Causes of Unplanned downtime) avec des catégories spécifiques à votre ligne de conditionnement.Vous pouvez rajouter des catégories à la fin de la liste.","- Customize the list Causes of Unplanned Downtime with categories specific to your packaging line.  Additional items can be added to the end of the list.")</f>
        <v>- Customize the list Causes of Unplanned Downtime with categories specific to your packaging line.  Additional items can be added to the end of the list.</v>
      </c>
      <c r="B2" s="468"/>
      <c r="C2" s="468"/>
      <c r="D2" s="468"/>
      <c r="E2" s="468"/>
      <c r="F2" s="468"/>
      <c r="G2" s="469"/>
    </row>
    <row r="3" spans="1:19" ht="19.5" customHeight="1">
      <c r="A3" s="467" t="str">
        <f>IF(Form!N2="French","-Entrer tous les GMIDs des ordres de fabrications de la ligne et leurs données respectives ( taille,capacité idéale,nombre de bouteilles par caisse...)","- Enter all of the GMIDs run on this packaging line and their respective data "  )</f>
        <v xml:space="preserve">- Enter all of the GMIDs run on this packaging line and their respective data </v>
      </c>
      <c r="B3" s="470"/>
      <c r="C3" s="470"/>
      <c r="D3" s="470"/>
      <c r="E3" s="470"/>
      <c r="F3" s="470"/>
      <c r="G3" s="471"/>
    </row>
    <row r="4" spans="1:19" ht="23" customHeight="1">
      <c r="A4" s="467" t="str">
        <f>IF(Form!N2="French","- la capacité idéale est la capacité de design de la ligne ( celle qu'on a acheté ) pour l'emballage correspondant au GMID conditionné. ","- Ideal Rate is the maximum possible speed of the filling machine when packaging that GMID ")</f>
        <v xml:space="preserve">- Ideal Rate is the maximum possible speed of the filling machine when packaging that GMID </v>
      </c>
      <c r="B4" s="470"/>
      <c r="C4" s="470"/>
      <c r="D4" s="470"/>
      <c r="E4" s="470"/>
      <c r="F4" s="470"/>
      <c r="G4" s="471"/>
    </row>
    <row r="5" spans="1:19" ht="22.5" customHeight="1">
      <c r="A5" s="467" t="str">
        <f>IF(Form!N2="French","- A noter que les capacités utilisées dans SAP ne sont pas les memes que les cadences idéales(elles inclus déjà les arrets et autres pertes ","- Note that routing rates used in SAP are NOT the same as Ideal Rate as they have already factored in downtime and other losses. ")</f>
        <v xml:space="preserve">- Note that routing rates used in SAP are NOT the same as Ideal Rate as they have already factored in downtime and other losses. </v>
      </c>
      <c r="B5" s="470"/>
      <c r="C5" s="470"/>
      <c r="D5" s="470"/>
      <c r="E5" s="470"/>
      <c r="F5" s="470"/>
      <c r="G5" s="471"/>
    </row>
    <row r="6" spans="1:19" ht="22.5" customHeight="1">
      <c r="A6" s="467" t="str">
        <f>IF(Form!N2="French","- Personnaliser les listes : Descrition détaillée des arrets , Equipes , Leader d'équipe , , Causes d'arret planifié , qui correspondent à la ligne ","- Customize the lists for Detailed description of downtime, Shifts, Crew Leaders, and Planned Downtime Causes to correlate to the packaging line.")</f>
        <v>- Customize the lists for Detailed description of downtime, Shifts, Crew Leaders, and Planned Downtime Causes to correlate to the packaging line.</v>
      </c>
      <c r="B6" s="470"/>
      <c r="C6" s="470"/>
      <c r="D6" s="470"/>
      <c r="E6" s="470"/>
      <c r="F6" s="470"/>
      <c r="G6" s="471"/>
    </row>
    <row r="7" spans="1:19" ht="60" customHeight="1">
      <c r="A7" s="75" t="s">
        <v>3</v>
      </c>
      <c r="B7" s="62"/>
      <c r="C7" s="61" t="s">
        <v>179</v>
      </c>
      <c r="D7" s="62" t="s">
        <v>208</v>
      </c>
      <c r="E7" s="62" t="s">
        <v>5</v>
      </c>
      <c r="F7" s="63" t="s">
        <v>15</v>
      </c>
      <c r="G7" s="63" t="s">
        <v>14</v>
      </c>
      <c r="I7" s="62" t="s">
        <v>257</v>
      </c>
      <c r="J7" s="63"/>
      <c r="K7" s="185" t="s">
        <v>258</v>
      </c>
      <c r="M7" s="185" t="s">
        <v>259</v>
      </c>
      <c r="N7" s="63"/>
      <c r="O7" s="186" t="s">
        <v>260</v>
      </c>
      <c r="P7" s="63"/>
      <c r="Q7" s="63" t="s">
        <v>261</v>
      </c>
      <c r="R7" s="63"/>
      <c r="S7" s="63" t="s">
        <v>262</v>
      </c>
    </row>
    <row r="8" spans="1:19">
      <c r="A8" s="242" t="s">
        <v>216</v>
      </c>
      <c r="B8" s="150"/>
      <c r="C8" s="247" t="s">
        <v>398</v>
      </c>
      <c r="D8" s="248">
        <v>97074967</v>
      </c>
      <c r="E8" s="248" t="s">
        <v>399</v>
      </c>
      <c r="F8" s="325">
        <v>115</v>
      </c>
      <c r="G8" s="250">
        <v>50</v>
      </c>
      <c r="I8" s="253" t="s">
        <v>215</v>
      </c>
      <c r="K8" s="253" t="s">
        <v>210</v>
      </c>
      <c r="L8" s="68"/>
      <c r="M8" s="253" t="s">
        <v>419</v>
      </c>
      <c r="N8" s="68"/>
      <c r="O8" s="174" t="s">
        <v>172</v>
      </c>
      <c r="Q8" s="253" t="s">
        <v>212</v>
      </c>
      <c r="S8" s="65" t="s">
        <v>204</v>
      </c>
    </row>
    <row r="9" spans="1:19">
      <c r="A9" s="242" t="s">
        <v>217</v>
      </c>
      <c r="B9" s="150"/>
      <c r="C9" s="247" t="s">
        <v>400</v>
      </c>
      <c r="D9" s="248">
        <v>319575</v>
      </c>
      <c r="E9" s="248" t="s">
        <v>399</v>
      </c>
      <c r="F9" s="325">
        <v>115</v>
      </c>
      <c r="G9" s="250">
        <v>50</v>
      </c>
      <c r="I9" s="253" t="s">
        <v>263</v>
      </c>
      <c r="K9" s="253" t="s">
        <v>180</v>
      </c>
      <c r="L9" s="68"/>
      <c r="M9" s="253" t="s">
        <v>420</v>
      </c>
      <c r="N9" s="68"/>
      <c r="O9" s="174" t="s">
        <v>256</v>
      </c>
      <c r="Q9" s="253" t="s">
        <v>213</v>
      </c>
      <c r="S9" s="65" t="s">
        <v>205</v>
      </c>
    </row>
    <row r="10" spans="1:19">
      <c r="A10" s="242" t="s">
        <v>218</v>
      </c>
      <c r="B10" s="150"/>
      <c r="C10" s="242" t="s">
        <v>401</v>
      </c>
      <c r="D10" s="250">
        <v>97070122</v>
      </c>
      <c r="E10" s="248" t="s">
        <v>399</v>
      </c>
      <c r="F10" s="325">
        <v>115</v>
      </c>
      <c r="G10" s="250">
        <v>50</v>
      </c>
      <c r="I10" s="253" t="s">
        <v>264</v>
      </c>
      <c r="K10" s="253" t="s">
        <v>211</v>
      </c>
      <c r="L10" s="68"/>
      <c r="M10" s="253" t="s">
        <v>421</v>
      </c>
      <c r="N10" s="68"/>
      <c r="O10" s="174" t="s">
        <v>206</v>
      </c>
      <c r="Q10" s="253" t="s">
        <v>214</v>
      </c>
    </row>
    <row r="11" spans="1:19">
      <c r="A11" s="242" t="s">
        <v>219</v>
      </c>
      <c r="B11" s="150"/>
      <c r="C11" s="242" t="s">
        <v>402</v>
      </c>
      <c r="D11" s="250">
        <v>99027576</v>
      </c>
      <c r="E11" s="248" t="s">
        <v>399</v>
      </c>
      <c r="F11" s="325">
        <v>115</v>
      </c>
      <c r="G11" s="250">
        <v>50</v>
      </c>
      <c r="I11" s="242"/>
      <c r="K11" s="253"/>
      <c r="L11" s="68"/>
      <c r="M11" s="253" t="s">
        <v>422</v>
      </c>
      <c r="N11" s="68"/>
      <c r="O11" s="174" t="s">
        <v>207</v>
      </c>
      <c r="Q11" s="253" t="s">
        <v>253</v>
      </c>
    </row>
    <row r="12" spans="1:19">
      <c r="A12" s="242" t="s">
        <v>220</v>
      </c>
      <c r="B12" s="150"/>
      <c r="C12" s="242" t="s">
        <v>403</v>
      </c>
      <c r="D12" s="250">
        <v>11122960</v>
      </c>
      <c r="E12" s="248" t="s">
        <v>404</v>
      </c>
      <c r="F12" s="325">
        <v>100</v>
      </c>
      <c r="G12" s="250">
        <v>24</v>
      </c>
      <c r="I12" s="242"/>
      <c r="K12" s="253"/>
      <c r="L12" s="68"/>
      <c r="M12" s="253" t="s">
        <v>423</v>
      </c>
      <c r="N12" s="68"/>
      <c r="O12" s="68"/>
      <c r="Q12" s="253" t="s">
        <v>254</v>
      </c>
    </row>
    <row r="13" spans="1:19">
      <c r="A13" s="242" t="s">
        <v>221</v>
      </c>
      <c r="B13" s="150"/>
      <c r="C13" s="242" t="s">
        <v>405</v>
      </c>
      <c r="D13" s="250">
        <v>99027387</v>
      </c>
      <c r="E13" s="250" t="s">
        <v>404</v>
      </c>
      <c r="F13" s="325">
        <v>100</v>
      </c>
      <c r="G13" s="250">
        <v>24</v>
      </c>
      <c r="I13" s="242"/>
      <c r="K13" s="253"/>
      <c r="L13" s="68"/>
      <c r="M13" s="253"/>
      <c r="N13" s="68"/>
      <c r="O13" s="68"/>
      <c r="Q13" s="253" t="s">
        <v>255</v>
      </c>
    </row>
    <row r="14" spans="1:19">
      <c r="A14" s="242" t="s">
        <v>222</v>
      </c>
      <c r="B14" s="150"/>
      <c r="C14" s="242" t="s">
        <v>407</v>
      </c>
      <c r="D14" s="250">
        <v>97074942</v>
      </c>
      <c r="E14" s="250" t="s">
        <v>406</v>
      </c>
      <c r="F14" s="325">
        <v>100</v>
      </c>
      <c r="G14" s="250">
        <v>24</v>
      </c>
      <c r="I14" s="242"/>
      <c r="K14" s="253"/>
      <c r="L14" s="68"/>
      <c r="M14" s="253"/>
      <c r="N14" s="68"/>
      <c r="O14" s="68"/>
      <c r="Q14" s="253" t="s">
        <v>425</v>
      </c>
    </row>
    <row r="15" spans="1:19">
      <c r="A15" s="242" t="s">
        <v>223</v>
      </c>
      <c r="B15" s="150"/>
      <c r="C15" s="247" t="s">
        <v>408</v>
      </c>
      <c r="D15" s="248">
        <v>97070680</v>
      </c>
      <c r="E15" s="250" t="s">
        <v>406</v>
      </c>
      <c r="F15" s="325">
        <v>100</v>
      </c>
      <c r="G15" s="250">
        <v>24</v>
      </c>
      <c r="I15" s="242"/>
      <c r="K15" s="253"/>
      <c r="L15" s="68"/>
      <c r="M15" s="253"/>
      <c r="N15" s="68"/>
      <c r="O15" s="68"/>
      <c r="Q15" s="253" t="s">
        <v>424</v>
      </c>
    </row>
    <row r="16" spans="1:19">
      <c r="A16" s="242" t="s">
        <v>224</v>
      </c>
      <c r="B16" s="150"/>
      <c r="C16" s="247" t="s">
        <v>409</v>
      </c>
      <c r="D16" s="248">
        <v>325001</v>
      </c>
      <c r="E16" s="250" t="s">
        <v>406</v>
      </c>
      <c r="F16" s="325">
        <v>100</v>
      </c>
      <c r="G16" s="250">
        <v>24</v>
      </c>
      <c r="I16" s="242"/>
      <c r="K16" s="68"/>
      <c r="L16" s="68"/>
      <c r="M16" s="253"/>
      <c r="N16" s="68"/>
      <c r="O16" s="68"/>
      <c r="Q16" s="253"/>
    </row>
    <row r="17" spans="1:17">
      <c r="A17" s="243" t="s">
        <v>225</v>
      </c>
      <c r="B17" s="150"/>
      <c r="C17" s="247" t="s">
        <v>410</v>
      </c>
      <c r="D17" s="248">
        <v>356906</v>
      </c>
      <c r="E17" s="250" t="s">
        <v>406</v>
      </c>
      <c r="F17" s="325">
        <v>100</v>
      </c>
      <c r="G17" s="250">
        <v>24</v>
      </c>
      <c r="I17" s="242"/>
      <c r="K17" s="68"/>
      <c r="L17" s="68"/>
      <c r="M17" s="253"/>
      <c r="N17" s="68"/>
      <c r="O17" s="68"/>
      <c r="Q17" s="253"/>
    </row>
    <row r="18" spans="1:17">
      <c r="A18" s="243" t="s">
        <v>226</v>
      </c>
      <c r="B18" s="150"/>
      <c r="C18" s="242" t="s">
        <v>411</v>
      </c>
      <c r="D18" s="250">
        <v>97021352</v>
      </c>
      <c r="E18" s="250" t="s">
        <v>406</v>
      </c>
      <c r="F18" s="325">
        <v>100</v>
      </c>
      <c r="G18" s="250">
        <v>24</v>
      </c>
      <c r="I18" s="242"/>
      <c r="K18" s="68"/>
      <c r="L18" s="68"/>
      <c r="M18" s="253"/>
      <c r="N18" s="68"/>
      <c r="O18" s="68"/>
      <c r="Q18" s="253"/>
    </row>
    <row r="19" spans="1:17">
      <c r="A19" s="243" t="s">
        <v>227</v>
      </c>
      <c r="B19" s="150"/>
      <c r="C19" s="242" t="s">
        <v>412</v>
      </c>
      <c r="D19" s="250">
        <v>99069552</v>
      </c>
      <c r="E19" s="250" t="s">
        <v>406</v>
      </c>
      <c r="F19" s="325">
        <v>100</v>
      </c>
      <c r="G19" s="250">
        <v>24</v>
      </c>
      <c r="I19" s="242"/>
      <c r="K19" s="68"/>
      <c r="L19" s="68"/>
      <c r="M19" s="253"/>
      <c r="N19" s="68"/>
      <c r="O19" s="68"/>
      <c r="Q19" s="253"/>
    </row>
    <row r="20" spans="1:17">
      <c r="A20" s="242" t="s">
        <v>228</v>
      </c>
      <c r="B20" s="150"/>
      <c r="C20" s="242" t="s">
        <v>413</v>
      </c>
      <c r="D20" s="250">
        <v>334700</v>
      </c>
      <c r="E20" s="250" t="s">
        <v>406</v>
      </c>
      <c r="F20" s="325">
        <v>100</v>
      </c>
      <c r="G20" s="250">
        <v>24</v>
      </c>
      <c r="I20" s="242"/>
      <c r="K20" s="68"/>
      <c r="L20" s="68"/>
      <c r="M20" s="253"/>
      <c r="N20" s="68"/>
      <c r="O20" s="68"/>
      <c r="Q20" s="253"/>
    </row>
    <row r="21" spans="1:17">
      <c r="A21" s="242" t="s">
        <v>229</v>
      </c>
      <c r="B21" s="150"/>
      <c r="C21" s="242" t="s">
        <v>485</v>
      </c>
      <c r="D21" s="250">
        <v>83078</v>
      </c>
      <c r="E21" s="250" t="s">
        <v>406</v>
      </c>
      <c r="F21" s="325">
        <v>100</v>
      </c>
      <c r="G21" s="250">
        <v>24</v>
      </c>
      <c r="I21" s="242"/>
      <c r="K21" s="68"/>
      <c r="L21" s="68"/>
      <c r="M21" s="253"/>
      <c r="N21" s="68"/>
      <c r="O21" s="68"/>
      <c r="Q21" s="253"/>
    </row>
    <row r="22" spans="1:17">
      <c r="A22" s="242" t="s">
        <v>230</v>
      </c>
      <c r="B22" s="150"/>
      <c r="C22" s="242" t="s">
        <v>415</v>
      </c>
      <c r="D22" s="250">
        <v>310140</v>
      </c>
      <c r="E22" s="248" t="s">
        <v>416</v>
      </c>
      <c r="F22" s="325">
        <v>80</v>
      </c>
      <c r="G22" s="250">
        <v>20</v>
      </c>
      <c r="I22" s="242"/>
      <c r="K22" s="68"/>
      <c r="L22" s="68"/>
      <c r="M22" s="253"/>
      <c r="N22" s="68"/>
      <c r="O22" s="68"/>
      <c r="Q22" s="253"/>
    </row>
    <row r="23" spans="1:17">
      <c r="A23" s="244" t="s">
        <v>231</v>
      </c>
      <c r="B23" s="150"/>
      <c r="C23" s="242" t="s">
        <v>417</v>
      </c>
      <c r="D23" s="250">
        <v>130431</v>
      </c>
      <c r="E23" s="248" t="s">
        <v>416</v>
      </c>
      <c r="F23" s="325">
        <v>80</v>
      </c>
      <c r="G23" s="250">
        <v>20</v>
      </c>
      <c r="I23" s="242"/>
      <c r="K23" s="68"/>
      <c r="L23" s="68"/>
      <c r="M23" s="253"/>
      <c r="N23" s="68"/>
      <c r="O23" s="68"/>
      <c r="Q23" s="253"/>
    </row>
    <row r="24" spans="1:17">
      <c r="A24" s="244" t="s">
        <v>232</v>
      </c>
      <c r="B24" s="150"/>
      <c r="C24" s="242" t="s">
        <v>418</v>
      </c>
      <c r="D24" s="250">
        <v>11090904</v>
      </c>
      <c r="E24" s="248" t="s">
        <v>209</v>
      </c>
      <c r="F24" s="325">
        <v>65</v>
      </c>
      <c r="G24" s="250">
        <v>10</v>
      </c>
      <c r="I24" s="242"/>
      <c r="K24" s="68"/>
      <c r="L24" s="68"/>
      <c r="M24" s="253"/>
      <c r="N24" s="68"/>
      <c r="O24" s="68"/>
      <c r="Q24" s="253"/>
    </row>
    <row r="25" spans="1:17">
      <c r="A25" s="244" t="s">
        <v>233</v>
      </c>
      <c r="B25" s="150"/>
      <c r="C25" s="242" t="s">
        <v>475</v>
      </c>
      <c r="D25" s="250">
        <v>99068925</v>
      </c>
      <c r="E25" s="250" t="s">
        <v>406</v>
      </c>
      <c r="F25" s="325">
        <v>100</v>
      </c>
      <c r="G25" s="250">
        <v>24</v>
      </c>
      <c r="I25" s="242"/>
      <c r="K25" s="68"/>
      <c r="L25" s="68"/>
      <c r="M25" s="253"/>
      <c r="N25" s="68"/>
      <c r="O25" s="68"/>
      <c r="Q25" s="253"/>
    </row>
    <row r="26" spans="1:17">
      <c r="A26" s="243" t="s">
        <v>234</v>
      </c>
      <c r="B26" s="150"/>
      <c r="C26" s="247" t="s">
        <v>479</v>
      </c>
      <c r="D26" s="248">
        <v>97080627</v>
      </c>
      <c r="E26" s="248" t="s">
        <v>209</v>
      </c>
      <c r="F26" s="249">
        <v>65</v>
      </c>
      <c r="G26" s="250">
        <v>10</v>
      </c>
      <c r="I26" s="242"/>
      <c r="K26" s="68"/>
      <c r="L26" s="68"/>
      <c r="M26" s="253"/>
      <c r="N26" s="68"/>
      <c r="O26" s="68"/>
      <c r="Q26" s="253"/>
    </row>
    <row r="27" spans="1:17">
      <c r="A27" s="244" t="s">
        <v>235</v>
      </c>
      <c r="B27" s="150"/>
      <c r="C27" s="242" t="s">
        <v>488</v>
      </c>
      <c r="D27" s="250"/>
      <c r="E27" s="250" t="s">
        <v>406</v>
      </c>
      <c r="F27" s="325">
        <v>100</v>
      </c>
      <c r="G27" s="250">
        <v>24</v>
      </c>
      <c r="I27" s="242"/>
      <c r="K27" s="68"/>
      <c r="L27" s="68"/>
      <c r="M27" s="253"/>
      <c r="N27" s="68"/>
      <c r="O27" s="68"/>
      <c r="Q27" s="253"/>
    </row>
    <row r="28" spans="1:17">
      <c r="A28" s="243" t="s">
        <v>236</v>
      </c>
      <c r="B28" s="150"/>
      <c r="C28" s="242"/>
      <c r="D28" s="250"/>
      <c r="E28" s="248"/>
      <c r="F28" s="249"/>
      <c r="G28" s="250"/>
      <c r="I28" s="242"/>
      <c r="K28" s="68"/>
      <c r="L28" s="68"/>
      <c r="M28" s="253"/>
      <c r="N28" s="68"/>
      <c r="O28" s="68"/>
      <c r="Q28" s="253"/>
    </row>
    <row r="29" spans="1:17">
      <c r="A29" s="243" t="s">
        <v>237</v>
      </c>
      <c r="B29" s="150"/>
      <c r="C29" s="242"/>
      <c r="D29" s="250"/>
      <c r="E29" s="248"/>
      <c r="F29" s="249"/>
      <c r="G29" s="250"/>
      <c r="I29" s="253"/>
      <c r="K29" s="68"/>
      <c r="L29" s="68"/>
      <c r="M29" s="253"/>
      <c r="N29" s="68"/>
      <c r="O29" s="68"/>
      <c r="Q29" s="253"/>
    </row>
    <row r="30" spans="1:17">
      <c r="A30" s="243" t="s">
        <v>238</v>
      </c>
      <c r="B30" s="150"/>
      <c r="C30" s="242"/>
      <c r="D30" s="250"/>
      <c r="E30" s="248"/>
      <c r="F30" s="249"/>
      <c r="G30" s="250"/>
      <c r="I30" s="253"/>
      <c r="K30" s="68"/>
      <c r="L30" s="68"/>
      <c r="M30" s="253"/>
      <c r="N30" s="68"/>
      <c r="O30" s="68"/>
      <c r="Q30" s="253"/>
    </row>
    <row r="31" spans="1:17">
      <c r="A31" s="243" t="s">
        <v>239</v>
      </c>
      <c r="B31" s="150"/>
      <c r="C31" s="242"/>
      <c r="D31" s="250"/>
      <c r="E31" s="248"/>
      <c r="F31" s="249"/>
      <c r="G31" s="250"/>
      <c r="I31" s="253"/>
      <c r="K31" s="68"/>
      <c r="L31" s="68"/>
      <c r="M31" s="253"/>
      <c r="N31" s="68"/>
      <c r="O31" s="68"/>
      <c r="Q31" s="253"/>
    </row>
    <row r="32" spans="1:17">
      <c r="A32" s="245" t="s">
        <v>240</v>
      </c>
      <c r="B32" s="150"/>
      <c r="C32" s="242"/>
      <c r="D32" s="250"/>
      <c r="E32" s="248"/>
      <c r="F32" s="249"/>
      <c r="G32" s="250"/>
      <c r="I32" s="253"/>
      <c r="K32" s="68"/>
      <c r="L32" s="68"/>
      <c r="M32" s="253"/>
      <c r="N32" s="68"/>
      <c r="O32" s="68"/>
      <c r="Q32" s="253"/>
    </row>
    <row r="33" spans="1:17">
      <c r="A33" s="245" t="s">
        <v>241</v>
      </c>
      <c r="B33" s="150"/>
      <c r="C33" s="242"/>
      <c r="D33" s="250"/>
      <c r="E33" s="248"/>
      <c r="F33" s="249"/>
      <c r="G33" s="250"/>
      <c r="I33" s="253"/>
      <c r="K33" s="68"/>
      <c r="L33" s="68"/>
      <c r="M33" s="253"/>
      <c r="N33" s="68"/>
      <c r="O33" s="68"/>
      <c r="Q33" s="253"/>
    </row>
    <row r="34" spans="1:17">
      <c r="A34" s="245" t="s">
        <v>242</v>
      </c>
      <c r="B34" s="150"/>
      <c r="C34" s="242"/>
      <c r="D34" s="250"/>
      <c r="E34" s="248"/>
      <c r="F34" s="249"/>
      <c r="G34" s="250"/>
      <c r="I34" s="253"/>
      <c r="K34" s="68"/>
      <c r="L34" s="68"/>
      <c r="M34" s="253"/>
      <c r="N34" s="68"/>
      <c r="O34" s="68"/>
      <c r="Q34" s="253"/>
    </row>
    <row r="35" spans="1:17">
      <c r="A35" s="245" t="s">
        <v>243</v>
      </c>
      <c r="B35" s="150"/>
      <c r="C35" s="242"/>
      <c r="D35" s="250"/>
      <c r="E35" s="248"/>
      <c r="F35" s="249"/>
      <c r="G35" s="250"/>
      <c r="I35" s="253"/>
      <c r="K35" s="68"/>
      <c r="L35" s="68"/>
      <c r="M35" s="253"/>
      <c r="N35" s="68"/>
      <c r="O35" s="68"/>
      <c r="Q35" s="253"/>
    </row>
    <row r="36" spans="1:17">
      <c r="A36" s="244" t="s">
        <v>244</v>
      </c>
      <c r="B36" s="150"/>
      <c r="C36" s="242"/>
      <c r="D36" s="250"/>
      <c r="E36" s="248"/>
      <c r="F36" s="249"/>
      <c r="G36" s="250"/>
      <c r="I36" s="253"/>
      <c r="K36" s="68"/>
      <c r="L36" s="68"/>
      <c r="M36" s="253"/>
      <c r="N36" s="68"/>
      <c r="O36" s="68"/>
      <c r="Q36" s="253"/>
    </row>
    <row r="37" spans="1:17">
      <c r="A37" s="244" t="s">
        <v>245</v>
      </c>
      <c r="B37" s="150"/>
      <c r="C37" s="242"/>
      <c r="D37" s="250"/>
      <c r="E37" s="248"/>
      <c r="F37" s="249"/>
      <c r="G37" s="250"/>
      <c r="I37" s="253"/>
      <c r="K37" s="68"/>
      <c r="L37" s="68"/>
      <c r="M37" s="253"/>
      <c r="N37" s="68"/>
      <c r="O37" s="68"/>
      <c r="Q37" s="253"/>
    </row>
    <row r="38" spans="1:17">
      <c r="A38" s="244" t="s">
        <v>246</v>
      </c>
      <c r="B38" s="150"/>
      <c r="C38" s="242"/>
      <c r="D38" s="250"/>
      <c r="E38" s="248"/>
      <c r="F38" s="249"/>
      <c r="G38" s="250"/>
      <c r="I38" s="253"/>
      <c r="K38" s="68"/>
      <c r="L38" s="68"/>
      <c r="M38" s="253"/>
      <c r="N38" s="68"/>
      <c r="O38" s="68"/>
      <c r="Q38" s="253"/>
    </row>
    <row r="39" spans="1:17">
      <c r="A39" s="244" t="s">
        <v>247</v>
      </c>
      <c r="B39" s="150"/>
      <c r="C39" s="242"/>
      <c r="D39" s="250"/>
      <c r="E39" s="248"/>
      <c r="F39" s="249"/>
      <c r="G39" s="250"/>
      <c r="I39" s="253"/>
      <c r="K39" s="68"/>
      <c r="L39" s="68"/>
      <c r="M39" s="253"/>
      <c r="N39" s="68"/>
      <c r="O39" s="68"/>
      <c r="Q39" s="253"/>
    </row>
    <row r="40" spans="1:17">
      <c r="A40" s="243" t="s">
        <v>248</v>
      </c>
      <c r="B40" s="150"/>
      <c r="C40" s="242"/>
      <c r="D40" s="250"/>
      <c r="E40" s="248"/>
      <c r="F40" s="249"/>
      <c r="G40" s="250"/>
      <c r="I40" s="253"/>
      <c r="K40" s="68"/>
      <c r="L40" s="68"/>
      <c r="M40" s="253"/>
      <c r="N40" s="68"/>
      <c r="O40" s="68"/>
      <c r="Q40" s="253"/>
    </row>
    <row r="41" spans="1:17">
      <c r="A41" s="243" t="s">
        <v>249</v>
      </c>
      <c r="B41" s="150"/>
      <c r="C41" s="242"/>
      <c r="D41" s="250"/>
      <c r="E41" s="248"/>
      <c r="F41" s="249"/>
      <c r="G41" s="250"/>
      <c r="I41" s="253"/>
      <c r="K41" s="68"/>
      <c r="L41" s="68"/>
      <c r="M41" s="253"/>
      <c r="N41" s="68"/>
      <c r="O41" s="68"/>
      <c r="Q41" s="253"/>
    </row>
    <row r="42" spans="1:17">
      <c r="A42" s="243" t="s">
        <v>250</v>
      </c>
      <c r="B42" s="150"/>
      <c r="C42" s="242"/>
      <c r="D42" s="250"/>
      <c r="E42" s="248"/>
      <c r="F42" s="249"/>
      <c r="G42" s="250"/>
      <c r="I42" s="253"/>
      <c r="K42" s="68"/>
      <c r="L42" s="68"/>
      <c r="M42" s="68"/>
      <c r="N42" s="68"/>
      <c r="O42" s="68"/>
      <c r="Q42" s="253"/>
    </row>
    <row r="43" spans="1:17">
      <c r="A43" s="243" t="s">
        <v>251</v>
      </c>
      <c r="B43" s="150"/>
      <c r="C43" s="242"/>
      <c r="D43" s="250"/>
      <c r="E43" s="248"/>
      <c r="F43" s="249"/>
      <c r="G43" s="250"/>
      <c r="I43" s="253"/>
      <c r="K43" s="68"/>
      <c r="L43" s="68"/>
      <c r="M43" s="68"/>
      <c r="N43" s="68"/>
      <c r="O43" s="68"/>
      <c r="Q43" s="253"/>
    </row>
    <row r="44" spans="1:17">
      <c r="A44" s="243" t="s">
        <v>252</v>
      </c>
      <c r="B44" s="150"/>
      <c r="C44" s="242"/>
      <c r="D44" s="250"/>
      <c r="E44" s="248"/>
      <c r="F44" s="249"/>
      <c r="G44" s="250"/>
      <c r="I44" s="253"/>
      <c r="K44" s="68"/>
      <c r="L44" s="68"/>
      <c r="M44" s="68"/>
      <c r="N44" s="68"/>
      <c r="O44" s="68"/>
      <c r="Q44" s="253"/>
    </row>
    <row r="45" spans="1:17">
      <c r="A45" s="242" t="s">
        <v>394</v>
      </c>
      <c r="B45" s="150"/>
      <c r="C45" s="251"/>
      <c r="D45" s="251"/>
      <c r="E45" s="251"/>
      <c r="F45" s="252"/>
      <c r="G45" s="244"/>
      <c r="I45" s="253"/>
      <c r="O45" s="68"/>
      <c r="Q45" s="253"/>
    </row>
    <row r="46" spans="1:17">
      <c r="A46" s="242" t="s">
        <v>395</v>
      </c>
      <c r="B46" s="150"/>
      <c r="C46" s="251"/>
      <c r="D46" s="251"/>
      <c r="E46" s="251"/>
      <c r="F46" s="252"/>
      <c r="G46" s="244"/>
      <c r="I46" s="253"/>
      <c r="Q46" s="253"/>
    </row>
    <row r="47" spans="1:17">
      <c r="A47" s="242" t="s">
        <v>396</v>
      </c>
      <c r="B47" s="150"/>
      <c r="C47" s="251"/>
      <c r="D47" s="251"/>
      <c r="E47" s="251"/>
      <c r="F47" s="252"/>
      <c r="G47" s="244"/>
      <c r="I47" s="253"/>
      <c r="Q47" s="253"/>
    </row>
    <row r="48" spans="1:17">
      <c r="A48" s="244" t="s">
        <v>397</v>
      </c>
      <c r="B48" s="150"/>
      <c r="C48" s="251"/>
      <c r="D48" s="251"/>
      <c r="E48" s="251"/>
      <c r="F48" s="252"/>
      <c r="G48" s="244"/>
      <c r="I48" s="253"/>
      <c r="Q48" s="253"/>
    </row>
    <row r="49" spans="1:17">
      <c r="A49" s="244"/>
      <c r="B49" s="150"/>
      <c r="C49" s="251"/>
      <c r="D49" s="251"/>
      <c r="E49" s="251"/>
      <c r="F49" s="252"/>
      <c r="G49" s="244"/>
      <c r="I49" s="253"/>
      <c r="Q49" s="253"/>
    </row>
    <row r="50" spans="1:17">
      <c r="A50" s="244"/>
      <c r="B50" s="150"/>
      <c r="C50" s="251"/>
      <c r="D50" s="251"/>
      <c r="E50" s="251"/>
      <c r="F50" s="252"/>
      <c r="G50" s="244"/>
      <c r="I50" s="253"/>
      <c r="Q50" s="253"/>
    </row>
    <row r="51" spans="1:17">
      <c r="A51" s="242"/>
      <c r="B51" s="150"/>
      <c r="C51" s="251"/>
      <c r="D51" s="251"/>
      <c r="E51" s="251"/>
      <c r="F51" s="252"/>
      <c r="G51" s="244"/>
      <c r="I51" s="253"/>
      <c r="Q51" s="253"/>
    </row>
    <row r="52" spans="1:17">
      <c r="A52" s="242"/>
      <c r="B52" s="150"/>
      <c r="C52" s="251"/>
      <c r="D52" s="251"/>
      <c r="E52" s="251"/>
      <c r="F52" s="252"/>
      <c r="G52" s="244"/>
      <c r="I52" s="253"/>
      <c r="Q52" s="253"/>
    </row>
    <row r="53" spans="1:17">
      <c r="A53" s="242"/>
      <c r="B53" s="150"/>
      <c r="C53" s="247"/>
      <c r="D53" s="248"/>
      <c r="E53" s="248"/>
      <c r="F53" s="249"/>
      <c r="G53" s="250"/>
      <c r="I53" s="253"/>
      <c r="Q53" s="253"/>
    </row>
    <row r="54" spans="1:17">
      <c r="A54" s="242"/>
      <c r="B54" s="150"/>
      <c r="C54" s="247"/>
      <c r="D54" s="248"/>
      <c r="E54" s="248"/>
      <c r="F54" s="249"/>
      <c r="G54" s="250"/>
      <c r="I54" s="253"/>
      <c r="Q54" s="253"/>
    </row>
    <row r="55" spans="1:17">
      <c r="A55" s="244"/>
      <c r="B55" s="150"/>
      <c r="C55" s="247"/>
      <c r="D55" s="248"/>
      <c r="E55" s="248"/>
      <c r="F55" s="249"/>
      <c r="G55" s="250"/>
      <c r="I55" s="253"/>
      <c r="Q55" s="253"/>
    </row>
    <row r="56" spans="1:17">
      <c r="A56" s="244"/>
      <c r="B56" s="150"/>
      <c r="C56" s="247"/>
      <c r="D56" s="248"/>
      <c r="E56" s="248"/>
      <c r="F56" s="249"/>
      <c r="G56" s="250"/>
      <c r="I56" s="253"/>
      <c r="Q56" s="253"/>
    </row>
    <row r="57" spans="1:17">
      <c r="A57" s="243"/>
      <c r="B57" s="150"/>
      <c r="C57" s="247"/>
      <c r="D57" s="248"/>
      <c r="E57" s="248"/>
      <c r="F57" s="249"/>
      <c r="G57" s="250"/>
      <c r="I57" s="253"/>
      <c r="Q57" s="253"/>
    </row>
    <row r="58" spans="1:17">
      <c r="A58" s="245"/>
      <c r="B58" s="150"/>
      <c r="C58" s="247"/>
      <c r="D58" s="248"/>
      <c r="E58" s="248"/>
      <c r="F58" s="249"/>
      <c r="G58" s="250"/>
      <c r="I58" s="253"/>
      <c r="Q58" s="253"/>
    </row>
    <row r="59" spans="1:17">
      <c r="A59" s="245"/>
      <c r="B59" s="150"/>
      <c r="C59" s="247"/>
      <c r="D59" s="248"/>
      <c r="E59" s="248"/>
      <c r="F59" s="249"/>
      <c r="G59" s="250"/>
      <c r="I59" s="253"/>
      <c r="Q59" s="253"/>
    </row>
    <row r="60" spans="1:17">
      <c r="A60" s="244"/>
      <c r="B60" s="150"/>
      <c r="C60" s="247"/>
      <c r="D60" s="248"/>
      <c r="E60" s="248"/>
      <c r="F60" s="249"/>
      <c r="G60" s="250"/>
      <c r="I60" s="253"/>
      <c r="Q60" s="253"/>
    </row>
    <row r="61" spans="1:17">
      <c r="A61" s="244"/>
      <c r="B61" s="150"/>
      <c r="C61" s="247"/>
      <c r="D61" s="250"/>
      <c r="E61" s="248"/>
      <c r="F61" s="249"/>
      <c r="G61" s="250"/>
      <c r="I61" s="253"/>
      <c r="Q61" s="253"/>
    </row>
    <row r="62" spans="1:17">
      <c r="A62" s="244"/>
      <c r="B62" s="150"/>
      <c r="C62" s="247"/>
      <c r="D62" s="250"/>
      <c r="E62" s="250"/>
      <c r="F62" s="249"/>
      <c r="G62" s="250"/>
      <c r="I62" s="253"/>
      <c r="Q62" s="253"/>
    </row>
    <row r="63" spans="1:17">
      <c r="A63" s="245"/>
      <c r="B63" s="150"/>
      <c r="C63" s="247"/>
      <c r="D63" s="250"/>
      <c r="E63" s="250"/>
      <c r="F63" s="249"/>
      <c r="G63" s="250"/>
      <c r="I63" s="253"/>
      <c r="Q63" s="253"/>
    </row>
    <row r="64" spans="1:17">
      <c r="A64" s="245"/>
      <c r="B64" s="150"/>
      <c r="C64" s="247"/>
      <c r="D64" s="250"/>
      <c r="E64" s="250"/>
      <c r="F64" s="249"/>
      <c r="G64" s="250"/>
      <c r="I64" s="253"/>
      <c r="Q64" s="253"/>
    </row>
    <row r="65" spans="1:17">
      <c r="A65" s="245"/>
      <c r="B65" s="150"/>
      <c r="C65" s="247"/>
      <c r="D65" s="250"/>
      <c r="E65" s="250"/>
      <c r="F65" s="249"/>
      <c r="G65" s="250"/>
      <c r="I65" s="253"/>
      <c r="Q65" s="253"/>
    </row>
    <row r="66" spans="1:17">
      <c r="A66" s="245"/>
      <c r="B66" s="150"/>
      <c r="C66" s="247"/>
      <c r="D66" s="250"/>
      <c r="E66" s="248"/>
      <c r="F66" s="249"/>
      <c r="G66" s="250"/>
      <c r="I66" s="253"/>
      <c r="Q66" s="253"/>
    </row>
    <row r="67" spans="1:17">
      <c r="A67" s="245"/>
      <c r="B67" s="150"/>
      <c r="C67" s="247"/>
      <c r="D67" s="250"/>
      <c r="E67" s="250"/>
      <c r="F67" s="249"/>
      <c r="G67" s="250"/>
      <c r="I67" s="253"/>
      <c r="Q67" s="253"/>
    </row>
    <row r="68" spans="1:17">
      <c r="A68" s="245"/>
      <c r="B68" s="150"/>
      <c r="C68" s="247"/>
      <c r="D68" s="250"/>
      <c r="E68" s="250"/>
      <c r="F68" s="249"/>
      <c r="G68" s="250"/>
      <c r="I68" s="253"/>
      <c r="Q68" s="253"/>
    </row>
    <row r="69" spans="1:17">
      <c r="A69" s="245"/>
      <c r="B69" s="150"/>
      <c r="C69" s="247"/>
      <c r="D69" s="250"/>
      <c r="E69" s="248"/>
      <c r="F69" s="249"/>
      <c r="G69" s="250"/>
      <c r="I69" s="253"/>
      <c r="Q69" s="253"/>
    </row>
    <row r="70" spans="1:17">
      <c r="A70" s="245"/>
      <c r="B70" s="150"/>
      <c r="C70" s="247"/>
      <c r="D70" s="250"/>
      <c r="E70" s="248"/>
      <c r="F70" s="249"/>
      <c r="G70" s="250"/>
      <c r="I70" s="253"/>
      <c r="Q70" s="253"/>
    </row>
    <row r="71" spans="1:17">
      <c r="A71" s="245"/>
      <c r="B71" s="150"/>
      <c r="C71" s="247"/>
      <c r="D71" s="250"/>
      <c r="E71" s="248"/>
      <c r="F71" s="249"/>
      <c r="G71" s="250"/>
      <c r="I71" s="253"/>
      <c r="Q71" s="253"/>
    </row>
    <row r="72" spans="1:17">
      <c r="A72" s="245"/>
      <c r="B72" s="150"/>
      <c r="C72" s="253"/>
      <c r="D72" s="250"/>
      <c r="E72" s="250"/>
      <c r="F72" s="253"/>
      <c r="G72" s="253"/>
      <c r="I72" s="253"/>
      <c r="Q72" s="253"/>
    </row>
    <row r="73" spans="1:17">
      <c r="A73" s="245"/>
      <c r="B73" s="150"/>
      <c r="C73" s="253"/>
      <c r="D73" s="250"/>
      <c r="E73" s="250"/>
      <c r="F73" s="253"/>
      <c r="G73" s="253"/>
      <c r="I73" s="253"/>
      <c r="Q73" s="253"/>
    </row>
    <row r="74" spans="1:17">
      <c r="A74" s="246"/>
      <c r="B74" s="150"/>
      <c r="C74" s="253"/>
      <c r="D74" s="250"/>
      <c r="E74" s="250"/>
      <c r="F74" s="253"/>
      <c r="G74" s="253"/>
      <c r="I74" s="253"/>
      <c r="Q74" s="253"/>
    </row>
    <row r="75" spans="1:17">
      <c r="A75" s="246"/>
      <c r="C75" s="253"/>
      <c r="D75" s="250"/>
      <c r="E75" s="250"/>
      <c r="F75" s="253"/>
      <c r="G75" s="253"/>
      <c r="I75" s="253"/>
      <c r="Q75" s="253"/>
    </row>
    <row r="76" spans="1:17">
      <c r="A76" s="246"/>
      <c r="C76" s="253"/>
      <c r="D76" s="250"/>
      <c r="E76" s="250"/>
      <c r="F76" s="253"/>
      <c r="G76" s="253"/>
      <c r="I76" s="253"/>
      <c r="Q76" s="253"/>
    </row>
    <row r="77" spans="1:17">
      <c r="A77" s="246"/>
      <c r="C77" s="253"/>
      <c r="D77" s="250"/>
      <c r="E77" s="250"/>
      <c r="F77" s="253"/>
      <c r="G77" s="253"/>
      <c r="I77" s="253"/>
      <c r="Q77" s="253"/>
    </row>
    <row r="78" spans="1:17">
      <c r="A78" s="245"/>
      <c r="C78" s="247"/>
      <c r="D78" s="248"/>
      <c r="E78" s="248"/>
      <c r="F78" s="248"/>
      <c r="G78" s="250"/>
      <c r="I78" s="253"/>
      <c r="Q78" s="253"/>
    </row>
    <row r="79" spans="1:17">
      <c r="A79" s="245"/>
      <c r="C79" s="247"/>
      <c r="D79" s="248"/>
      <c r="E79" s="248"/>
      <c r="F79" s="248"/>
      <c r="G79" s="250"/>
      <c r="I79" s="253"/>
      <c r="Q79" s="253"/>
    </row>
    <row r="80" spans="1:17">
      <c r="A80" s="245"/>
      <c r="C80" s="247"/>
      <c r="D80" s="248"/>
      <c r="E80" s="248"/>
      <c r="F80" s="248"/>
      <c r="G80" s="250"/>
      <c r="I80" s="253"/>
      <c r="Q80" s="253"/>
    </row>
    <row r="81" spans="1:17">
      <c r="A81" s="245"/>
      <c r="C81" s="247"/>
      <c r="D81" s="248"/>
      <c r="E81" s="248"/>
      <c r="F81" s="248"/>
      <c r="G81" s="250"/>
      <c r="I81" s="253"/>
      <c r="Q81" s="253"/>
    </row>
    <row r="82" spans="1:17">
      <c r="A82" s="245"/>
      <c r="C82" s="247"/>
      <c r="D82" s="248"/>
      <c r="E82" s="248"/>
      <c r="F82" s="248"/>
      <c r="G82" s="250"/>
      <c r="I82" s="253"/>
      <c r="Q82" s="253"/>
    </row>
    <row r="83" spans="1:17">
      <c r="A83" s="245"/>
      <c r="C83" s="247"/>
      <c r="D83" s="248"/>
      <c r="E83" s="248"/>
      <c r="F83" s="248"/>
      <c r="G83" s="250"/>
      <c r="I83" s="253"/>
      <c r="Q83" s="253"/>
    </row>
    <row r="84" spans="1:17">
      <c r="A84" s="245"/>
      <c r="C84" s="247"/>
      <c r="D84" s="248"/>
      <c r="E84" s="248"/>
      <c r="F84" s="248"/>
      <c r="G84" s="250"/>
      <c r="I84" s="253"/>
      <c r="Q84" s="253"/>
    </row>
    <row r="85" spans="1:17">
      <c r="A85" s="245"/>
      <c r="C85" s="247"/>
      <c r="D85" s="248"/>
      <c r="E85" s="248"/>
      <c r="F85" s="248"/>
      <c r="G85" s="250"/>
      <c r="I85" s="253"/>
      <c r="Q85" s="253"/>
    </row>
    <row r="86" spans="1:17">
      <c r="A86" s="245"/>
      <c r="C86" s="247"/>
      <c r="D86" s="248"/>
      <c r="E86" s="248"/>
      <c r="F86" s="248"/>
      <c r="G86" s="250"/>
      <c r="I86" s="253"/>
      <c r="Q86" s="253"/>
    </row>
    <row r="87" spans="1:17">
      <c r="A87" s="245"/>
      <c r="C87" s="247"/>
      <c r="D87" s="248"/>
      <c r="E87" s="248"/>
      <c r="F87" s="248"/>
      <c r="G87" s="253"/>
      <c r="I87" s="253"/>
      <c r="Q87" s="253"/>
    </row>
    <row r="88" spans="1:17">
      <c r="A88" s="245"/>
      <c r="C88" s="247"/>
      <c r="D88" s="248"/>
      <c r="E88" s="248"/>
      <c r="F88" s="248"/>
      <c r="G88" s="253"/>
      <c r="I88" s="253"/>
      <c r="Q88" s="253"/>
    </row>
    <row r="89" spans="1:17">
      <c r="A89" s="245"/>
      <c r="C89" s="247"/>
      <c r="D89" s="248"/>
      <c r="E89" s="248"/>
      <c r="F89" s="248"/>
      <c r="G89" s="253"/>
      <c r="I89" s="253"/>
      <c r="Q89" s="253"/>
    </row>
    <row r="90" spans="1:17">
      <c r="A90" s="245"/>
      <c r="C90" s="247"/>
      <c r="D90" s="248"/>
      <c r="E90" s="248"/>
      <c r="F90" s="248"/>
      <c r="G90" s="253"/>
      <c r="I90" s="253"/>
      <c r="Q90" s="253"/>
    </row>
    <row r="91" spans="1:17">
      <c r="A91" s="245"/>
      <c r="C91" s="247"/>
      <c r="D91" s="248"/>
      <c r="E91" s="248"/>
      <c r="F91" s="248"/>
      <c r="G91" s="253"/>
      <c r="I91" s="253"/>
      <c r="Q91" s="253"/>
    </row>
    <row r="92" spans="1:17">
      <c r="A92" s="245"/>
      <c r="C92" s="247"/>
      <c r="D92" s="248"/>
      <c r="E92" s="248"/>
      <c r="F92" s="248"/>
      <c r="G92" s="253"/>
      <c r="I92" s="253"/>
      <c r="Q92" s="253"/>
    </row>
    <row r="93" spans="1:17">
      <c r="A93" s="245"/>
      <c r="C93" s="247"/>
      <c r="D93" s="248"/>
      <c r="E93" s="248"/>
      <c r="F93" s="248"/>
      <c r="G93" s="253"/>
      <c r="I93" s="253"/>
      <c r="Q93" s="253"/>
    </row>
    <row r="94" spans="1:17">
      <c r="A94" s="245"/>
      <c r="C94" s="247"/>
      <c r="D94" s="248"/>
      <c r="E94" s="248"/>
      <c r="F94" s="248"/>
      <c r="G94" s="253"/>
      <c r="I94" s="253"/>
      <c r="Q94" s="253"/>
    </row>
    <row r="95" spans="1:17">
      <c r="A95" s="245"/>
      <c r="C95" s="247"/>
      <c r="D95" s="248"/>
      <c r="E95" s="248"/>
      <c r="F95" s="248"/>
      <c r="G95" s="253"/>
      <c r="I95" s="253"/>
      <c r="Q95" s="253"/>
    </row>
    <row r="96" spans="1:17">
      <c r="A96" s="245"/>
      <c r="C96" s="247"/>
      <c r="D96" s="248"/>
      <c r="E96" s="248"/>
      <c r="F96" s="248"/>
      <c r="G96" s="253"/>
      <c r="I96" s="253"/>
      <c r="Q96" s="253"/>
    </row>
    <row r="97" spans="1:17">
      <c r="A97" s="245"/>
      <c r="C97" s="247"/>
      <c r="D97" s="248"/>
      <c r="E97" s="248"/>
      <c r="F97" s="248"/>
      <c r="G97" s="253"/>
      <c r="I97" s="253"/>
      <c r="Q97" s="253"/>
    </row>
    <row r="98" spans="1:17">
      <c r="A98" s="245"/>
      <c r="C98" s="247"/>
      <c r="D98" s="248"/>
      <c r="E98" s="248"/>
      <c r="F98" s="248"/>
      <c r="G98" s="253"/>
      <c r="I98" s="253"/>
      <c r="Q98" s="253"/>
    </row>
    <row r="99" spans="1:17">
      <c r="A99" s="245"/>
      <c r="C99" s="247"/>
      <c r="D99" s="248"/>
      <c r="E99" s="248"/>
      <c r="F99" s="248"/>
      <c r="G99" s="253"/>
      <c r="I99" s="253"/>
      <c r="Q99" s="253"/>
    </row>
    <row r="100" spans="1:17">
      <c r="A100" s="245"/>
      <c r="C100" s="247"/>
      <c r="D100" s="248"/>
      <c r="E100" s="248"/>
      <c r="F100" s="248"/>
      <c r="G100" s="253"/>
      <c r="I100" s="253"/>
      <c r="Q100" s="253"/>
    </row>
    <row r="101" spans="1:17">
      <c r="A101" s="245"/>
      <c r="C101" s="247"/>
      <c r="D101" s="248"/>
      <c r="E101" s="248"/>
      <c r="F101" s="248"/>
      <c r="G101" s="253"/>
      <c r="I101" s="253"/>
      <c r="Q101" s="253"/>
    </row>
    <row r="102" spans="1:17">
      <c r="A102" s="245"/>
      <c r="C102" s="247"/>
      <c r="D102" s="248"/>
      <c r="E102" s="250"/>
      <c r="F102" s="250"/>
      <c r="G102" s="253"/>
      <c r="I102" s="253"/>
      <c r="Q102" s="253"/>
    </row>
    <row r="103" spans="1:17">
      <c r="A103" s="245"/>
      <c r="C103" s="247"/>
      <c r="D103" s="248"/>
      <c r="E103" s="250"/>
      <c r="F103" s="250"/>
      <c r="G103" s="253"/>
      <c r="I103" s="253"/>
      <c r="Q103" s="253"/>
    </row>
    <row r="104" spans="1:17">
      <c r="A104" s="245"/>
      <c r="C104" s="247"/>
      <c r="D104" s="248"/>
      <c r="E104" s="250"/>
      <c r="F104" s="250"/>
      <c r="G104" s="253"/>
      <c r="I104" s="253"/>
      <c r="Q104" s="253"/>
    </row>
    <row r="105" spans="1:17">
      <c r="A105" s="245"/>
      <c r="C105" s="247"/>
      <c r="D105" s="248"/>
      <c r="E105" s="250"/>
      <c r="F105" s="250"/>
      <c r="G105" s="253"/>
      <c r="I105" s="253"/>
      <c r="Q105" s="253"/>
    </row>
    <row r="106" spans="1:17">
      <c r="A106" s="245"/>
      <c r="C106" s="247"/>
      <c r="D106" s="248"/>
      <c r="E106" s="250"/>
      <c r="F106" s="250"/>
      <c r="G106" s="253"/>
      <c r="I106" s="253"/>
      <c r="Q106" s="253"/>
    </row>
    <row r="107" spans="1:17">
      <c r="A107" s="245"/>
      <c r="C107" s="247"/>
      <c r="D107" s="248"/>
      <c r="E107" s="250"/>
      <c r="F107" s="250"/>
      <c r="G107" s="253"/>
      <c r="I107" s="253"/>
      <c r="Q107" s="253"/>
    </row>
    <row r="108" spans="1:17">
      <c r="A108" s="245"/>
      <c r="C108" s="247"/>
      <c r="D108" s="248"/>
      <c r="E108" s="250"/>
      <c r="F108" s="250"/>
      <c r="G108" s="253"/>
      <c r="I108" s="253"/>
      <c r="Q108" s="253"/>
    </row>
    <row r="109" spans="1:17">
      <c r="A109" s="245"/>
      <c r="C109" s="247"/>
      <c r="D109" s="248"/>
      <c r="E109" s="250"/>
      <c r="F109" s="250"/>
      <c r="G109" s="253"/>
      <c r="I109" s="253"/>
      <c r="Q109" s="253"/>
    </row>
    <row r="110" spans="1:17">
      <c r="A110" s="245"/>
      <c r="C110" s="247"/>
      <c r="D110" s="248"/>
      <c r="E110" s="250"/>
      <c r="F110" s="250"/>
      <c r="G110" s="253"/>
      <c r="I110" s="253"/>
      <c r="Q110" s="253"/>
    </row>
    <row r="111" spans="1:17">
      <c r="A111" s="245"/>
      <c r="C111" s="242"/>
      <c r="D111" s="248"/>
      <c r="E111" s="250"/>
      <c r="F111" s="250"/>
      <c r="G111" s="253"/>
      <c r="I111" s="253"/>
      <c r="Q111" s="253"/>
    </row>
    <row r="112" spans="1:17">
      <c r="A112" s="245"/>
      <c r="C112" s="242"/>
      <c r="D112" s="250"/>
      <c r="E112" s="250"/>
      <c r="F112" s="253"/>
      <c r="G112" s="250"/>
      <c r="I112" s="253"/>
      <c r="Q112" s="253"/>
    </row>
    <row r="113" spans="1:17">
      <c r="A113" s="245"/>
      <c r="C113" s="242"/>
      <c r="D113" s="250"/>
      <c r="E113" s="250"/>
      <c r="F113" s="253"/>
      <c r="G113" s="250"/>
      <c r="I113" s="253"/>
      <c r="Q113" s="253"/>
    </row>
    <row r="114" spans="1:17">
      <c r="A114" s="245"/>
      <c r="C114" s="242"/>
      <c r="D114" s="250"/>
      <c r="E114" s="250"/>
      <c r="F114" s="253"/>
      <c r="G114" s="250"/>
      <c r="I114" s="253"/>
      <c r="Q114" s="253"/>
    </row>
    <row r="115" spans="1:17">
      <c r="A115" s="245"/>
      <c r="C115" s="242"/>
      <c r="D115" s="250"/>
      <c r="E115" s="250"/>
      <c r="F115" s="253"/>
      <c r="G115" s="250"/>
      <c r="I115" s="253"/>
      <c r="Q115" s="253"/>
    </row>
    <row r="116" spans="1:17">
      <c r="A116" s="245"/>
      <c r="C116" s="242"/>
      <c r="D116" s="250"/>
      <c r="E116" s="250"/>
      <c r="F116" s="253"/>
      <c r="G116" s="250"/>
      <c r="I116" s="253"/>
      <c r="Q116" s="253"/>
    </row>
    <row r="117" spans="1:17">
      <c r="A117" s="245"/>
      <c r="C117" s="242"/>
      <c r="D117" s="250"/>
      <c r="E117" s="250"/>
      <c r="F117" s="253"/>
      <c r="G117" s="250"/>
      <c r="I117" s="253"/>
      <c r="Q117" s="253"/>
    </row>
    <row r="118" spans="1:17">
      <c r="A118" s="245"/>
      <c r="C118" s="242"/>
      <c r="D118" s="250"/>
      <c r="E118" s="250"/>
      <c r="F118" s="253"/>
      <c r="G118" s="250"/>
      <c r="I118" s="253"/>
      <c r="Q118" s="253"/>
    </row>
    <row r="119" spans="1:17">
      <c r="A119" s="245"/>
      <c r="C119" s="242"/>
      <c r="D119" s="250"/>
      <c r="E119" s="250"/>
      <c r="F119" s="253"/>
      <c r="G119" s="250"/>
      <c r="I119" s="253"/>
      <c r="Q119" s="253"/>
    </row>
    <row r="120" spans="1:17">
      <c r="A120" s="245"/>
      <c r="C120" s="242"/>
      <c r="D120" s="250"/>
      <c r="E120" s="250"/>
      <c r="F120" s="253"/>
      <c r="G120" s="250"/>
      <c r="I120" s="253"/>
      <c r="Q120" s="253"/>
    </row>
    <row r="121" spans="1:17">
      <c r="A121" s="245"/>
      <c r="C121" s="242"/>
      <c r="D121" s="250"/>
      <c r="E121" s="250"/>
      <c r="F121" s="253"/>
      <c r="G121" s="250"/>
      <c r="I121" s="253"/>
      <c r="Q121" s="253"/>
    </row>
    <row r="122" spans="1:17">
      <c r="A122" s="245"/>
      <c r="C122" s="242"/>
      <c r="D122" s="250"/>
      <c r="E122" s="250"/>
      <c r="F122" s="253"/>
      <c r="G122" s="250"/>
      <c r="I122" s="253"/>
      <c r="Q122" s="253"/>
    </row>
    <row r="123" spans="1:17">
      <c r="A123" s="245"/>
      <c r="C123" s="242"/>
      <c r="D123" s="250"/>
      <c r="E123" s="250"/>
      <c r="F123" s="253"/>
      <c r="G123" s="250"/>
      <c r="I123" s="253"/>
      <c r="Q123" s="253"/>
    </row>
    <row r="124" spans="1:17">
      <c r="A124" s="245"/>
      <c r="C124" s="242"/>
      <c r="D124" s="250"/>
      <c r="E124" s="250"/>
      <c r="F124" s="253"/>
      <c r="G124" s="250"/>
      <c r="I124" s="253"/>
      <c r="Q124" s="253"/>
    </row>
    <row r="125" spans="1:17">
      <c r="A125" s="245"/>
      <c r="C125" s="242"/>
      <c r="D125" s="250"/>
      <c r="E125" s="250"/>
      <c r="F125" s="253"/>
      <c r="G125" s="250"/>
      <c r="I125" s="253"/>
      <c r="Q125" s="253"/>
    </row>
    <row r="126" spans="1:17">
      <c r="A126" s="245"/>
      <c r="C126" s="242"/>
      <c r="D126" s="250"/>
      <c r="E126" s="250"/>
      <c r="F126" s="253"/>
      <c r="G126" s="250"/>
      <c r="I126" s="253"/>
      <c r="Q126" s="253"/>
    </row>
    <row r="127" spans="1:17">
      <c r="A127" s="245"/>
      <c r="C127" s="242"/>
      <c r="D127" s="250"/>
      <c r="E127" s="250"/>
      <c r="F127" s="253"/>
      <c r="G127" s="250"/>
      <c r="I127" s="253"/>
      <c r="Q127" s="253"/>
    </row>
    <row r="128" spans="1:17">
      <c r="A128" s="245"/>
      <c r="C128" s="242"/>
      <c r="D128" s="250"/>
      <c r="E128" s="250"/>
      <c r="F128" s="253"/>
      <c r="G128" s="250"/>
      <c r="I128" s="253"/>
      <c r="Q128" s="253"/>
    </row>
    <row r="129" spans="1:17">
      <c r="A129" s="245"/>
      <c r="C129" s="242"/>
      <c r="D129" s="250"/>
      <c r="E129" s="250"/>
      <c r="F129" s="253"/>
      <c r="G129" s="250"/>
      <c r="I129" s="253"/>
      <c r="Q129" s="253"/>
    </row>
    <row r="130" spans="1:17">
      <c r="A130" s="245"/>
      <c r="C130" s="242"/>
      <c r="D130" s="250"/>
      <c r="E130" s="250"/>
      <c r="F130" s="253"/>
      <c r="G130" s="250"/>
      <c r="I130" s="253"/>
      <c r="Q130" s="253"/>
    </row>
    <row r="131" spans="1:17">
      <c r="A131" s="245"/>
      <c r="C131" s="242"/>
      <c r="D131" s="250"/>
      <c r="E131" s="250"/>
      <c r="F131" s="253"/>
      <c r="G131" s="250"/>
      <c r="I131" s="253"/>
      <c r="Q131" s="253"/>
    </row>
    <row r="132" spans="1:17">
      <c r="A132" s="245"/>
      <c r="C132" s="242"/>
      <c r="D132" s="250"/>
      <c r="E132" s="250"/>
      <c r="F132" s="253"/>
      <c r="G132" s="250"/>
      <c r="I132" s="253"/>
      <c r="Q132" s="253"/>
    </row>
    <row r="133" spans="1:17">
      <c r="A133" s="245"/>
      <c r="C133" s="242"/>
      <c r="D133" s="250"/>
      <c r="E133" s="250"/>
      <c r="F133" s="253"/>
      <c r="G133" s="250"/>
      <c r="I133" s="253"/>
      <c r="Q133" s="253"/>
    </row>
    <row r="134" spans="1:17">
      <c r="A134" s="245"/>
      <c r="C134" s="242"/>
      <c r="D134" s="250"/>
      <c r="E134" s="250"/>
      <c r="F134" s="253"/>
      <c r="G134" s="250"/>
      <c r="I134" s="253"/>
      <c r="Q134" s="253"/>
    </row>
    <row r="135" spans="1:17">
      <c r="A135" s="245"/>
      <c r="C135" s="242"/>
      <c r="D135" s="250"/>
      <c r="E135" s="250"/>
      <c r="F135" s="253"/>
      <c r="G135" s="250"/>
      <c r="I135" s="253"/>
      <c r="Q135" s="253"/>
    </row>
    <row r="136" spans="1:17">
      <c r="A136" s="245"/>
      <c r="C136" s="242"/>
      <c r="D136" s="250"/>
      <c r="E136" s="250"/>
      <c r="F136" s="253"/>
      <c r="G136" s="250"/>
      <c r="I136" s="253"/>
      <c r="Q136" s="253"/>
    </row>
    <row r="137" spans="1:17">
      <c r="A137" s="245"/>
      <c r="C137" s="242"/>
      <c r="D137" s="250"/>
      <c r="E137" s="250"/>
      <c r="F137" s="253"/>
      <c r="G137" s="250"/>
      <c r="I137" s="253"/>
      <c r="Q137" s="253"/>
    </row>
    <row r="138" spans="1:17">
      <c r="A138" s="245"/>
      <c r="C138" s="242"/>
      <c r="D138" s="250"/>
      <c r="E138" s="250"/>
      <c r="F138" s="253"/>
      <c r="G138" s="250"/>
      <c r="I138" s="253"/>
      <c r="Q138" s="253"/>
    </row>
    <row r="139" spans="1:17">
      <c r="A139" s="245"/>
      <c r="C139" s="242"/>
      <c r="D139" s="250"/>
      <c r="E139" s="250"/>
      <c r="F139" s="253"/>
      <c r="G139" s="250"/>
      <c r="I139" s="253"/>
      <c r="Q139" s="253"/>
    </row>
    <row r="140" spans="1:17">
      <c r="A140" s="245"/>
      <c r="C140" s="242"/>
      <c r="D140" s="250"/>
      <c r="E140" s="250"/>
      <c r="F140" s="253"/>
      <c r="G140" s="250"/>
      <c r="I140" s="253"/>
      <c r="Q140" s="253"/>
    </row>
    <row r="141" spans="1:17">
      <c r="A141" s="245"/>
      <c r="C141" s="242"/>
      <c r="D141" s="250"/>
      <c r="E141" s="250"/>
      <c r="F141" s="253"/>
      <c r="G141" s="250"/>
      <c r="I141" s="253"/>
      <c r="Q141" s="253"/>
    </row>
    <row r="142" spans="1:17">
      <c r="A142" s="245"/>
      <c r="C142" s="242"/>
      <c r="D142" s="250"/>
      <c r="E142" s="250"/>
      <c r="F142" s="253"/>
      <c r="G142" s="250"/>
      <c r="I142" s="253"/>
      <c r="Q142" s="253"/>
    </row>
    <row r="143" spans="1:17">
      <c r="A143" s="245"/>
      <c r="C143" s="242"/>
      <c r="D143" s="250"/>
      <c r="E143" s="250"/>
      <c r="F143" s="253"/>
      <c r="G143" s="250"/>
      <c r="I143" s="253"/>
      <c r="Q143" s="253"/>
    </row>
    <row r="144" spans="1:17">
      <c r="A144" s="245"/>
      <c r="C144" s="242"/>
      <c r="D144" s="250"/>
      <c r="E144" s="250"/>
      <c r="F144" s="253"/>
      <c r="G144" s="250"/>
      <c r="I144" s="253"/>
      <c r="Q144" s="253"/>
    </row>
    <row r="145" spans="1:17">
      <c r="A145" s="245"/>
      <c r="C145" s="242"/>
      <c r="D145" s="250"/>
      <c r="E145" s="250"/>
      <c r="F145" s="253"/>
      <c r="G145" s="250"/>
      <c r="I145" s="253"/>
      <c r="Q145" s="253"/>
    </row>
    <row r="146" spans="1:17">
      <c r="A146" s="245"/>
      <c r="C146" s="242"/>
      <c r="D146" s="250"/>
      <c r="E146" s="250"/>
      <c r="F146" s="253"/>
      <c r="G146" s="250"/>
      <c r="I146" s="253"/>
      <c r="Q146" s="253"/>
    </row>
    <row r="147" spans="1:17">
      <c r="A147" s="245"/>
      <c r="C147" s="242"/>
      <c r="D147" s="250"/>
      <c r="E147" s="250"/>
      <c r="F147" s="253"/>
      <c r="G147" s="250"/>
      <c r="I147" s="253"/>
      <c r="Q147" s="253"/>
    </row>
    <row r="148" spans="1:17">
      <c r="A148" s="245"/>
      <c r="C148" s="242"/>
      <c r="D148" s="250"/>
      <c r="E148" s="250"/>
      <c r="F148" s="253"/>
      <c r="G148" s="250"/>
      <c r="I148" s="253"/>
      <c r="Q148" s="253"/>
    </row>
    <row r="149" spans="1:17">
      <c r="A149" s="245"/>
      <c r="C149" s="242"/>
      <c r="D149" s="250"/>
      <c r="E149" s="250"/>
      <c r="F149" s="253"/>
      <c r="G149" s="250"/>
      <c r="I149" s="253"/>
      <c r="Q149" s="253"/>
    </row>
    <row r="150" spans="1:17">
      <c r="A150" s="245"/>
      <c r="C150" s="242"/>
      <c r="D150" s="250"/>
      <c r="E150" s="250"/>
      <c r="F150" s="253"/>
      <c r="G150" s="250"/>
      <c r="I150" s="253"/>
      <c r="Q150" s="253"/>
    </row>
    <row r="151" spans="1:17">
      <c r="A151" s="245"/>
      <c r="C151" s="242"/>
      <c r="D151" s="250"/>
      <c r="E151" s="250"/>
      <c r="F151" s="253"/>
      <c r="G151" s="250"/>
      <c r="I151" s="253"/>
      <c r="Q151" s="253"/>
    </row>
    <row r="152" spans="1:17">
      <c r="A152" s="245"/>
      <c r="C152" s="242"/>
      <c r="D152" s="250"/>
      <c r="E152" s="250"/>
      <c r="F152" s="253"/>
      <c r="G152" s="250"/>
      <c r="I152" s="253"/>
      <c r="Q152" s="253"/>
    </row>
    <row r="153" spans="1:17">
      <c r="A153" s="245"/>
      <c r="C153" s="242"/>
      <c r="D153" s="250"/>
      <c r="E153" s="250"/>
      <c r="F153" s="253"/>
      <c r="G153" s="250"/>
      <c r="I153" s="253"/>
      <c r="Q153" s="253"/>
    </row>
    <row r="154" spans="1:17">
      <c r="A154" s="245"/>
      <c r="C154" s="242"/>
      <c r="D154" s="250"/>
      <c r="E154" s="250"/>
      <c r="F154" s="253"/>
      <c r="G154" s="250"/>
      <c r="I154" s="253"/>
      <c r="Q154" s="253"/>
    </row>
    <row r="155" spans="1:17">
      <c r="A155" s="245"/>
      <c r="C155" s="242"/>
      <c r="D155" s="250"/>
      <c r="E155" s="250"/>
      <c r="F155" s="253"/>
      <c r="G155" s="250"/>
      <c r="I155" s="253"/>
      <c r="Q155" s="253"/>
    </row>
    <row r="156" spans="1:17">
      <c r="A156" s="245"/>
      <c r="C156" s="242"/>
      <c r="D156" s="250"/>
      <c r="E156" s="250"/>
      <c r="F156" s="253"/>
      <c r="G156" s="250"/>
      <c r="I156" s="253"/>
      <c r="Q156" s="253"/>
    </row>
    <row r="157" spans="1:17">
      <c r="A157" s="245"/>
      <c r="C157" s="242"/>
      <c r="D157" s="250"/>
      <c r="E157" s="250"/>
      <c r="F157" s="253"/>
      <c r="G157" s="250"/>
      <c r="I157" s="253"/>
      <c r="Q157" s="253"/>
    </row>
    <row r="158" spans="1:17">
      <c r="A158" s="245"/>
      <c r="C158" s="242"/>
      <c r="D158" s="250"/>
      <c r="E158" s="250"/>
      <c r="F158" s="253"/>
      <c r="G158" s="250"/>
      <c r="I158" s="253"/>
      <c r="Q158" s="253"/>
    </row>
    <row r="159" spans="1:17">
      <c r="A159" s="245"/>
      <c r="C159" s="242"/>
      <c r="D159" s="250"/>
      <c r="E159" s="250"/>
      <c r="F159" s="253"/>
      <c r="G159" s="250"/>
      <c r="I159" s="253"/>
      <c r="Q159" s="253"/>
    </row>
    <row r="160" spans="1:17">
      <c r="A160" s="245"/>
      <c r="C160" s="242"/>
      <c r="D160" s="250"/>
      <c r="E160" s="250"/>
      <c r="F160" s="253"/>
      <c r="G160" s="250"/>
      <c r="I160" s="253"/>
      <c r="Q160" s="253"/>
    </row>
    <row r="161" spans="1:17">
      <c r="A161" s="245"/>
      <c r="C161" s="242"/>
      <c r="D161" s="250"/>
      <c r="E161" s="250"/>
      <c r="F161" s="253"/>
      <c r="G161" s="250"/>
      <c r="I161" s="253"/>
      <c r="Q161" s="253"/>
    </row>
    <row r="162" spans="1:17">
      <c r="A162" s="245"/>
      <c r="C162" s="242"/>
      <c r="D162" s="250"/>
      <c r="E162" s="250"/>
      <c r="F162" s="253"/>
      <c r="G162" s="250"/>
      <c r="I162" s="253"/>
      <c r="Q162" s="253"/>
    </row>
    <row r="163" spans="1:17">
      <c r="A163" s="245"/>
      <c r="C163" s="242"/>
      <c r="D163" s="250"/>
      <c r="E163" s="250"/>
      <c r="F163" s="250"/>
      <c r="G163" s="250"/>
      <c r="I163" s="253"/>
      <c r="Q163" s="253"/>
    </row>
    <row r="164" spans="1:17">
      <c r="A164" s="245"/>
      <c r="C164" s="242"/>
      <c r="D164" s="250"/>
      <c r="E164" s="250"/>
      <c r="F164" s="250"/>
      <c r="G164" s="250"/>
      <c r="I164" s="253"/>
      <c r="Q164" s="253"/>
    </row>
    <row r="165" spans="1:17">
      <c r="A165" s="245"/>
      <c r="C165" s="242"/>
      <c r="D165" s="250"/>
      <c r="E165" s="250"/>
      <c r="F165" s="250"/>
      <c r="G165" s="250"/>
      <c r="I165" s="253"/>
      <c r="Q165" s="253"/>
    </row>
    <row r="166" spans="1:17">
      <c r="A166" s="15"/>
    </row>
    <row r="167" spans="1:17">
      <c r="A167" s="15"/>
    </row>
    <row r="168" spans="1:17">
      <c r="A168" s="15"/>
    </row>
    <row r="169" spans="1:17">
      <c r="A169" s="15"/>
    </row>
    <row r="170" spans="1:17">
      <c r="A170" s="15"/>
    </row>
    <row r="171" spans="1:17">
      <c r="A171" s="15"/>
    </row>
    <row r="172" spans="1:17">
      <c r="A172" s="15"/>
    </row>
    <row r="173" spans="1:17">
      <c r="A173" s="15"/>
    </row>
    <row r="174" spans="1:17">
      <c r="A174" s="15"/>
    </row>
    <row r="175" spans="1:17">
      <c r="A175" s="15"/>
    </row>
    <row r="176" spans="1:17">
      <c r="A176" s="15"/>
    </row>
    <row r="177" spans="1:1">
      <c r="A177" s="15"/>
    </row>
    <row r="178" spans="1:1">
      <c r="A178" s="15"/>
    </row>
    <row r="179" spans="1:1">
      <c r="A179" s="15"/>
    </row>
    <row r="199" spans="1:1">
      <c r="A199" s="15"/>
    </row>
    <row r="203" spans="1:1">
      <c r="A203" s="65"/>
    </row>
    <row r="204" spans="1:1">
      <c r="A204" s="65"/>
    </row>
    <row r="205" spans="1:1">
      <c r="A205" s="65"/>
    </row>
    <row r="206" spans="1:1">
      <c r="A206" s="65"/>
    </row>
    <row r="207" spans="1:1">
      <c r="A207" s="65"/>
    </row>
    <row r="208" spans="1:1">
      <c r="A208" s="65"/>
    </row>
    <row r="209" spans="1:1">
      <c r="A209" s="65"/>
    </row>
    <row r="210" spans="1:1">
      <c r="A210" s="65"/>
    </row>
    <row r="211" spans="1:1">
      <c r="A211" s="65"/>
    </row>
  </sheetData>
  <sortState xmlns:xlrd2="http://schemas.microsoft.com/office/spreadsheetml/2017/richdata2" ref="A2:A62">
    <sortCondition ref="A2:A62"/>
  </sortState>
  <mergeCells count="5">
    <mergeCell ref="A2:G2"/>
    <mergeCell ref="A4:G4"/>
    <mergeCell ref="A3:G3"/>
    <mergeCell ref="A5:G5"/>
    <mergeCell ref="A6:G6"/>
  </mergeCells>
  <phoneticPr fontId="17" type="noConversion"/>
  <pageMargins left="0.7" right="0.7" top="0.75" bottom="0.75" header="0.3" footer="0.3"/>
  <pageSetup orientation="portrait" r:id="rId1"/>
  <headerFooter>
    <oddFooter>&amp;R&amp;1#&amp;"Arial"&amp;10&amp;K000000---Internal Use---&amp;C&amp;"Calibri"&amp;11&amp;K000000DOW RESTRICTED_x000D_&amp;1#&amp;"Arial"&amp;10&amp;K000000---Internal Use---</oddFooter>
  </headerFooter>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RG478"/>
  <sheetViews>
    <sheetView topLeftCell="EW1" workbookViewId="0">
      <selection activeCell="FA3" sqref="A3:XFD3"/>
    </sheetView>
  </sheetViews>
  <sheetFormatPr baseColWidth="10" defaultColWidth="12.6328125" defaultRowHeight="14.5"/>
  <cols>
    <col min="1" max="1" width="10.90625" style="16" customWidth="1"/>
    <col min="2" max="2" width="12.6328125" style="3"/>
    <col min="3" max="6" width="12.6328125" style="315"/>
    <col min="7" max="8" width="12.6328125" style="17"/>
    <col min="9" max="17" width="12.6328125" style="3"/>
    <col min="18" max="18" width="17.6328125" style="3" customWidth="1"/>
    <col min="19" max="22" width="12.6328125" style="3"/>
    <col min="23" max="23" width="37.6328125" style="18" customWidth="1"/>
    <col min="24" max="24" width="17.6328125" style="3" customWidth="1"/>
    <col min="25" max="28" width="12.6328125" style="3"/>
    <col min="29" max="29" width="37.6328125" style="3" customWidth="1"/>
    <col min="30" max="30" width="17.6328125" style="3" customWidth="1"/>
    <col min="31" max="34" width="12.6328125" style="3"/>
    <col min="35" max="35" width="37.6328125" style="3" customWidth="1"/>
    <col min="36" max="36" width="17.6328125" style="3" customWidth="1"/>
    <col min="37" max="40" width="12.6328125" style="3"/>
    <col min="41" max="41" width="37.6328125" style="3" customWidth="1"/>
    <col min="42" max="42" width="17.6328125" style="3" customWidth="1"/>
    <col min="43" max="46" width="12.6328125" style="3"/>
    <col min="47" max="47" width="37.6328125" style="3" customWidth="1"/>
    <col min="48" max="48" width="17.6328125" style="3" customWidth="1"/>
    <col min="49" max="52" width="12.6328125" style="3"/>
    <col min="53" max="53" width="37.6328125" style="3" customWidth="1"/>
    <col min="54" max="54" width="17.6328125" style="3" customWidth="1"/>
    <col min="55" max="58" width="12.6328125" style="3"/>
    <col min="59" max="59" width="37.6328125" style="3" customWidth="1"/>
    <col min="60" max="60" width="17.6328125" style="3" customWidth="1"/>
    <col min="61" max="64" width="12.6328125" style="3"/>
    <col min="65" max="65" width="37.6328125" style="3" customWidth="1"/>
    <col min="66" max="66" width="17.6328125" style="3" customWidth="1"/>
    <col min="67" max="70" width="12.6328125" style="3"/>
    <col min="71" max="71" width="37.6328125" style="3" customWidth="1"/>
    <col min="72" max="72" width="22.453125" style="3" customWidth="1"/>
    <col min="73" max="74" width="12.6328125" style="3"/>
    <col min="75" max="75" width="37.6328125" style="3" customWidth="1"/>
    <col min="76" max="76" width="22.453125" style="3" customWidth="1"/>
    <col min="77" max="78" width="12.6328125" style="3"/>
    <col min="79" max="79" width="37.6328125" style="3" customWidth="1"/>
    <col min="80" max="80" width="22.453125" style="3" customWidth="1"/>
    <col min="81" max="82" width="12.6328125" style="3"/>
    <col min="83" max="83" width="37.6328125" style="3" customWidth="1"/>
    <col min="84" max="84" width="22.453125" style="3" customWidth="1"/>
    <col min="85" max="86" width="12.6328125" style="3"/>
    <col min="87" max="87" width="37.6328125" style="3" customWidth="1"/>
    <col min="88" max="88" width="22.453125" style="3" customWidth="1"/>
    <col min="89" max="90" width="12.6328125" style="3"/>
    <col min="91" max="91" width="37.6328125" style="3" customWidth="1"/>
    <col min="92" max="92" width="22.453125" style="3" customWidth="1"/>
    <col min="93" max="94" width="12.6328125" style="3"/>
    <col min="95" max="95" width="37.6328125" style="3" customWidth="1"/>
    <col min="96" max="96" width="24.6328125" style="3" customWidth="1"/>
    <col min="97" max="97" width="12.6328125" style="3"/>
    <col min="98" max="99" width="24.6328125" style="3" customWidth="1"/>
    <col min="100" max="100" width="37.6328125" style="3" customWidth="1"/>
    <col min="101" max="101" width="24.6328125" style="19" customWidth="1"/>
    <col min="102" max="102" width="12.6328125" style="3"/>
    <col min="103" max="104" width="24.6328125" style="3" customWidth="1"/>
    <col min="105" max="105" width="37.6328125" style="3" customWidth="1"/>
    <col min="106" max="106" width="24.6328125" style="3" customWidth="1"/>
    <col min="107" max="107" width="12.6328125" style="3"/>
    <col min="108" max="109" width="24.6328125" style="3" customWidth="1"/>
    <col min="110" max="110" width="37.6328125" style="3" customWidth="1"/>
    <col min="111" max="111" width="24.6328125" style="3" customWidth="1"/>
    <col min="112" max="112" width="12.6328125" style="3"/>
    <col min="113" max="114" width="24.6328125" style="3" customWidth="1"/>
    <col min="115" max="115" width="37.6328125" style="3" customWidth="1"/>
    <col min="116" max="116" width="24.6328125" style="3" customWidth="1"/>
    <col min="117" max="117" width="12.6328125" style="3"/>
    <col min="118" max="119" width="24.6328125" style="3" customWidth="1"/>
    <col min="120" max="120" width="37.6328125" style="3" customWidth="1"/>
    <col min="121" max="121" width="24.6328125" style="3" customWidth="1"/>
    <col min="122" max="122" width="12.6328125" style="3"/>
    <col min="123" max="124" width="24.6328125" style="3" customWidth="1"/>
    <col min="125" max="125" width="37.6328125" style="3" customWidth="1"/>
    <col min="126" max="126" width="24.6328125" style="3" customWidth="1"/>
    <col min="127" max="127" width="12.6328125" style="3"/>
    <col min="128" max="129" width="24.6328125" style="3" customWidth="1"/>
    <col min="130" max="130" width="37.6328125" style="3" customWidth="1"/>
    <col min="131" max="131" width="24.6328125" style="3" customWidth="1"/>
    <col min="132" max="132" width="12.6328125" style="3"/>
    <col min="133" max="134" width="24.6328125" style="3" customWidth="1"/>
    <col min="135" max="135" width="37.6328125" style="3" customWidth="1"/>
    <col min="136" max="136" width="24.6328125" style="3" customWidth="1"/>
    <col min="137" max="137" width="12.6328125" style="3"/>
    <col min="138" max="139" width="24.6328125" style="3" customWidth="1"/>
    <col min="140" max="140" width="37.6328125" style="3" customWidth="1"/>
    <col min="141" max="141" width="24.6328125" style="3" customWidth="1"/>
    <col min="142" max="142" width="12.6328125" style="3"/>
    <col min="143" max="144" width="24.6328125" style="3" customWidth="1"/>
    <col min="145" max="145" width="37.6328125" style="3" customWidth="1"/>
    <col min="146" max="146" width="24.6328125" style="3" customWidth="1"/>
    <col min="147" max="147" width="12.6328125" style="3"/>
    <col min="148" max="149" width="24.6328125" style="3" customWidth="1"/>
    <col min="150" max="150" width="37.6328125" style="3" customWidth="1"/>
    <col min="151" max="151" width="24.6328125" style="19" customWidth="1"/>
    <col min="152" max="152" width="12.6328125" style="3"/>
    <col min="153" max="154" width="24.6328125" style="3" customWidth="1"/>
    <col min="155" max="156" width="37.6328125" style="3" customWidth="1"/>
    <col min="157" max="158" width="12.6328125" style="17" customWidth="1"/>
    <col min="159" max="160" width="12.6328125" style="3" customWidth="1"/>
    <col min="161" max="163" width="12.6328125" style="3"/>
    <col min="164" max="165" width="37.6328125" style="3" customWidth="1"/>
    <col min="166" max="167" width="12.6328125" style="17" customWidth="1"/>
    <col min="168" max="169" width="12.6328125" style="3" customWidth="1"/>
    <col min="170" max="172" width="12.6328125" style="3"/>
    <col min="173" max="174" width="37.6328125" style="3" customWidth="1"/>
    <col min="175" max="176" width="12.6328125" style="17" customWidth="1"/>
    <col min="177" max="178" width="12.6328125" style="3" customWidth="1"/>
    <col min="179" max="181" width="12.6328125" style="3"/>
    <col min="182" max="183" width="37.6328125" style="3" customWidth="1"/>
    <col min="184" max="185" width="12.6328125" style="17" customWidth="1"/>
    <col min="186" max="187" width="12.6328125" style="3" customWidth="1"/>
    <col min="188" max="190" width="12.6328125" style="3"/>
    <col min="191" max="192" width="37.6328125" style="3" customWidth="1"/>
    <col min="193" max="194" width="12.6328125" style="17" customWidth="1"/>
    <col min="195" max="196" width="12.6328125" style="3" customWidth="1"/>
    <col min="197" max="199" width="12.6328125" style="3"/>
    <col min="200" max="201" width="37.6328125" style="3" customWidth="1"/>
    <col min="202" max="203" width="12.6328125" style="17" customWidth="1"/>
    <col min="204" max="205" width="12.6328125" style="3" customWidth="1"/>
    <col min="206" max="208" width="12.6328125" style="3"/>
    <col min="209" max="210" width="37.6328125" style="3" customWidth="1"/>
    <col min="211" max="211" width="12.6328125" style="3" customWidth="1"/>
    <col min="212" max="223" width="12.6328125" style="3"/>
    <col min="224" max="224" width="37.6328125" style="3" customWidth="1"/>
    <col min="225" max="237" width="12.6328125" style="3"/>
    <col min="238" max="238" width="37.6328125" style="3" customWidth="1"/>
    <col min="239" max="251" width="12.6328125" style="3"/>
    <col min="252" max="252" width="37.6328125" style="3" customWidth="1"/>
    <col min="253" max="265" width="12.6328125" style="3"/>
    <col min="266" max="266" width="37.6328125" style="3" customWidth="1"/>
    <col min="267" max="279" width="12.6328125" style="3"/>
    <col min="280" max="280" width="37.6328125" style="3" customWidth="1"/>
    <col min="281" max="293" width="12.6328125" style="3"/>
    <col min="294" max="295" width="12.6328125" style="17"/>
    <col min="296" max="296" width="12.6328125" style="3"/>
    <col min="297" max="298" width="12.6328125" style="17"/>
    <col min="299" max="299" width="12.6328125" style="3"/>
    <col min="300" max="301" width="12.6328125" style="17"/>
    <col min="302" max="302" width="12.6328125" style="3"/>
    <col min="303" max="304" width="12.6328125" style="17"/>
    <col min="305" max="305" width="12.6328125" style="3"/>
    <col min="306" max="307" width="12.6328125" style="313"/>
    <col min="308" max="308" width="12.6328125" style="76"/>
    <col min="309" max="310" width="12.6328125" style="313"/>
    <col min="311" max="16384" width="12.6328125" style="76"/>
  </cols>
  <sheetData>
    <row r="1" spans="1:311" ht="43.5">
      <c r="A1" s="25" t="s">
        <v>4</v>
      </c>
      <c r="B1" s="26" t="s">
        <v>6</v>
      </c>
      <c r="C1" s="314" t="s">
        <v>0</v>
      </c>
      <c r="D1" s="314" t="s">
        <v>1</v>
      </c>
      <c r="E1" s="314" t="s">
        <v>2</v>
      </c>
      <c r="F1" s="314" t="s">
        <v>12</v>
      </c>
      <c r="G1" s="27" t="s">
        <v>17</v>
      </c>
      <c r="H1" s="27" t="s">
        <v>18</v>
      </c>
      <c r="I1" s="26" t="s">
        <v>19</v>
      </c>
      <c r="J1" s="26" t="s">
        <v>20</v>
      </c>
      <c r="K1" s="26" t="s">
        <v>16</v>
      </c>
      <c r="L1" s="26" t="s">
        <v>7</v>
      </c>
      <c r="M1" s="26" t="s">
        <v>109</v>
      </c>
      <c r="N1" s="26" t="s">
        <v>354</v>
      </c>
      <c r="O1" s="26" t="s">
        <v>359</v>
      </c>
      <c r="P1" s="26" t="s">
        <v>360</v>
      </c>
      <c r="Q1" s="26" t="s">
        <v>110</v>
      </c>
      <c r="R1" s="26" t="s">
        <v>22</v>
      </c>
      <c r="S1" s="26" t="s">
        <v>21</v>
      </c>
      <c r="T1" s="26" t="s">
        <v>23</v>
      </c>
      <c r="U1" s="26" t="s">
        <v>51</v>
      </c>
      <c r="V1" s="26" t="s">
        <v>375</v>
      </c>
      <c r="W1" s="28" t="s">
        <v>52</v>
      </c>
      <c r="X1" s="26" t="s">
        <v>24</v>
      </c>
      <c r="Y1" s="26" t="s">
        <v>25</v>
      </c>
      <c r="Z1" s="26" t="s">
        <v>26</v>
      </c>
      <c r="AA1" s="26" t="s">
        <v>53</v>
      </c>
      <c r="AB1" s="26" t="s">
        <v>374</v>
      </c>
      <c r="AC1" s="26" t="s">
        <v>54</v>
      </c>
      <c r="AD1" s="26" t="s">
        <v>27</v>
      </c>
      <c r="AE1" s="26" t="s">
        <v>28</v>
      </c>
      <c r="AF1" s="26" t="s">
        <v>29</v>
      </c>
      <c r="AG1" s="26" t="s">
        <v>55</v>
      </c>
      <c r="AH1" s="26" t="s">
        <v>373</v>
      </c>
      <c r="AI1" s="26" t="s">
        <v>56</v>
      </c>
      <c r="AJ1" s="26" t="s">
        <v>30</v>
      </c>
      <c r="AK1" s="26" t="s">
        <v>31</v>
      </c>
      <c r="AL1" s="26" t="s">
        <v>32</v>
      </c>
      <c r="AM1" s="26" t="s">
        <v>57</v>
      </c>
      <c r="AN1" s="26" t="s">
        <v>376</v>
      </c>
      <c r="AO1" s="26" t="s">
        <v>58</v>
      </c>
      <c r="AP1" s="26" t="s">
        <v>33</v>
      </c>
      <c r="AQ1" s="26" t="s">
        <v>34</v>
      </c>
      <c r="AR1" s="26" t="s">
        <v>35</v>
      </c>
      <c r="AS1" s="26" t="s">
        <v>59</v>
      </c>
      <c r="AT1" s="26" t="s">
        <v>377</v>
      </c>
      <c r="AU1" s="26" t="s">
        <v>60</v>
      </c>
      <c r="AV1" s="26" t="s">
        <v>36</v>
      </c>
      <c r="AW1" s="26" t="s">
        <v>37</v>
      </c>
      <c r="AX1" s="26" t="s">
        <v>38</v>
      </c>
      <c r="AY1" s="26" t="s">
        <v>61</v>
      </c>
      <c r="AZ1" s="26" t="s">
        <v>378</v>
      </c>
      <c r="BA1" s="26" t="s">
        <v>62</v>
      </c>
      <c r="BB1" s="26" t="s">
        <v>137</v>
      </c>
      <c r="BC1" s="26" t="s">
        <v>138</v>
      </c>
      <c r="BD1" s="26" t="s">
        <v>139</v>
      </c>
      <c r="BE1" s="26" t="s">
        <v>140</v>
      </c>
      <c r="BF1" s="26" t="s">
        <v>379</v>
      </c>
      <c r="BG1" s="26" t="s">
        <v>141</v>
      </c>
      <c r="BH1" s="26" t="s">
        <v>142</v>
      </c>
      <c r="BI1" s="26" t="s">
        <v>143</v>
      </c>
      <c r="BJ1" s="26" t="s">
        <v>144</v>
      </c>
      <c r="BK1" s="26" t="s">
        <v>145</v>
      </c>
      <c r="BL1" s="26" t="s">
        <v>380</v>
      </c>
      <c r="BM1" s="26" t="s">
        <v>146</v>
      </c>
      <c r="BN1" s="26" t="s">
        <v>148</v>
      </c>
      <c r="BO1" s="26" t="s">
        <v>147</v>
      </c>
      <c r="BP1" s="26" t="s">
        <v>149</v>
      </c>
      <c r="BQ1" s="26" t="s">
        <v>150</v>
      </c>
      <c r="BR1" s="26" t="s">
        <v>381</v>
      </c>
      <c r="BS1" s="26" t="s">
        <v>151</v>
      </c>
      <c r="BT1" s="26" t="s">
        <v>41</v>
      </c>
      <c r="BU1" s="26" t="s">
        <v>40</v>
      </c>
      <c r="BV1" s="26" t="s">
        <v>39</v>
      </c>
      <c r="BW1" s="26" t="s">
        <v>63</v>
      </c>
      <c r="BX1" s="26" t="s">
        <v>42</v>
      </c>
      <c r="BY1" s="26" t="s">
        <v>43</v>
      </c>
      <c r="BZ1" s="26" t="s">
        <v>44</v>
      </c>
      <c r="CA1" s="26" t="s">
        <v>64</v>
      </c>
      <c r="CB1" s="26" t="s">
        <v>45</v>
      </c>
      <c r="CC1" s="26" t="s">
        <v>46</v>
      </c>
      <c r="CD1" s="26" t="s">
        <v>47</v>
      </c>
      <c r="CE1" s="26" t="s">
        <v>119</v>
      </c>
      <c r="CF1" s="26" t="s">
        <v>48</v>
      </c>
      <c r="CG1" s="26" t="s">
        <v>49</v>
      </c>
      <c r="CH1" s="26" t="s">
        <v>50</v>
      </c>
      <c r="CI1" s="26" t="s">
        <v>120</v>
      </c>
      <c r="CJ1" s="26" t="s">
        <v>181</v>
      </c>
      <c r="CK1" s="26" t="s">
        <v>182</v>
      </c>
      <c r="CL1" s="26" t="s">
        <v>183</v>
      </c>
      <c r="CM1" s="26" t="s">
        <v>184</v>
      </c>
      <c r="CN1" s="26" t="s">
        <v>185</v>
      </c>
      <c r="CO1" s="26" t="s">
        <v>186</v>
      </c>
      <c r="CP1" s="26" t="s">
        <v>187</v>
      </c>
      <c r="CQ1" s="26" t="s">
        <v>188</v>
      </c>
      <c r="CR1" s="26" t="s">
        <v>65</v>
      </c>
      <c r="CS1" s="26" t="s">
        <v>66</v>
      </c>
      <c r="CT1" s="26" t="s">
        <v>68</v>
      </c>
      <c r="CU1" s="26" t="s">
        <v>361</v>
      </c>
      <c r="CV1" s="26" t="s">
        <v>67</v>
      </c>
      <c r="CW1" s="8" t="s">
        <v>69</v>
      </c>
      <c r="CX1" s="26" t="s">
        <v>70</v>
      </c>
      <c r="CY1" s="26" t="s">
        <v>71</v>
      </c>
      <c r="CZ1" s="26" t="s">
        <v>362</v>
      </c>
      <c r="DA1" s="26" t="s">
        <v>72</v>
      </c>
      <c r="DB1" s="26" t="s">
        <v>73</v>
      </c>
      <c r="DC1" s="26" t="s">
        <v>74</v>
      </c>
      <c r="DD1" s="26" t="s">
        <v>75</v>
      </c>
      <c r="DE1" s="26" t="s">
        <v>363</v>
      </c>
      <c r="DF1" s="26" t="s">
        <v>76</v>
      </c>
      <c r="DG1" s="26" t="s">
        <v>77</v>
      </c>
      <c r="DH1" s="26" t="s">
        <v>78</v>
      </c>
      <c r="DI1" s="26" t="s">
        <v>79</v>
      </c>
      <c r="DJ1" s="26" t="s">
        <v>364</v>
      </c>
      <c r="DK1" s="26" t="s">
        <v>80</v>
      </c>
      <c r="DL1" s="26" t="s">
        <v>81</v>
      </c>
      <c r="DM1" s="26" t="s">
        <v>82</v>
      </c>
      <c r="DN1" s="26" t="s">
        <v>83</v>
      </c>
      <c r="DO1" s="26" t="s">
        <v>365</v>
      </c>
      <c r="DP1" s="26" t="s">
        <v>84</v>
      </c>
      <c r="DQ1" s="26" t="s">
        <v>85</v>
      </c>
      <c r="DR1" s="26" t="s">
        <v>86</v>
      </c>
      <c r="DS1" s="26" t="s">
        <v>87</v>
      </c>
      <c r="DT1" s="26" t="s">
        <v>366</v>
      </c>
      <c r="DU1" s="26" t="s">
        <v>88</v>
      </c>
      <c r="DV1" s="26" t="s">
        <v>89</v>
      </c>
      <c r="DW1" s="26" t="s">
        <v>90</v>
      </c>
      <c r="DX1" s="26" t="s">
        <v>91</v>
      </c>
      <c r="DY1" s="26" t="s">
        <v>367</v>
      </c>
      <c r="DZ1" s="26" t="s">
        <v>92</v>
      </c>
      <c r="EA1" s="26" t="s">
        <v>164</v>
      </c>
      <c r="EB1" s="26" t="s">
        <v>165</v>
      </c>
      <c r="EC1" s="26" t="s">
        <v>166</v>
      </c>
      <c r="ED1" s="26" t="s">
        <v>368</v>
      </c>
      <c r="EE1" s="26" t="s">
        <v>167</v>
      </c>
      <c r="EF1" s="26" t="s">
        <v>93</v>
      </c>
      <c r="EG1" s="26" t="s">
        <v>94</v>
      </c>
      <c r="EH1" s="26" t="s">
        <v>95</v>
      </c>
      <c r="EI1" s="26" t="s">
        <v>369</v>
      </c>
      <c r="EJ1" s="26" t="s">
        <v>96</v>
      </c>
      <c r="EK1" s="26" t="s">
        <v>97</v>
      </c>
      <c r="EL1" s="26" t="s">
        <v>98</v>
      </c>
      <c r="EM1" s="26" t="s">
        <v>99</v>
      </c>
      <c r="EN1" s="26" t="s">
        <v>370</v>
      </c>
      <c r="EO1" s="26" t="s">
        <v>100</v>
      </c>
      <c r="EP1" s="26" t="s">
        <v>101</v>
      </c>
      <c r="EQ1" s="26" t="s">
        <v>102</v>
      </c>
      <c r="ER1" s="26" t="s">
        <v>103</v>
      </c>
      <c r="ES1" s="26" t="s">
        <v>371</v>
      </c>
      <c r="ET1" s="26" t="s">
        <v>104</v>
      </c>
      <c r="EU1" s="8" t="s">
        <v>105</v>
      </c>
      <c r="EV1" s="26" t="s">
        <v>106</v>
      </c>
      <c r="EW1" s="26" t="s">
        <v>107</v>
      </c>
      <c r="EX1" s="26" t="s">
        <v>372</v>
      </c>
      <c r="EY1" s="26" t="s">
        <v>108</v>
      </c>
      <c r="EZ1" s="26" t="s">
        <v>41</v>
      </c>
      <c r="FA1" s="27" t="s">
        <v>152</v>
      </c>
      <c r="FB1" s="27" t="s">
        <v>382</v>
      </c>
      <c r="FC1" s="26" t="s">
        <v>121</v>
      </c>
      <c r="FD1" s="26" t="s">
        <v>160</v>
      </c>
      <c r="FE1" s="26" t="s">
        <v>111</v>
      </c>
      <c r="FF1" s="26" t="s">
        <v>265</v>
      </c>
      <c r="FG1" s="26" t="s">
        <v>266</v>
      </c>
      <c r="FH1" s="26" t="s">
        <v>115</v>
      </c>
      <c r="FI1" s="26" t="s">
        <v>42</v>
      </c>
      <c r="FJ1" s="27" t="s">
        <v>154</v>
      </c>
      <c r="FK1" s="27" t="s">
        <v>383</v>
      </c>
      <c r="FL1" s="26" t="s">
        <v>122</v>
      </c>
      <c r="FM1" s="26" t="s">
        <v>161</v>
      </c>
      <c r="FN1" s="26" t="s">
        <v>112</v>
      </c>
      <c r="FO1" s="26" t="s">
        <v>267</v>
      </c>
      <c r="FP1" s="26" t="s">
        <v>268</v>
      </c>
      <c r="FQ1" s="26" t="s">
        <v>116</v>
      </c>
      <c r="FR1" s="26" t="s">
        <v>45</v>
      </c>
      <c r="FS1" s="27" t="s">
        <v>156</v>
      </c>
      <c r="FT1" s="27" t="s">
        <v>384</v>
      </c>
      <c r="FU1" s="26" t="s">
        <v>123</v>
      </c>
      <c r="FV1" s="26" t="s">
        <v>162</v>
      </c>
      <c r="FW1" s="26" t="s">
        <v>113</v>
      </c>
      <c r="FX1" s="26" t="s">
        <v>269</v>
      </c>
      <c r="FY1" s="26" t="s">
        <v>270</v>
      </c>
      <c r="FZ1" s="26" t="s">
        <v>117</v>
      </c>
      <c r="GA1" s="26" t="s">
        <v>48</v>
      </c>
      <c r="GB1" s="27" t="s">
        <v>158</v>
      </c>
      <c r="GC1" s="27" t="s">
        <v>385</v>
      </c>
      <c r="GD1" s="26" t="s">
        <v>124</v>
      </c>
      <c r="GE1" s="26" t="s">
        <v>163</v>
      </c>
      <c r="GF1" s="26" t="s">
        <v>114</v>
      </c>
      <c r="GG1" s="26" t="s">
        <v>271</v>
      </c>
      <c r="GH1" s="26" t="s">
        <v>272</v>
      </c>
      <c r="GI1" s="26" t="s">
        <v>118</v>
      </c>
      <c r="GJ1" s="26" t="s">
        <v>181</v>
      </c>
      <c r="GK1" s="27" t="s">
        <v>195</v>
      </c>
      <c r="GL1" s="27" t="s">
        <v>386</v>
      </c>
      <c r="GM1" s="26" t="s">
        <v>189</v>
      </c>
      <c r="GN1" s="26" t="s">
        <v>197</v>
      </c>
      <c r="GO1" s="26" t="s">
        <v>190</v>
      </c>
      <c r="GP1" s="26" t="s">
        <v>273</v>
      </c>
      <c r="GQ1" s="26" t="s">
        <v>274</v>
      </c>
      <c r="GR1" s="26" t="s">
        <v>191</v>
      </c>
      <c r="GS1" s="26" t="s">
        <v>185</v>
      </c>
      <c r="GT1" s="27" t="s">
        <v>198</v>
      </c>
      <c r="GU1" s="27" t="s">
        <v>387</v>
      </c>
      <c r="GV1" s="26" t="s">
        <v>192</v>
      </c>
      <c r="GW1" s="26" t="s">
        <v>200</v>
      </c>
      <c r="GX1" s="26" t="s">
        <v>193</v>
      </c>
      <c r="GY1" s="26" t="s">
        <v>275</v>
      </c>
      <c r="GZ1" s="26" t="s">
        <v>276</v>
      </c>
      <c r="HA1" s="26" t="s">
        <v>194</v>
      </c>
      <c r="HB1" s="26" t="s">
        <v>41</v>
      </c>
      <c r="HC1" s="26" t="s">
        <v>388</v>
      </c>
      <c r="HD1" s="26" t="s">
        <v>277</v>
      </c>
      <c r="HE1" s="26" t="s">
        <v>278</v>
      </c>
      <c r="HF1" s="26" t="s">
        <v>279</v>
      </c>
      <c r="HG1" s="26" t="s">
        <v>280</v>
      </c>
      <c r="HH1" s="26" t="s">
        <v>281</v>
      </c>
      <c r="HI1" s="26" t="s">
        <v>282</v>
      </c>
      <c r="HJ1" s="26" t="s">
        <v>283</v>
      </c>
      <c r="HK1" s="26" t="s">
        <v>284</v>
      </c>
      <c r="HL1" s="26" t="s">
        <v>285</v>
      </c>
      <c r="HM1" s="26" t="s">
        <v>286</v>
      </c>
      <c r="HN1" s="26" t="s">
        <v>287</v>
      </c>
      <c r="HO1" s="26" t="s">
        <v>288</v>
      </c>
      <c r="HP1" s="26" t="s">
        <v>42</v>
      </c>
      <c r="HQ1" s="26" t="s">
        <v>389</v>
      </c>
      <c r="HR1" s="26" t="s">
        <v>289</v>
      </c>
      <c r="HS1" s="26" t="s">
        <v>290</v>
      </c>
      <c r="HT1" s="26" t="s">
        <v>291</v>
      </c>
      <c r="HU1" s="26" t="s">
        <v>292</v>
      </c>
      <c r="HV1" s="26" t="s">
        <v>293</v>
      </c>
      <c r="HW1" s="26" t="s">
        <v>297</v>
      </c>
      <c r="HX1" s="26" t="s">
        <v>298</v>
      </c>
      <c r="HY1" s="26" t="s">
        <v>299</v>
      </c>
      <c r="HZ1" s="26" t="s">
        <v>300</v>
      </c>
      <c r="IA1" s="26" t="s">
        <v>301</v>
      </c>
      <c r="IB1" s="26" t="s">
        <v>302</v>
      </c>
      <c r="IC1" s="26" t="s">
        <v>303</v>
      </c>
      <c r="ID1" s="26" t="s">
        <v>45</v>
      </c>
      <c r="IE1" s="26" t="s">
        <v>390</v>
      </c>
      <c r="IF1" s="26" t="s">
        <v>304</v>
      </c>
      <c r="IG1" s="26" t="s">
        <v>305</v>
      </c>
      <c r="IH1" s="26" t="s">
        <v>306</v>
      </c>
      <c r="II1" s="26" t="s">
        <v>307</v>
      </c>
      <c r="IJ1" s="26" t="s">
        <v>308</v>
      </c>
      <c r="IK1" s="26" t="s">
        <v>294</v>
      </c>
      <c r="IL1" s="26" t="s">
        <v>295</v>
      </c>
      <c r="IM1" s="26" t="s">
        <v>296</v>
      </c>
      <c r="IN1" s="26" t="s">
        <v>309</v>
      </c>
      <c r="IO1" s="26" t="s">
        <v>310</v>
      </c>
      <c r="IP1" s="26" t="s">
        <v>311</v>
      </c>
      <c r="IQ1" s="26" t="s">
        <v>312</v>
      </c>
      <c r="IR1" s="26" t="s">
        <v>48</v>
      </c>
      <c r="IS1" s="26" t="s">
        <v>391</v>
      </c>
      <c r="IT1" s="26" t="s">
        <v>313</v>
      </c>
      <c r="IU1" s="26" t="s">
        <v>314</v>
      </c>
      <c r="IV1" s="26" t="s">
        <v>315</v>
      </c>
      <c r="IW1" s="26" t="s">
        <v>316</v>
      </c>
      <c r="IX1" s="26" t="s">
        <v>317</v>
      </c>
      <c r="IY1" s="26" t="s">
        <v>318</v>
      </c>
      <c r="IZ1" s="26" t="s">
        <v>319</v>
      </c>
      <c r="JA1" s="26" t="s">
        <v>320</v>
      </c>
      <c r="JB1" s="26" t="s">
        <v>321</v>
      </c>
      <c r="JC1" s="26" t="s">
        <v>322</v>
      </c>
      <c r="JD1" s="26" t="s">
        <v>323</v>
      </c>
      <c r="JE1" s="26" t="s">
        <v>324</v>
      </c>
      <c r="JF1" s="26" t="s">
        <v>181</v>
      </c>
      <c r="JG1" s="26" t="s">
        <v>392</v>
      </c>
      <c r="JH1" s="26" t="s">
        <v>325</v>
      </c>
      <c r="JI1" s="26" t="s">
        <v>326</v>
      </c>
      <c r="JJ1" s="26" t="s">
        <v>327</v>
      </c>
      <c r="JK1" s="26" t="s">
        <v>328</v>
      </c>
      <c r="JL1" s="26" t="s">
        <v>329</v>
      </c>
      <c r="JM1" s="26" t="s">
        <v>330</v>
      </c>
      <c r="JN1" s="26" t="s">
        <v>331</v>
      </c>
      <c r="JO1" s="26" t="s">
        <v>332</v>
      </c>
      <c r="JP1" s="26" t="s">
        <v>333</v>
      </c>
      <c r="JQ1" s="26" t="s">
        <v>334</v>
      </c>
      <c r="JR1" s="26" t="s">
        <v>335</v>
      </c>
      <c r="JS1" s="26" t="s">
        <v>336</v>
      </c>
      <c r="JT1" s="26" t="s">
        <v>185</v>
      </c>
      <c r="JU1" s="26" t="s">
        <v>393</v>
      </c>
      <c r="JV1" s="26" t="s">
        <v>337</v>
      </c>
      <c r="JW1" s="26" t="s">
        <v>338</v>
      </c>
      <c r="JX1" s="26" t="s">
        <v>339</v>
      </c>
      <c r="JY1" s="26" t="s">
        <v>340</v>
      </c>
      <c r="JZ1" s="26" t="s">
        <v>341</v>
      </c>
      <c r="KA1" s="26" t="s">
        <v>342</v>
      </c>
      <c r="KB1" s="26" t="s">
        <v>343</v>
      </c>
      <c r="KC1" s="26" t="s">
        <v>344</v>
      </c>
      <c r="KD1" s="26" t="s">
        <v>345</v>
      </c>
      <c r="KE1" s="26" t="s">
        <v>346</v>
      </c>
      <c r="KF1" s="26" t="s">
        <v>347</v>
      </c>
      <c r="KG1" s="26" t="s">
        <v>348</v>
      </c>
      <c r="KH1" s="27" t="s">
        <v>152</v>
      </c>
      <c r="KI1" s="27" t="s">
        <v>153</v>
      </c>
      <c r="KJ1" s="26" t="s">
        <v>160</v>
      </c>
      <c r="KK1" s="27" t="s">
        <v>154</v>
      </c>
      <c r="KL1" s="27" t="s">
        <v>155</v>
      </c>
      <c r="KM1" s="26" t="s">
        <v>161</v>
      </c>
      <c r="KN1" s="27" t="s">
        <v>156</v>
      </c>
      <c r="KO1" s="27" t="s">
        <v>157</v>
      </c>
      <c r="KP1" s="26" t="s">
        <v>162</v>
      </c>
      <c r="KQ1" s="27" t="s">
        <v>158</v>
      </c>
      <c r="KR1" s="27" t="s">
        <v>159</v>
      </c>
      <c r="KS1" s="26" t="s">
        <v>163</v>
      </c>
      <c r="KT1" s="313" t="s">
        <v>195</v>
      </c>
      <c r="KU1" s="313" t="s">
        <v>196</v>
      </c>
      <c r="KV1" s="76" t="s">
        <v>197</v>
      </c>
      <c r="KW1" s="313" t="s">
        <v>198</v>
      </c>
      <c r="KX1" s="313" t="s">
        <v>199</v>
      </c>
      <c r="KY1" s="76" t="s">
        <v>200</v>
      </c>
    </row>
    <row r="2" spans="1:311" s="21" customFormat="1" ht="58">
      <c r="A2" s="20">
        <f>Form!C5</f>
        <v>44366</v>
      </c>
      <c r="B2" s="21" t="str">
        <f>Form!L5</f>
        <v>3rd</v>
      </c>
      <c r="C2" s="22">
        <f>Form!C47</f>
        <v>0.62222222222222223</v>
      </c>
      <c r="D2" s="22">
        <f>Form!C58</f>
        <v>0.38400000000000001</v>
      </c>
      <c r="E2" s="22">
        <f>Form!C70</f>
        <v>0.94689564068692211</v>
      </c>
      <c r="F2" s="22">
        <f>Form!C73</f>
        <v>0.2262449317481286</v>
      </c>
      <c r="G2" s="23">
        <f>Form!H5</f>
        <v>1</v>
      </c>
      <c r="H2" s="23">
        <f>Form!H6</f>
        <v>0.33333333333333331</v>
      </c>
      <c r="I2" s="21" t="str">
        <f>Form!C6</f>
        <v>M. Rizky</v>
      </c>
      <c r="J2" s="24">
        <f>Form!L6</f>
        <v>480</v>
      </c>
      <c r="K2" s="24">
        <f>Form!C44</f>
        <v>450</v>
      </c>
      <c r="L2" s="24">
        <f>Form!C45</f>
        <v>170</v>
      </c>
      <c r="M2" s="24">
        <f>Form!C46</f>
        <v>280</v>
      </c>
      <c r="N2" s="24">
        <f>Form!C56</f>
        <v>107.52</v>
      </c>
      <c r="O2" s="24">
        <f>Form!C68</f>
        <v>603</v>
      </c>
      <c r="P2" s="59">
        <f>Form!C69</f>
        <v>0</v>
      </c>
      <c r="Q2" s="24">
        <f>SUM(Form!C62:C67)</f>
        <v>10752</v>
      </c>
      <c r="R2" s="21" t="str">
        <f>Form!B20</f>
        <v>Breaks</v>
      </c>
      <c r="S2" s="24">
        <f>Form!C20</f>
        <v>30</v>
      </c>
      <c r="T2" s="24">
        <f>Form!D20</f>
        <v>30</v>
      </c>
      <c r="U2" s="24">
        <f>Form!E20</f>
        <v>0</v>
      </c>
      <c r="V2" s="24" t="str">
        <f>Form!F20</f>
        <v>TENANO360SC BTLPET24X0.2L IDN</v>
      </c>
      <c r="W2" s="21" t="str">
        <f>IF(Form!H20&lt;&gt;"",Form!H20,"")</f>
        <v/>
      </c>
      <c r="X2" s="21">
        <f>Form!B21</f>
        <v>0</v>
      </c>
      <c r="Y2" s="24">
        <f>Form!C21</f>
        <v>0</v>
      </c>
      <c r="Z2" s="24">
        <f>Form!D21</f>
        <v>0</v>
      </c>
      <c r="AA2" s="24">
        <f>Form!E21</f>
        <v>0</v>
      </c>
      <c r="AB2" s="24">
        <f>Form!F21</f>
        <v>0</v>
      </c>
      <c r="AC2" s="21" t="str">
        <f>IF(Form!H21&lt;&gt;"",Form!H21,"")</f>
        <v/>
      </c>
      <c r="AD2" s="21">
        <f>Form!B22</f>
        <v>0</v>
      </c>
      <c r="AE2" s="24">
        <f>Form!C22</f>
        <v>0</v>
      </c>
      <c r="AF2" s="24">
        <f>Form!D22</f>
        <v>0</v>
      </c>
      <c r="AG2" s="24">
        <f>Form!E22</f>
        <v>0</v>
      </c>
      <c r="AH2" s="24">
        <f>Form!F22</f>
        <v>0</v>
      </c>
      <c r="AI2" s="21" t="str">
        <f>IF(Form!H22&lt;&gt;"",Form!H22,"")</f>
        <v/>
      </c>
      <c r="AJ2" s="21">
        <f>Form!B23</f>
        <v>0</v>
      </c>
      <c r="AK2" s="24">
        <f>Form!C23</f>
        <v>0</v>
      </c>
      <c r="AL2" s="24">
        <f>Form!D23</f>
        <v>0</v>
      </c>
      <c r="AM2" s="24">
        <f>Form!E23</f>
        <v>0</v>
      </c>
      <c r="AN2" s="24">
        <f>Form!F23</f>
        <v>0</v>
      </c>
      <c r="AO2" s="21" t="str">
        <f>IF(Form!H23&lt;&gt;"",Form!H23,"")</f>
        <v/>
      </c>
      <c r="AP2" s="21">
        <f>Form!B24</f>
        <v>0</v>
      </c>
      <c r="AQ2" s="24">
        <f>Form!C24</f>
        <v>0</v>
      </c>
      <c r="AR2" s="24">
        <f>Form!D24</f>
        <v>0</v>
      </c>
      <c r="AS2" s="24">
        <f>Form!E24</f>
        <v>0</v>
      </c>
      <c r="AT2" s="24">
        <f>Form!F24</f>
        <v>0</v>
      </c>
      <c r="AU2" s="21" t="str">
        <f>IF(Form!H24&lt;&gt;"",Form!H24,"")</f>
        <v/>
      </c>
      <c r="AV2" s="21">
        <f>Form!B25</f>
        <v>0</v>
      </c>
      <c r="AW2" s="24">
        <f>Form!C25</f>
        <v>0</v>
      </c>
      <c r="AX2" s="24">
        <f>Form!D25</f>
        <v>0</v>
      </c>
      <c r="AY2" s="24">
        <f>Form!E25</f>
        <v>0</v>
      </c>
      <c r="AZ2" s="24">
        <f>Form!F25</f>
        <v>0</v>
      </c>
      <c r="BA2" s="21" t="str">
        <f>IF(Form!H25&lt;&gt;"",Form!H25,"")</f>
        <v/>
      </c>
      <c r="BB2" s="19">
        <f>Form!B26</f>
        <v>0</v>
      </c>
      <c r="BC2" s="19">
        <f>Form!C26</f>
        <v>0</v>
      </c>
      <c r="BD2" s="19">
        <f>Form!D26</f>
        <v>0</v>
      </c>
      <c r="BE2" s="19">
        <f>Form!E26</f>
        <v>0</v>
      </c>
      <c r="BF2" s="19">
        <f>Form!F26</f>
        <v>0</v>
      </c>
      <c r="BG2" s="18">
        <f>Form!H26</f>
        <v>0</v>
      </c>
      <c r="BH2" s="19">
        <f>Form!B27</f>
        <v>0</v>
      </c>
      <c r="BI2" s="19">
        <f>Form!C27</f>
        <v>0</v>
      </c>
      <c r="BJ2" s="19">
        <f>Form!D27</f>
        <v>0</v>
      </c>
      <c r="BK2" s="19">
        <f>Form!E27</f>
        <v>0</v>
      </c>
      <c r="BL2" s="19">
        <f>Form!F27</f>
        <v>0</v>
      </c>
      <c r="BM2" s="18">
        <f>Form!H27</f>
        <v>0</v>
      </c>
      <c r="BN2" s="3">
        <f>Form!B28</f>
        <v>0</v>
      </c>
      <c r="BO2" s="3">
        <f>Form!C28</f>
        <v>0</v>
      </c>
      <c r="BP2" s="3">
        <f>Form!D28</f>
        <v>0</v>
      </c>
      <c r="BQ2" s="3" t="str">
        <f>Form!E28</f>
        <v/>
      </c>
      <c r="BR2" s="3">
        <f>Form!F28</f>
        <v>0</v>
      </c>
      <c r="BS2" s="18">
        <f>Form!H28</f>
        <v>0</v>
      </c>
      <c r="BT2" s="21" t="str">
        <f>Form!B11</f>
        <v>TENANO360SC BTLPET24X0.2L IDN</v>
      </c>
      <c r="BU2" s="24" t="str">
        <f>Form!C11</f>
        <v>0.2L</v>
      </c>
      <c r="BV2" s="21">
        <f>Form!D11</f>
        <v>0</v>
      </c>
      <c r="BW2" s="21" t="str">
        <f>Form!E11</f>
        <v>Manual Filling, Packaging Issue Many Ring Cap Broken</v>
      </c>
      <c r="BX2" s="21">
        <f>Form!B12</f>
        <v>0</v>
      </c>
      <c r="BY2" s="24" t="str">
        <f>Form!C12</f>
        <v/>
      </c>
      <c r="BZ2" s="21">
        <f>Form!D12</f>
        <v>0</v>
      </c>
      <c r="CA2" s="21">
        <f>Form!E12</f>
        <v>0</v>
      </c>
      <c r="CB2" s="21">
        <f>Form!B13</f>
        <v>0</v>
      </c>
      <c r="CC2" s="24" t="str">
        <f>Form!C13</f>
        <v/>
      </c>
      <c r="CD2" s="21">
        <f>Form!D13</f>
        <v>0</v>
      </c>
      <c r="CE2" s="21">
        <f>Form!E13</f>
        <v>0</v>
      </c>
      <c r="CF2" s="21">
        <f>Form!B14</f>
        <v>0</v>
      </c>
      <c r="CG2" s="24" t="str">
        <f>Form!C14</f>
        <v/>
      </c>
      <c r="CH2" s="21">
        <f>Form!D14</f>
        <v>0</v>
      </c>
      <c r="CI2" s="21">
        <f>Form!E14</f>
        <v>0</v>
      </c>
      <c r="CJ2" s="21">
        <f>Form!B15</f>
        <v>0</v>
      </c>
      <c r="CK2" s="24" t="str">
        <f>Form!C15</f>
        <v/>
      </c>
      <c r="CL2" s="21">
        <f>Form!D15</f>
        <v>0</v>
      </c>
      <c r="CM2" s="21">
        <f>Form!E15</f>
        <v>0</v>
      </c>
      <c r="CN2" s="21">
        <f>Form!B16</f>
        <v>0</v>
      </c>
      <c r="CO2" s="24" t="str">
        <f>Form!C16</f>
        <v/>
      </c>
      <c r="CP2" s="21">
        <f>Form!D16</f>
        <v>0</v>
      </c>
      <c r="CQ2" s="21">
        <f>Form!E16</f>
        <v>0</v>
      </c>
      <c r="CR2" s="21" t="str">
        <f>Form!B32</f>
        <v>Packaging issues</v>
      </c>
      <c r="CS2" s="24">
        <f>Form!C32</f>
        <v>95</v>
      </c>
      <c r="CT2" s="21" t="str">
        <f>Form!D32</f>
        <v>Manual Filling and Check Capping Process</v>
      </c>
      <c r="CU2" s="21" t="str">
        <f>Form!G32</f>
        <v>TENANO360SC BTLPET24X0.2L IDN</v>
      </c>
      <c r="CV2" s="21" t="str">
        <f>Form!I32</f>
        <v>Issue : Found Many Ring Cap Broken</v>
      </c>
      <c r="CW2" s="79" t="str">
        <f>Form!B33</f>
        <v>Filler/Capper_(Other)</v>
      </c>
      <c r="CX2" s="24">
        <f>Form!C33</f>
        <v>25</v>
      </c>
      <c r="CY2" s="21" t="str">
        <f>Form!D33</f>
        <v>Setting Capper Filling Machie and Tooling</v>
      </c>
      <c r="CZ2" s="21" t="str">
        <f>Form!G33</f>
        <v>TENANO360SC BTLPET24X0.2L IDN</v>
      </c>
      <c r="DA2" s="21">
        <f>Form!I33</f>
        <v>0</v>
      </c>
      <c r="DB2" s="79" t="str">
        <f>Form!B34</f>
        <v>Bottle_Labeler_(Other)</v>
      </c>
      <c r="DC2" s="24">
        <f>Form!C34</f>
        <v>20</v>
      </c>
      <c r="DD2" s="21" t="str">
        <f>Form!D34</f>
        <v>Batchnumber Zigzag on the Label</v>
      </c>
      <c r="DE2" s="21" t="str">
        <f>Form!G34</f>
        <v>TENANO360SC BTLPET24X0.2L IDN</v>
      </c>
      <c r="DF2" s="21" t="str">
        <f>Form!I34</f>
        <v>Setting Label Machine</v>
      </c>
      <c r="DG2" s="21" t="str">
        <f>Form!B35</f>
        <v>Bottle_Labeler_(Other)</v>
      </c>
      <c r="DH2" s="24">
        <f>Form!C35</f>
        <v>30</v>
      </c>
      <c r="DI2" s="21" t="str">
        <f>Form!D35</f>
        <v>Slip Servo Problem on the Gear Belting</v>
      </c>
      <c r="DJ2" s="21" t="str">
        <f>Form!G35</f>
        <v>TENANO360SC BTLPET24X0.2L IDN</v>
      </c>
      <c r="DK2" s="21">
        <f>Form!I35</f>
        <v>0</v>
      </c>
      <c r="DL2" s="21">
        <f>Form!B36</f>
        <v>0</v>
      </c>
      <c r="DM2" s="24">
        <f>Form!C36</f>
        <v>0</v>
      </c>
      <c r="DN2" s="21">
        <f>Form!D36</f>
        <v>0</v>
      </c>
      <c r="DO2" s="21">
        <f>Form!G36</f>
        <v>0</v>
      </c>
      <c r="DP2" s="21">
        <f>Form!I36</f>
        <v>0</v>
      </c>
      <c r="DQ2" s="21">
        <f>Form!B37</f>
        <v>0</v>
      </c>
      <c r="DR2" s="24">
        <f>Form!C37</f>
        <v>0</v>
      </c>
      <c r="DS2" s="21">
        <f>Form!D37</f>
        <v>0</v>
      </c>
      <c r="DT2" s="21">
        <f>Form!G37</f>
        <v>0</v>
      </c>
      <c r="DU2" s="21">
        <f>Form!I37</f>
        <v>0</v>
      </c>
      <c r="DV2" s="21">
        <f>Form!B38</f>
        <v>0</v>
      </c>
      <c r="DW2" s="24">
        <f>Form!C38</f>
        <v>0</v>
      </c>
      <c r="DX2" s="21">
        <f>Form!D38</f>
        <v>0</v>
      </c>
      <c r="DY2" s="21">
        <f>Form!G38</f>
        <v>0</v>
      </c>
      <c r="DZ2" s="21">
        <f>Form!I38</f>
        <v>0</v>
      </c>
      <c r="EA2" s="21">
        <f>Form!B39</f>
        <v>0</v>
      </c>
      <c r="EB2" s="24">
        <f>Form!C39</f>
        <v>0</v>
      </c>
      <c r="EC2" s="21">
        <f>Form!D39</f>
        <v>0</v>
      </c>
      <c r="ED2" s="21">
        <f>Form!G39</f>
        <v>0</v>
      </c>
      <c r="EE2" s="21">
        <f>Form!I39</f>
        <v>0</v>
      </c>
      <c r="EF2" s="21">
        <f>Form!B40</f>
        <v>0</v>
      </c>
      <c r="EG2" s="24">
        <f>Form!C40</f>
        <v>0</v>
      </c>
      <c r="EH2" s="21">
        <f>Form!D40</f>
        <v>0</v>
      </c>
      <c r="EI2" s="21">
        <f>Form!G40</f>
        <v>0</v>
      </c>
      <c r="EJ2" s="21">
        <f>Form!I40</f>
        <v>0</v>
      </c>
      <c r="EK2" s="21">
        <f>Form!B41</f>
        <v>0</v>
      </c>
      <c r="EL2" s="24">
        <f>Form!C41</f>
        <v>0</v>
      </c>
      <c r="EM2" s="21">
        <f>Form!D41</f>
        <v>0</v>
      </c>
      <c r="EN2" s="21">
        <f>Form!G41</f>
        <v>0</v>
      </c>
      <c r="EO2" s="21">
        <f>Form!I41</f>
        <v>0</v>
      </c>
      <c r="EP2" s="21">
        <f>Form!B42</f>
        <v>0</v>
      </c>
      <c r="EQ2" s="24">
        <f>Form!C42</f>
        <v>0</v>
      </c>
      <c r="ER2" s="21">
        <f>Form!D42</f>
        <v>0</v>
      </c>
      <c r="ES2" s="21">
        <f>Form!G42</f>
        <v>0</v>
      </c>
      <c r="ET2" s="21">
        <f>Form!I42</f>
        <v>0</v>
      </c>
      <c r="EU2" s="295">
        <f>Form!B43</f>
        <v>0</v>
      </c>
      <c r="EV2" s="24">
        <f>Form!C43</f>
        <v>0</v>
      </c>
      <c r="EW2" s="21">
        <f>Form!D43</f>
        <v>0</v>
      </c>
      <c r="EX2" s="21">
        <f>Form!G43</f>
        <v>0</v>
      </c>
      <c r="EY2" s="21">
        <f>Form!I43</f>
        <v>0</v>
      </c>
      <c r="EZ2" s="21" t="str">
        <f>Form!B50</f>
        <v>TENANO360SC BTLPET24X0.2L IDN</v>
      </c>
      <c r="FA2" s="23">
        <f>Form!C50</f>
        <v>1</v>
      </c>
      <c r="FB2" s="23">
        <f>Form!D50</f>
        <v>0.33333333333333331</v>
      </c>
      <c r="FC2" s="24">
        <f ca="1">Form!E50</f>
        <v>170</v>
      </c>
      <c r="FD2" s="24">
        <f>Form!F50</f>
        <v>30</v>
      </c>
      <c r="FE2" s="24">
        <f>Form!G50</f>
        <v>448</v>
      </c>
      <c r="FF2" s="24">
        <f ca="1">Form!H50</f>
        <v>280</v>
      </c>
      <c r="FG2" s="24">
        <f>Form!I50</f>
        <v>107.52</v>
      </c>
      <c r="FH2" s="21">
        <f>Form!J50</f>
        <v>0</v>
      </c>
      <c r="FI2" s="21" t="str">
        <f>Form!B51</f>
        <v/>
      </c>
      <c r="FJ2" s="23">
        <f>Form!C51</f>
        <v>0</v>
      </c>
      <c r="FK2" s="23">
        <f>Form!D51</f>
        <v>0</v>
      </c>
      <c r="FL2" s="24">
        <f ca="1">Form!E51</f>
        <v>0</v>
      </c>
      <c r="FM2" s="24">
        <f>Form!F51</f>
        <v>0</v>
      </c>
      <c r="FN2" s="24">
        <f>Form!G51</f>
        <v>0</v>
      </c>
      <c r="FO2" s="24" t="str">
        <f>Form!H51</f>
        <v/>
      </c>
      <c r="FP2" s="24">
        <f>Form!I51</f>
        <v>0</v>
      </c>
      <c r="FQ2" s="21">
        <f>Form!J51</f>
        <v>0</v>
      </c>
      <c r="FR2" s="21" t="str">
        <f>Form!B52</f>
        <v/>
      </c>
      <c r="FS2" s="23">
        <f>Form!C52</f>
        <v>0</v>
      </c>
      <c r="FT2" s="23">
        <f>Form!D52</f>
        <v>0</v>
      </c>
      <c r="FU2" s="24">
        <f ca="1">Form!E52</f>
        <v>0</v>
      </c>
      <c r="FV2" s="24">
        <f>Form!F52</f>
        <v>0</v>
      </c>
      <c r="FW2" s="24">
        <f>Form!G52</f>
        <v>0</v>
      </c>
      <c r="FX2" s="24" t="str">
        <f>Form!H52</f>
        <v/>
      </c>
      <c r="FY2" s="24">
        <f>Form!I52</f>
        <v>0</v>
      </c>
      <c r="FZ2" s="21">
        <f>Form!J52</f>
        <v>0</v>
      </c>
      <c r="GA2" s="21" t="str">
        <f>Form!B53</f>
        <v/>
      </c>
      <c r="GB2" s="23">
        <f>Form!C53</f>
        <v>0</v>
      </c>
      <c r="GC2" s="23">
        <f>Form!D53</f>
        <v>0</v>
      </c>
      <c r="GD2" s="24">
        <f ca="1">Form!E53</f>
        <v>0</v>
      </c>
      <c r="GE2" s="24">
        <f>Form!F53</f>
        <v>0</v>
      </c>
      <c r="GF2" s="24">
        <f>Form!G53</f>
        <v>0</v>
      </c>
      <c r="GG2" s="24" t="str">
        <f>Form!H53</f>
        <v/>
      </c>
      <c r="GH2" s="24">
        <f>Form!I53</f>
        <v>0</v>
      </c>
      <c r="GI2" s="21">
        <f>Form!J53</f>
        <v>0</v>
      </c>
      <c r="GJ2" s="21" t="str">
        <f>Form!B54</f>
        <v/>
      </c>
      <c r="GK2" s="23">
        <f>Form!C54</f>
        <v>0</v>
      </c>
      <c r="GL2" s="23">
        <f>Form!D54</f>
        <v>0</v>
      </c>
      <c r="GM2" s="24">
        <f ca="1">Form!E54</f>
        <v>0</v>
      </c>
      <c r="GN2" s="24">
        <f>Form!F54</f>
        <v>0</v>
      </c>
      <c r="GO2" s="24">
        <f>Form!G54</f>
        <v>0</v>
      </c>
      <c r="GP2" s="24" t="str">
        <f>Form!H54</f>
        <v/>
      </c>
      <c r="GQ2" s="24">
        <f>Form!I54</f>
        <v>0</v>
      </c>
      <c r="GR2" s="21">
        <f>Form!J54</f>
        <v>0</v>
      </c>
      <c r="GS2" s="21" t="str">
        <f>Form!B55</f>
        <v/>
      </c>
      <c r="GT2" s="23">
        <f>Form!C55</f>
        <v>0</v>
      </c>
      <c r="GU2" s="23">
        <f>Form!D55</f>
        <v>0</v>
      </c>
      <c r="GV2" s="24">
        <f ca="1">Form!E55</f>
        <v>0</v>
      </c>
      <c r="GW2" s="24">
        <f>Form!F55</f>
        <v>0</v>
      </c>
      <c r="GX2" s="24">
        <f>Form!G55</f>
        <v>0</v>
      </c>
      <c r="GY2" s="24" t="str">
        <f>Form!H55</f>
        <v/>
      </c>
      <c r="GZ2" s="24">
        <f>Form!I55</f>
        <v>0</v>
      </c>
      <c r="HA2" s="21">
        <f>Form!J55</f>
        <v>0</v>
      </c>
      <c r="HB2" s="21" t="str">
        <f>Form!B62</f>
        <v>TENANO360SC BTLPET24X0.2L IDN</v>
      </c>
      <c r="HC2" s="21">
        <f>Form!C62</f>
        <v>10752</v>
      </c>
      <c r="HD2" s="24">
        <f>Form!D62</f>
        <v>10752</v>
      </c>
      <c r="HE2" s="24">
        <f>Form!E62</f>
        <v>0</v>
      </c>
      <c r="HF2" s="24">
        <f>Form!F62</f>
        <v>10752</v>
      </c>
      <c r="HG2" s="24">
        <f>Form!G62</f>
        <v>116</v>
      </c>
      <c r="HH2" s="24">
        <f>Form!H62</f>
        <v>10752</v>
      </c>
      <c r="HI2" s="24">
        <f>Form!I62</f>
        <v>103</v>
      </c>
      <c r="HJ2" s="24">
        <f>Form!J62</f>
        <v>448</v>
      </c>
      <c r="HK2" s="24">
        <f>Form!K62</f>
        <v>16</v>
      </c>
      <c r="HL2" s="24">
        <f>Form!L62</f>
        <v>448</v>
      </c>
      <c r="HM2" s="24">
        <f>Form!M62</f>
        <v>0</v>
      </c>
      <c r="HN2" s="24">
        <f>Form!N62</f>
        <v>448</v>
      </c>
      <c r="HO2" s="24">
        <f>Form!O62</f>
        <v>0</v>
      </c>
      <c r="HP2" s="24" t="str">
        <f>Form!B63</f>
        <v/>
      </c>
      <c r="HQ2" s="24">
        <f>Form!C63</f>
        <v>0</v>
      </c>
      <c r="HR2" s="24">
        <f>Form!D63</f>
        <v>0</v>
      </c>
      <c r="HS2" s="24">
        <f>Form!E63</f>
        <v>0</v>
      </c>
      <c r="HT2" s="24">
        <f>Form!F63</f>
        <v>0</v>
      </c>
      <c r="HU2" s="24">
        <f>Form!G63</f>
        <v>0</v>
      </c>
      <c r="HV2" s="24">
        <f>Form!H63</f>
        <v>0</v>
      </c>
      <c r="HW2" s="24">
        <f>Form!I63</f>
        <v>0</v>
      </c>
      <c r="HX2" s="24">
        <f>Form!J63</f>
        <v>0</v>
      </c>
      <c r="HY2" s="24">
        <f>Form!K63</f>
        <v>0</v>
      </c>
      <c r="HZ2" s="24">
        <f>Form!L63</f>
        <v>0</v>
      </c>
      <c r="IA2" s="24">
        <f>Form!M63</f>
        <v>0</v>
      </c>
      <c r="IB2" s="24">
        <f>Form!N63</f>
        <v>0</v>
      </c>
      <c r="IC2" s="24">
        <f>Form!O63</f>
        <v>0</v>
      </c>
      <c r="ID2" s="24" t="str">
        <f>Form!B64</f>
        <v/>
      </c>
      <c r="IE2" s="24">
        <f>Form!C64</f>
        <v>0</v>
      </c>
      <c r="IF2" s="24">
        <f>Form!D64</f>
        <v>0</v>
      </c>
      <c r="IG2" s="24">
        <f>Form!E64</f>
        <v>0</v>
      </c>
      <c r="IH2" s="24">
        <f>Form!F64</f>
        <v>0</v>
      </c>
      <c r="II2" s="24">
        <f>Form!G64</f>
        <v>0</v>
      </c>
      <c r="IJ2" s="24">
        <f>Form!H64</f>
        <v>0</v>
      </c>
      <c r="IK2" s="24">
        <f>Form!I64</f>
        <v>0</v>
      </c>
      <c r="IL2" s="24">
        <f>Form!J64</f>
        <v>0</v>
      </c>
      <c r="IM2" s="24">
        <f>Form!K64</f>
        <v>0</v>
      </c>
      <c r="IN2" s="24">
        <f>Form!L64</f>
        <v>0</v>
      </c>
      <c r="IO2" s="24">
        <f>Form!M64</f>
        <v>0</v>
      </c>
      <c r="IP2" s="24">
        <f>Form!N64</f>
        <v>0</v>
      </c>
      <c r="IQ2" s="24">
        <f>Form!O64</f>
        <v>0</v>
      </c>
      <c r="IR2" s="24" t="str">
        <f>Form!B65</f>
        <v/>
      </c>
      <c r="IS2" s="24">
        <f>Form!C65</f>
        <v>0</v>
      </c>
      <c r="IT2" s="24">
        <f>Form!D65</f>
        <v>0</v>
      </c>
      <c r="IU2" s="24">
        <f>Form!E65</f>
        <v>0</v>
      </c>
      <c r="IV2" s="24">
        <f>Form!F65</f>
        <v>0</v>
      </c>
      <c r="IW2" s="24">
        <f>Form!G65</f>
        <v>0</v>
      </c>
      <c r="IX2" s="24">
        <f>Form!H65</f>
        <v>0</v>
      </c>
      <c r="IY2" s="24">
        <f>Form!I65</f>
        <v>0</v>
      </c>
      <c r="IZ2" s="24">
        <f>Form!J65</f>
        <v>0</v>
      </c>
      <c r="JA2" s="24">
        <f>Form!K65</f>
        <v>0</v>
      </c>
      <c r="JB2" s="24">
        <f>Form!L65</f>
        <v>0</v>
      </c>
      <c r="JC2" s="24">
        <f>Form!M65</f>
        <v>0</v>
      </c>
      <c r="JD2" s="24">
        <f>Form!N65</f>
        <v>0</v>
      </c>
      <c r="JE2" s="24">
        <f>Form!O65</f>
        <v>0</v>
      </c>
      <c r="JF2" s="24" t="str">
        <f>Form!B66</f>
        <v/>
      </c>
      <c r="JG2" s="24">
        <f>Form!C66</f>
        <v>0</v>
      </c>
      <c r="JH2" s="24">
        <f>Form!D66</f>
        <v>0</v>
      </c>
      <c r="JI2" s="24">
        <f>Form!E66</f>
        <v>0</v>
      </c>
      <c r="JJ2" s="24">
        <f>Form!F66</f>
        <v>0</v>
      </c>
      <c r="JK2" s="24">
        <f>Form!G66</f>
        <v>0</v>
      </c>
      <c r="JL2" s="24">
        <f>Form!H66</f>
        <v>0</v>
      </c>
      <c r="JM2" s="24">
        <f>Form!I66</f>
        <v>0</v>
      </c>
      <c r="JN2" s="24">
        <f>Form!J66</f>
        <v>0</v>
      </c>
      <c r="JO2" s="24">
        <f>Form!K66</f>
        <v>0</v>
      </c>
      <c r="JP2" s="24">
        <f>Form!L66</f>
        <v>0</v>
      </c>
      <c r="JQ2" s="24">
        <f>Form!M66</f>
        <v>0</v>
      </c>
      <c r="JR2" s="24">
        <f>Form!N66</f>
        <v>0</v>
      </c>
      <c r="JS2" s="24">
        <f>Form!O66</f>
        <v>0</v>
      </c>
      <c r="JT2" s="24" t="str">
        <f>Form!B67</f>
        <v/>
      </c>
      <c r="JU2" s="24">
        <f>Form!C67</f>
        <v>0</v>
      </c>
      <c r="JV2" s="24">
        <f>Form!D67</f>
        <v>0</v>
      </c>
      <c r="JW2" s="24">
        <f>Form!E67</f>
        <v>0</v>
      </c>
      <c r="JX2" s="24">
        <f>Form!F67</f>
        <v>0</v>
      </c>
      <c r="JY2" s="24">
        <f>Form!G67</f>
        <v>0</v>
      </c>
      <c r="JZ2" s="24">
        <f>Form!H67</f>
        <v>0</v>
      </c>
      <c r="KA2" s="24">
        <f>Form!I67</f>
        <v>0</v>
      </c>
      <c r="KB2" s="24">
        <f>Form!J67</f>
        <v>0</v>
      </c>
      <c r="KC2" s="24">
        <f>Form!K67</f>
        <v>0</v>
      </c>
      <c r="KD2" s="24">
        <f>Form!L67</f>
        <v>0</v>
      </c>
      <c r="KE2" s="24">
        <f>Form!M67</f>
        <v>0</v>
      </c>
      <c r="KF2" s="24">
        <f>Form!N67</f>
        <v>0</v>
      </c>
      <c r="KG2" s="24">
        <f>Form!O67</f>
        <v>0</v>
      </c>
      <c r="KH2" s="23">
        <f>Form!H5</f>
        <v>1</v>
      </c>
      <c r="KI2" s="23">
        <f>Form!D50</f>
        <v>0.33333333333333331</v>
      </c>
      <c r="KJ2" s="24">
        <f>Form!F50</f>
        <v>30</v>
      </c>
      <c r="KK2" s="23">
        <f>Form!C51</f>
        <v>0</v>
      </c>
      <c r="KL2" s="23">
        <f>Form!D51</f>
        <v>0</v>
      </c>
      <c r="KM2" s="24">
        <f>Form!F51</f>
        <v>0</v>
      </c>
      <c r="KN2" s="23">
        <f>Form!C52</f>
        <v>0</v>
      </c>
      <c r="KO2" s="23">
        <f>Form!D52</f>
        <v>0</v>
      </c>
      <c r="KP2" s="24">
        <f>Form!F52</f>
        <v>0</v>
      </c>
      <c r="KQ2" s="23">
        <f>Form!C53</f>
        <v>0</v>
      </c>
      <c r="KR2" s="23">
        <f>Form!D53</f>
        <v>0</v>
      </c>
      <c r="KS2" s="24">
        <f>Form!F53</f>
        <v>0</v>
      </c>
      <c r="KT2" s="23">
        <f>Form!C54</f>
        <v>0</v>
      </c>
      <c r="KU2" s="23">
        <f>Form!D54</f>
        <v>0</v>
      </c>
      <c r="KV2" s="24">
        <f>Form!F54</f>
        <v>0</v>
      </c>
      <c r="KW2" s="23">
        <f>Form!C55</f>
        <v>0</v>
      </c>
      <c r="KX2" s="23">
        <f>Form!D55</f>
        <v>0</v>
      </c>
      <c r="KY2" s="24">
        <f>Form!F55</f>
        <v>0</v>
      </c>
    </row>
    <row r="3" spans="1:311" s="264" customFormat="1" ht="43.5">
      <c r="A3" s="263">
        <v>44296</v>
      </c>
      <c r="B3" s="264" t="s">
        <v>210</v>
      </c>
      <c r="C3" s="265">
        <v>0.53333333333333333</v>
      </c>
      <c r="D3" s="265">
        <v>0.26400000000000001</v>
      </c>
      <c r="E3" s="265">
        <v>0.95898289692750116</v>
      </c>
      <c r="F3" s="265">
        <v>0.13502479188739216</v>
      </c>
      <c r="G3" s="266">
        <v>0.33333333333333331</v>
      </c>
      <c r="H3" s="266">
        <v>0.66666666666666663</v>
      </c>
      <c r="I3" s="264" t="s">
        <v>421</v>
      </c>
      <c r="J3" s="267">
        <v>480</v>
      </c>
      <c r="K3" s="267">
        <v>450</v>
      </c>
      <c r="L3" s="267">
        <v>210</v>
      </c>
      <c r="M3" s="267">
        <v>240</v>
      </c>
      <c r="N3" s="267">
        <v>63.36</v>
      </c>
      <c r="O3" s="267">
        <v>271</v>
      </c>
      <c r="P3" s="267">
        <v>0</v>
      </c>
      <c r="Q3" s="267">
        <v>6336</v>
      </c>
      <c r="R3" s="264" t="s">
        <v>212</v>
      </c>
      <c r="S3" s="267">
        <v>30</v>
      </c>
      <c r="T3" s="267">
        <v>30</v>
      </c>
      <c r="U3" s="267">
        <v>0</v>
      </c>
      <c r="V3" s="267" t="s">
        <v>409</v>
      </c>
      <c r="W3" s="264" t="s">
        <v>176</v>
      </c>
      <c r="X3" s="264">
        <v>0</v>
      </c>
      <c r="Y3" s="267">
        <v>0</v>
      </c>
      <c r="Z3" s="267">
        <v>0</v>
      </c>
      <c r="AA3" s="267">
        <v>0</v>
      </c>
      <c r="AB3" s="267">
        <v>0</v>
      </c>
      <c r="AC3" s="264" t="s">
        <v>176</v>
      </c>
      <c r="AD3" s="264">
        <v>0</v>
      </c>
      <c r="AE3" s="267">
        <v>0</v>
      </c>
      <c r="AF3" s="267">
        <v>0</v>
      </c>
      <c r="AG3" s="267">
        <v>0</v>
      </c>
      <c r="AH3" s="267">
        <v>0</v>
      </c>
      <c r="AI3" s="264" t="s">
        <v>176</v>
      </c>
      <c r="AJ3" s="264">
        <v>0</v>
      </c>
      <c r="AK3" s="267">
        <v>0</v>
      </c>
      <c r="AL3" s="267">
        <v>0</v>
      </c>
      <c r="AM3" s="267">
        <v>0</v>
      </c>
      <c r="AN3" s="267">
        <v>0</v>
      </c>
      <c r="AO3" s="264" t="s">
        <v>176</v>
      </c>
      <c r="AP3" s="264">
        <v>0</v>
      </c>
      <c r="AQ3" s="267">
        <v>0</v>
      </c>
      <c r="AR3" s="267">
        <v>0</v>
      </c>
      <c r="AS3" s="267">
        <v>0</v>
      </c>
      <c r="AT3" s="267">
        <v>0</v>
      </c>
      <c r="AU3" s="264" t="s">
        <v>176</v>
      </c>
      <c r="AV3" s="264">
        <v>0</v>
      </c>
      <c r="AW3" s="267">
        <v>0</v>
      </c>
      <c r="AX3" s="267">
        <v>0</v>
      </c>
      <c r="AY3" s="267">
        <v>0</v>
      </c>
      <c r="AZ3" s="267">
        <v>0</v>
      </c>
      <c r="BA3" s="264" t="s">
        <v>176</v>
      </c>
      <c r="BB3" s="268">
        <v>0</v>
      </c>
      <c r="BC3" s="268">
        <v>0</v>
      </c>
      <c r="BD3" s="268">
        <v>0</v>
      </c>
      <c r="BE3" s="268">
        <v>0</v>
      </c>
      <c r="BF3" s="268">
        <v>0</v>
      </c>
      <c r="BG3" s="269">
        <v>0</v>
      </c>
      <c r="BH3" s="268">
        <v>0</v>
      </c>
      <c r="BI3" s="268">
        <v>0</v>
      </c>
      <c r="BJ3" s="268">
        <v>0</v>
      </c>
      <c r="BK3" s="268">
        <v>0</v>
      </c>
      <c r="BL3" s="268">
        <v>0</v>
      </c>
      <c r="BM3" s="269">
        <v>0</v>
      </c>
      <c r="BN3" s="268">
        <v>0</v>
      </c>
      <c r="BO3" s="268">
        <v>0</v>
      </c>
      <c r="BP3" s="268">
        <v>0</v>
      </c>
      <c r="BQ3" s="268" t="s">
        <v>176</v>
      </c>
      <c r="BR3" s="268">
        <v>0</v>
      </c>
      <c r="BS3" s="269">
        <v>0</v>
      </c>
      <c r="BT3" s="264" t="s">
        <v>409</v>
      </c>
      <c r="BU3" s="267" t="s">
        <v>406</v>
      </c>
      <c r="BV3" s="264">
        <v>0</v>
      </c>
      <c r="BW3" s="264">
        <v>0</v>
      </c>
      <c r="BX3" s="264">
        <v>0</v>
      </c>
      <c r="BY3" s="267" t="s">
        <v>176</v>
      </c>
      <c r="BZ3" s="264">
        <v>0</v>
      </c>
      <c r="CA3" s="264">
        <v>0</v>
      </c>
      <c r="CB3" s="264">
        <v>0</v>
      </c>
      <c r="CC3" s="267" t="s">
        <v>176</v>
      </c>
      <c r="CD3" s="264">
        <v>0</v>
      </c>
      <c r="CE3" s="264">
        <v>0</v>
      </c>
      <c r="CF3" s="264">
        <v>0</v>
      </c>
      <c r="CG3" s="267" t="s">
        <v>176</v>
      </c>
      <c r="CH3" s="264">
        <v>0</v>
      </c>
      <c r="CI3" s="264">
        <v>0</v>
      </c>
      <c r="CJ3" s="264">
        <v>0</v>
      </c>
      <c r="CK3" s="267" t="s">
        <v>176</v>
      </c>
      <c r="CL3" s="264">
        <v>0</v>
      </c>
      <c r="CM3" s="264">
        <v>0</v>
      </c>
      <c r="CN3" s="264">
        <v>0</v>
      </c>
      <c r="CO3" s="267" t="s">
        <v>176</v>
      </c>
      <c r="CP3" s="264">
        <v>0</v>
      </c>
      <c r="CQ3" s="264">
        <v>0</v>
      </c>
      <c r="CR3" s="264" t="s">
        <v>219</v>
      </c>
      <c r="CS3" s="267">
        <v>90</v>
      </c>
      <c r="CT3" s="264" t="s">
        <v>440</v>
      </c>
      <c r="CU3" s="264" t="s">
        <v>409</v>
      </c>
      <c r="CV3" s="264" t="s">
        <v>442</v>
      </c>
      <c r="CW3" s="270" t="s">
        <v>218</v>
      </c>
      <c r="CX3" s="267">
        <v>30</v>
      </c>
      <c r="CY3" s="264" t="s">
        <v>441</v>
      </c>
      <c r="CZ3" s="264" t="s">
        <v>409</v>
      </c>
      <c r="DA3" s="264" t="s">
        <v>438</v>
      </c>
      <c r="DB3" s="270" t="s">
        <v>244</v>
      </c>
      <c r="DC3" s="267">
        <v>15</v>
      </c>
      <c r="DD3" s="264" t="s">
        <v>443</v>
      </c>
      <c r="DE3" s="264" t="s">
        <v>409</v>
      </c>
      <c r="DF3" s="264">
        <v>0</v>
      </c>
      <c r="DG3" s="264" t="s">
        <v>244</v>
      </c>
      <c r="DH3" s="267">
        <v>75</v>
      </c>
      <c r="DI3" s="264" t="s">
        <v>444</v>
      </c>
      <c r="DJ3" s="264" t="s">
        <v>409</v>
      </c>
      <c r="DK3" s="264">
        <v>0</v>
      </c>
      <c r="DL3" s="264">
        <v>0</v>
      </c>
      <c r="DM3" s="267">
        <v>0</v>
      </c>
      <c r="DN3" s="264">
        <v>0</v>
      </c>
      <c r="DO3" s="264">
        <v>0</v>
      </c>
      <c r="DP3" s="264">
        <v>0</v>
      </c>
      <c r="DQ3" s="264">
        <v>0</v>
      </c>
      <c r="DR3" s="267">
        <v>0</v>
      </c>
      <c r="DS3" s="264">
        <v>0</v>
      </c>
      <c r="DT3" s="264">
        <v>0</v>
      </c>
      <c r="DU3" s="264">
        <v>0</v>
      </c>
      <c r="DV3" s="264">
        <v>0</v>
      </c>
      <c r="DW3" s="267">
        <v>0</v>
      </c>
      <c r="DX3" s="264">
        <v>0</v>
      </c>
      <c r="DY3" s="264">
        <v>0</v>
      </c>
      <c r="DZ3" s="264">
        <v>0</v>
      </c>
      <c r="EA3" s="264">
        <v>0</v>
      </c>
      <c r="EB3" s="267">
        <v>0</v>
      </c>
      <c r="EC3" s="264">
        <v>0</v>
      </c>
      <c r="ED3" s="264">
        <v>0</v>
      </c>
      <c r="EE3" s="264">
        <v>0</v>
      </c>
      <c r="EF3" s="264">
        <v>0</v>
      </c>
      <c r="EG3" s="267">
        <v>0</v>
      </c>
      <c r="EH3" s="264">
        <v>0</v>
      </c>
      <c r="EI3" s="264">
        <v>0</v>
      </c>
      <c r="EJ3" s="264">
        <v>0</v>
      </c>
      <c r="EK3" s="264">
        <v>0</v>
      </c>
      <c r="EL3" s="267">
        <v>0</v>
      </c>
      <c r="EM3" s="264">
        <v>0</v>
      </c>
      <c r="EN3" s="264">
        <v>0</v>
      </c>
      <c r="EO3" s="264">
        <v>0</v>
      </c>
      <c r="EP3" s="264">
        <v>0</v>
      </c>
      <c r="EQ3" s="267">
        <v>0</v>
      </c>
      <c r="ER3" s="264">
        <v>0</v>
      </c>
      <c r="ES3" s="264">
        <v>0</v>
      </c>
      <c r="ET3" s="264">
        <v>0</v>
      </c>
      <c r="EU3" s="264">
        <v>0</v>
      </c>
      <c r="EV3" s="267">
        <v>0</v>
      </c>
      <c r="EW3" s="264">
        <v>0</v>
      </c>
      <c r="EX3" s="264">
        <v>0</v>
      </c>
      <c r="EY3" s="264">
        <v>0</v>
      </c>
      <c r="EZ3" s="264" t="s">
        <v>409</v>
      </c>
      <c r="FA3" s="266">
        <v>0.33333333333333331</v>
      </c>
      <c r="FB3" s="266">
        <v>0.66666666666666663</v>
      </c>
      <c r="FC3" s="267">
        <v>210</v>
      </c>
      <c r="FD3" s="267">
        <v>30</v>
      </c>
      <c r="FE3" s="267">
        <v>264</v>
      </c>
      <c r="FF3" s="267">
        <v>240</v>
      </c>
      <c r="FG3" s="267">
        <v>63.36</v>
      </c>
      <c r="FH3" s="264">
        <v>0</v>
      </c>
      <c r="FI3" s="264" t="s">
        <v>176</v>
      </c>
      <c r="FJ3" s="266">
        <v>0</v>
      </c>
      <c r="FK3" s="266">
        <v>0</v>
      </c>
      <c r="FL3" s="267">
        <v>0</v>
      </c>
      <c r="FM3" s="267">
        <v>0</v>
      </c>
      <c r="FN3" s="267">
        <v>0</v>
      </c>
      <c r="FO3" s="267" t="s">
        <v>176</v>
      </c>
      <c r="FP3" s="267">
        <v>0</v>
      </c>
      <c r="FQ3" s="264">
        <v>0</v>
      </c>
      <c r="FR3" s="264" t="s">
        <v>176</v>
      </c>
      <c r="FS3" s="266">
        <v>0</v>
      </c>
      <c r="FT3" s="266">
        <v>0</v>
      </c>
      <c r="FU3" s="267">
        <v>0</v>
      </c>
      <c r="FV3" s="267">
        <v>0</v>
      </c>
      <c r="FW3" s="267">
        <v>0</v>
      </c>
      <c r="FX3" s="267" t="s">
        <v>176</v>
      </c>
      <c r="FY3" s="267">
        <v>0</v>
      </c>
      <c r="FZ3" s="264">
        <v>0</v>
      </c>
      <c r="GA3" s="264" t="s">
        <v>176</v>
      </c>
      <c r="GB3" s="266">
        <v>0</v>
      </c>
      <c r="GC3" s="266">
        <v>0</v>
      </c>
      <c r="GD3" s="267">
        <v>0</v>
      </c>
      <c r="GE3" s="267">
        <v>0</v>
      </c>
      <c r="GF3" s="267">
        <v>0</v>
      </c>
      <c r="GG3" s="267" t="s">
        <v>176</v>
      </c>
      <c r="GH3" s="267">
        <v>0</v>
      </c>
      <c r="GI3" s="264">
        <v>0</v>
      </c>
      <c r="GJ3" s="264" t="s">
        <v>176</v>
      </c>
      <c r="GK3" s="266">
        <v>0</v>
      </c>
      <c r="GL3" s="266">
        <v>0</v>
      </c>
      <c r="GM3" s="267">
        <v>0</v>
      </c>
      <c r="GN3" s="267">
        <v>0</v>
      </c>
      <c r="GO3" s="267">
        <v>0</v>
      </c>
      <c r="GP3" s="267" t="s">
        <v>176</v>
      </c>
      <c r="GQ3" s="267">
        <v>0</v>
      </c>
      <c r="GR3" s="264">
        <v>0</v>
      </c>
      <c r="GS3" s="264" t="s">
        <v>176</v>
      </c>
      <c r="GT3" s="266">
        <v>0</v>
      </c>
      <c r="GU3" s="266">
        <v>0</v>
      </c>
      <c r="GV3" s="267">
        <v>0</v>
      </c>
      <c r="GW3" s="267">
        <v>0</v>
      </c>
      <c r="GX3" s="267">
        <v>0</v>
      </c>
      <c r="GY3" s="267" t="s">
        <v>176</v>
      </c>
      <c r="GZ3" s="267">
        <v>0</v>
      </c>
      <c r="HA3" s="264">
        <v>0</v>
      </c>
      <c r="HB3" s="264" t="s">
        <v>409</v>
      </c>
      <c r="HC3" s="264">
        <v>6336</v>
      </c>
      <c r="HD3" s="267">
        <v>6336</v>
      </c>
      <c r="HE3" s="267">
        <v>0</v>
      </c>
      <c r="HF3" s="267">
        <v>6336</v>
      </c>
      <c r="HG3" s="267">
        <v>80</v>
      </c>
      <c r="HH3" s="267">
        <v>6336</v>
      </c>
      <c r="HI3" s="267">
        <v>47</v>
      </c>
      <c r="HJ3" s="267">
        <v>264</v>
      </c>
      <c r="HK3" s="267">
        <v>6</v>
      </c>
      <c r="HL3" s="267">
        <v>264</v>
      </c>
      <c r="HM3" s="267">
        <v>0</v>
      </c>
      <c r="HN3" s="267">
        <v>264</v>
      </c>
      <c r="HO3" s="267">
        <v>0</v>
      </c>
      <c r="HP3" s="267" t="s">
        <v>176</v>
      </c>
      <c r="HQ3" s="267">
        <v>0</v>
      </c>
      <c r="HR3" s="267">
        <v>0</v>
      </c>
      <c r="HS3" s="267">
        <v>0</v>
      </c>
      <c r="HT3" s="267">
        <v>0</v>
      </c>
      <c r="HU3" s="267">
        <v>0</v>
      </c>
      <c r="HV3" s="267">
        <v>0</v>
      </c>
      <c r="HW3" s="267">
        <v>0</v>
      </c>
      <c r="HX3" s="267">
        <v>0</v>
      </c>
      <c r="HY3" s="267">
        <v>0</v>
      </c>
      <c r="HZ3" s="267">
        <v>0</v>
      </c>
      <c r="IA3" s="267">
        <v>0</v>
      </c>
      <c r="IB3" s="267">
        <v>0</v>
      </c>
      <c r="IC3" s="267">
        <v>0</v>
      </c>
      <c r="ID3" s="267" t="s">
        <v>176</v>
      </c>
      <c r="IE3" s="267">
        <v>0</v>
      </c>
      <c r="IF3" s="267">
        <v>0</v>
      </c>
      <c r="IG3" s="267">
        <v>0</v>
      </c>
      <c r="IH3" s="267">
        <v>0</v>
      </c>
      <c r="II3" s="267">
        <v>0</v>
      </c>
      <c r="IJ3" s="267">
        <v>0</v>
      </c>
      <c r="IK3" s="267">
        <v>0</v>
      </c>
      <c r="IL3" s="267">
        <v>0</v>
      </c>
      <c r="IM3" s="267">
        <v>0</v>
      </c>
      <c r="IN3" s="267">
        <v>0</v>
      </c>
      <c r="IO3" s="267">
        <v>0</v>
      </c>
      <c r="IP3" s="267">
        <v>0</v>
      </c>
      <c r="IQ3" s="267">
        <v>0</v>
      </c>
      <c r="IR3" s="267" t="s">
        <v>176</v>
      </c>
      <c r="IS3" s="267">
        <v>0</v>
      </c>
      <c r="IT3" s="272">
        <v>0</v>
      </c>
      <c r="IU3" s="272">
        <v>0</v>
      </c>
      <c r="IV3" s="272">
        <v>0</v>
      </c>
      <c r="IW3" s="272">
        <v>0</v>
      </c>
      <c r="IX3" s="272">
        <v>0</v>
      </c>
      <c r="IY3" s="272">
        <v>0</v>
      </c>
      <c r="IZ3" s="267">
        <v>0</v>
      </c>
      <c r="JA3" s="267">
        <v>0</v>
      </c>
      <c r="JB3" s="267">
        <v>0</v>
      </c>
      <c r="JC3" s="267">
        <v>0</v>
      </c>
      <c r="JD3" s="267">
        <v>0</v>
      </c>
      <c r="JE3" s="267">
        <v>0</v>
      </c>
      <c r="JF3" s="267" t="s">
        <v>176</v>
      </c>
      <c r="JG3" s="267">
        <v>0</v>
      </c>
      <c r="JH3" s="267">
        <v>0</v>
      </c>
      <c r="JI3" s="267">
        <v>0</v>
      </c>
      <c r="JJ3" s="267">
        <v>0</v>
      </c>
      <c r="JK3" s="267">
        <v>0</v>
      </c>
      <c r="JL3" s="267">
        <v>0</v>
      </c>
      <c r="JM3" s="267">
        <v>0</v>
      </c>
      <c r="JN3" s="267">
        <v>0</v>
      </c>
      <c r="JO3" s="267">
        <v>0</v>
      </c>
      <c r="JP3" s="267">
        <v>0</v>
      </c>
      <c r="JQ3" s="267">
        <v>0</v>
      </c>
      <c r="JR3" s="267">
        <v>0</v>
      </c>
      <c r="JS3" s="267">
        <v>0</v>
      </c>
      <c r="JT3" s="267" t="s">
        <v>176</v>
      </c>
      <c r="JU3" s="267">
        <v>0</v>
      </c>
      <c r="JV3" s="267">
        <v>0</v>
      </c>
      <c r="JW3" s="267">
        <v>0</v>
      </c>
      <c r="JX3" s="267">
        <v>0</v>
      </c>
      <c r="JY3" s="267">
        <v>0</v>
      </c>
      <c r="JZ3" s="267">
        <v>0</v>
      </c>
      <c r="KA3" s="267">
        <v>0</v>
      </c>
      <c r="KB3" s="267">
        <v>0</v>
      </c>
      <c r="KC3" s="267">
        <v>0</v>
      </c>
      <c r="KD3" s="267">
        <v>0</v>
      </c>
      <c r="KE3" s="267">
        <v>0</v>
      </c>
      <c r="KF3" s="267">
        <v>0</v>
      </c>
      <c r="KG3" s="267">
        <v>0</v>
      </c>
      <c r="KH3" s="266">
        <v>0.33333333333333331</v>
      </c>
      <c r="KI3" s="266">
        <v>0.66666666666666663</v>
      </c>
      <c r="KJ3" s="267">
        <v>30</v>
      </c>
      <c r="KK3" s="266">
        <v>0</v>
      </c>
      <c r="KL3" s="266">
        <v>0</v>
      </c>
      <c r="KM3" s="267">
        <v>0</v>
      </c>
      <c r="KN3" s="266">
        <v>0</v>
      </c>
      <c r="KO3" s="266">
        <v>0</v>
      </c>
      <c r="KP3" s="267">
        <v>0</v>
      </c>
      <c r="KQ3" s="266">
        <v>0</v>
      </c>
      <c r="KR3" s="266">
        <v>0</v>
      </c>
      <c r="KS3" s="267">
        <v>0</v>
      </c>
      <c r="KT3" s="266">
        <v>0</v>
      </c>
      <c r="KU3" s="266">
        <v>0</v>
      </c>
      <c r="KV3" s="267">
        <v>0</v>
      </c>
      <c r="KW3" s="266">
        <v>0</v>
      </c>
      <c r="KX3" s="266">
        <v>0</v>
      </c>
      <c r="KY3" s="267">
        <v>0</v>
      </c>
    </row>
    <row r="4" spans="1:311">
      <c r="CW4" s="3"/>
    </row>
    <row r="5" spans="1:311">
      <c r="CW5" s="3"/>
    </row>
    <row r="240" spans="475:475">
      <c r="RG240" s="24" t="s">
        <v>176</v>
      </c>
    </row>
    <row r="241" spans="475:475">
      <c r="RG241" s="24" t="s">
        <v>176</v>
      </c>
    </row>
    <row r="242" spans="475:475">
      <c r="RG242" s="24" t="s">
        <v>176</v>
      </c>
    </row>
    <row r="243" spans="475:475">
      <c r="RG243" s="24" t="s">
        <v>176</v>
      </c>
    </row>
    <row r="244" spans="475:475">
      <c r="RG244" s="24" t="s">
        <v>176</v>
      </c>
    </row>
    <row r="245" spans="475:475">
      <c r="RG245" s="24" t="s">
        <v>176</v>
      </c>
    </row>
    <row r="246" spans="475:475">
      <c r="RG246" s="24" t="s">
        <v>176</v>
      </c>
    </row>
    <row r="247" spans="475:475">
      <c r="RG247" s="24" t="s">
        <v>176</v>
      </c>
    </row>
    <row r="248" spans="475:475">
      <c r="RG248" s="24" t="s">
        <v>176</v>
      </c>
    </row>
    <row r="249" spans="475:475">
      <c r="RG249" s="24" t="s">
        <v>176</v>
      </c>
    </row>
    <row r="250" spans="475:475">
      <c r="RG250" s="24" t="s">
        <v>176</v>
      </c>
    </row>
    <row r="251" spans="475:475">
      <c r="RG251" s="24" t="s">
        <v>176</v>
      </c>
    </row>
    <row r="252" spans="475:475">
      <c r="RG252" s="24" t="s">
        <v>176</v>
      </c>
    </row>
    <row r="253" spans="475:475">
      <c r="RG253" s="24" t="s">
        <v>176</v>
      </c>
    </row>
    <row r="254" spans="475:475">
      <c r="RG254" s="24" t="s">
        <v>176</v>
      </c>
    </row>
    <row r="255" spans="475:475">
      <c r="RG255" s="24" t="s">
        <v>176</v>
      </c>
    </row>
    <row r="256" spans="475:475">
      <c r="RG256" s="24" t="s">
        <v>176</v>
      </c>
    </row>
    <row r="257" spans="475:475">
      <c r="RG257" s="24" t="s">
        <v>176</v>
      </c>
    </row>
    <row r="258" spans="475:475">
      <c r="RG258" s="24" t="s">
        <v>176</v>
      </c>
    </row>
    <row r="259" spans="475:475">
      <c r="RG259" s="24" t="s">
        <v>176</v>
      </c>
    </row>
    <row r="260" spans="475:475">
      <c r="RG260" s="24" t="s">
        <v>176</v>
      </c>
    </row>
    <row r="261" spans="475:475">
      <c r="RG261" s="24" t="s">
        <v>176</v>
      </c>
    </row>
    <row r="262" spans="475:475">
      <c r="RG262" s="24" t="s">
        <v>176</v>
      </c>
    </row>
    <row r="263" spans="475:475">
      <c r="RG263" s="24" t="s">
        <v>176</v>
      </c>
    </row>
    <row r="264" spans="475:475">
      <c r="RG264" s="24" t="s">
        <v>176</v>
      </c>
    </row>
    <row r="265" spans="475:475">
      <c r="RG265" s="24" t="s">
        <v>176</v>
      </c>
    </row>
    <row r="266" spans="475:475">
      <c r="RG266" s="24" t="s">
        <v>176</v>
      </c>
    </row>
    <row r="267" spans="475:475">
      <c r="RG267" s="24" t="s">
        <v>176</v>
      </c>
    </row>
    <row r="268" spans="475:475">
      <c r="RG268" s="24" t="s">
        <v>176</v>
      </c>
    </row>
    <row r="269" spans="475:475">
      <c r="RG269" s="24" t="s">
        <v>176</v>
      </c>
    </row>
    <row r="270" spans="475:475">
      <c r="RG270" s="24" t="s">
        <v>176</v>
      </c>
    </row>
    <row r="271" spans="475:475">
      <c r="RG271" s="24" t="s">
        <v>176</v>
      </c>
    </row>
    <row r="272" spans="475:475">
      <c r="RG272" s="24" t="s">
        <v>176</v>
      </c>
    </row>
    <row r="273" spans="475:475">
      <c r="RG273" s="24" t="s">
        <v>176</v>
      </c>
    </row>
    <row r="274" spans="475:475">
      <c r="RG274" s="24" t="s">
        <v>176</v>
      </c>
    </row>
    <row r="275" spans="475:475">
      <c r="RG275" s="24" t="s">
        <v>176</v>
      </c>
    </row>
    <row r="276" spans="475:475">
      <c r="RG276" s="24" t="s">
        <v>176</v>
      </c>
    </row>
    <row r="277" spans="475:475">
      <c r="RG277" s="24" t="s">
        <v>176</v>
      </c>
    </row>
    <row r="278" spans="475:475">
      <c r="RG278" s="24" t="s">
        <v>176</v>
      </c>
    </row>
    <row r="279" spans="475:475">
      <c r="RG279" s="24" t="s">
        <v>176</v>
      </c>
    </row>
    <row r="280" spans="475:475">
      <c r="RG280" s="24" t="s">
        <v>176</v>
      </c>
    </row>
    <row r="281" spans="475:475">
      <c r="RG281" s="24" t="s">
        <v>176</v>
      </c>
    </row>
    <row r="282" spans="475:475">
      <c r="RG282" s="24" t="s">
        <v>176</v>
      </c>
    </row>
    <row r="283" spans="475:475">
      <c r="RG283" s="24" t="s">
        <v>176</v>
      </c>
    </row>
    <row r="284" spans="475:475">
      <c r="RG284" s="24" t="s">
        <v>176</v>
      </c>
    </row>
    <row r="285" spans="475:475">
      <c r="RG285" s="24" t="s">
        <v>176</v>
      </c>
    </row>
    <row r="286" spans="475:475">
      <c r="RG286" s="24" t="s">
        <v>176</v>
      </c>
    </row>
    <row r="287" spans="475:475">
      <c r="RG287" s="24" t="s">
        <v>176</v>
      </c>
    </row>
    <row r="288" spans="475:475">
      <c r="RG288" s="24" t="s">
        <v>176</v>
      </c>
    </row>
    <row r="289" spans="475:475">
      <c r="RG289" s="24" t="s">
        <v>176</v>
      </c>
    </row>
    <row r="290" spans="475:475">
      <c r="RG290" s="24" t="s">
        <v>176</v>
      </c>
    </row>
    <row r="291" spans="475:475">
      <c r="RG291" s="24" t="s">
        <v>176</v>
      </c>
    </row>
    <row r="292" spans="475:475">
      <c r="RG292" s="24" t="s">
        <v>176</v>
      </c>
    </row>
    <row r="293" spans="475:475">
      <c r="RG293" s="24" t="s">
        <v>176</v>
      </c>
    </row>
    <row r="294" spans="475:475">
      <c r="RG294" s="24" t="s">
        <v>176</v>
      </c>
    </row>
    <row r="295" spans="475:475">
      <c r="RG295" s="24" t="s">
        <v>176</v>
      </c>
    </row>
    <row r="296" spans="475:475">
      <c r="RG296" s="24" t="s">
        <v>176</v>
      </c>
    </row>
    <row r="297" spans="475:475">
      <c r="RG297" s="24" t="s">
        <v>176</v>
      </c>
    </row>
    <row r="298" spans="475:475">
      <c r="RG298" s="24" t="s">
        <v>176</v>
      </c>
    </row>
    <row r="299" spans="475:475">
      <c r="RG299" s="24" t="s">
        <v>176</v>
      </c>
    </row>
    <row r="300" spans="475:475">
      <c r="RG300" s="24" t="s">
        <v>176</v>
      </c>
    </row>
    <row r="301" spans="475:475">
      <c r="RG301" s="24" t="s">
        <v>176</v>
      </c>
    </row>
    <row r="302" spans="475:475">
      <c r="RG302" s="24" t="s">
        <v>176</v>
      </c>
    </row>
    <row r="303" spans="475:475">
      <c r="RG303" s="24" t="s">
        <v>176</v>
      </c>
    </row>
    <row r="304" spans="475:475">
      <c r="RG304" s="24" t="s">
        <v>178</v>
      </c>
    </row>
    <row r="305" spans="475:475">
      <c r="RG305" s="24" t="s">
        <v>176</v>
      </c>
    </row>
    <row r="306" spans="475:475">
      <c r="RG306" s="24" t="s">
        <v>176</v>
      </c>
    </row>
    <row r="307" spans="475:475">
      <c r="RG307" s="24" t="s">
        <v>176</v>
      </c>
    </row>
    <row r="308" spans="475:475">
      <c r="RG308" s="24" t="s">
        <v>176</v>
      </c>
    </row>
    <row r="309" spans="475:475">
      <c r="RG309" s="24" t="s">
        <v>176</v>
      </c>
    </row>
    <row r="310" spans="475:475">
      <c r="RG310" s="24" t="s">
        <v>176</v>
      </c>
    </row>
    <row r="311" spans="475:475">
      <c r="RG311" s="24" t="s">
        <v>176</v>
      </c>
    </row>
    <row r="312" spans="475:475">
      <c r="RG312" s="24" t="s">
        <v>176</v>
      </c>
    </row>
    <row r="313" spans="475:475">
      <c r="RG313" s="24" t="s">
        <v>176</v>
      </c>
    </row>
    <row r="314" spans="475:475">
      <c r="RG314" s="24" t="s">
        <v>176</v>
      </c>
    </row>
    <row r="315" spans="475:475">
      <c r="RG315" s="24" t="s">
        <v>176</v>
      </c>
    </row>
    <row r="316" spans="475:475">
      <c r="RG316" s="24" t="s">
        <v>176</v>
      </c>
    </row>
    <row r="317" spans="475:475">
      <c r="RG317" s="24" t="s">
        <v>176</v>
      </c>
    </row>
    <row r="318" spans="475:475">
      <c r="RG318" s="24" t="s">
        <v>176</v>
      </c>
    </row>
    <row r="319" spans="475:475">
      <c r="RG319" s="24" t="s">
        <v>176</v>
      </c>
    </row>
    <row r="320" spans="475:475">
      <c r="RG320" s="24" t="s">
        <v>176</v>
      </c>
    </row>
    <row r="321" spans="475:475">
      <c r="RG321" s="24" t="s">
        <v>176</v>
      </c>
    </row>
    <row r="322" spans="475:475">
      <c r="RG322" s="24" t="s">
        <v>176</v>
      </c>
    </row>
    <row r="323" spans="475:475">
      <c r="RG323" s="24" t="s">
        <v>176</v>
      </c>
    </row>
    <row r="324" spans="475:475">
      <c r="RG324" s="24" t="s">
        <v>176</v>
      </c>
    </row>
    <row r="325" spans="475:475">
      <c r="RG325" s="24" t="s">
        <v>176</v>
      </c>
    </row>
    <row r="326" spans="475:475">
      <c r="RG326" s="24" t="s">
        <v>176</v>
      </c>
    </row>
    <row r="327" spans="475:475">
      <c r="RG327" s="24" t="s">
        <v>176</v>
      </c>
    </row>
    <row r="328" spans="475:475">
      <c r="RG328" s="24" t="s">
        <v>176</v>
      </c>
    </row>
    <row r="329" spans="475:475">
      <c r="RG329" s="24" t="s">
        <v>176</v>
      </c>
    </row>
    <row r="330" spans="475:475">
      <c r="RG330" s="24" t="s">
        <v>176</v>
      </c>
    </row>
    <row r="331" spans="475:475">
      <c r="RG331" s="24" t="s">
        <v>176</v>
      </c>
    </row>
    <row r="332" spans="475:475">
      <c r="RG332" s="24" t="s">
        <v>176</v>
      </c>
    </row>
    <row r="333" spans="475:475">
      <c r="RG333" s="24" t="s">
        <v>176</v>
      </c>
    </row>
    <row r="334" spans="475:475">
      <c r="RG334" s="24" t="s">
        <v>176</v>
      </c>
    </row>
    <row r="335" spans="475:475">
      <c r="RG335" s="24" t="s">
        <v>176</v>
      </c>
    </row>
    <row r="336" spans="475:475">
      <c r="RG336" s="24" t="s">
        <v>176</v>
      </c>
    </row>
    <row r="337" spans="475:475">
      <c r="RG337" s="24" t="s">
        <v>176</v>
      </c>
    </row>
    <row r="338" spans="475:475">
      <c r="RG338" s="24" t="s">
        <v>176</v>
      </c>
    </row>
    <row r="339" spans="475:475">
      <c r="RG339" s="24" t="s">
        <v>176</v>
      </c>
    </row>
    <row r="340" spans="475:475">
      <c r="RG340" s="24" t="s">
        <v>176</v>
      </c>
    </row>
    <row r="341" spans="475:475">
      <c r="RG341" s="24" t="s">
        <v>176</v>
      </c>
    </row>
    <row r="342" spans="475:475">
      <c r="RG342" s="24" t="s">
        <v>176</v>
      </c>
    </row>
    <row r="343" spans="475:475">
      <c r="RG343" s="24" t="s">
        <v>176</v>
      </c>
    </row>
    <row r="344" spans="475:475">
      <c r="RG344" s="24" t="s">
        <v>176</v>
      </c>
    </row>
    <row r="345" spans="475:475">
      <c r="RG345" s="24" t="s">
        <v>176</v>
      </c>
    </row>
    <row r="346" spans="475:475">
      <c r="RG346" s="24" t="s">
        <v>176</v>
      </c>
    </row>
    <row r="347" spans="475:475">
      <c r="RG347" s="24" t="s">
        <v>176</v>
      </c>
    </row>
    <row r="348" spans="475:475">
      <c r="RG348" s="24" t="s">
        <v>176</v>
      </c>
    </row>
    <row r="349" spans="475:475">
      <c r="RG349" s="24" t="s">
        <v>176</v>
      </c>
    </row>
    <row r="350" spans="475:475">
      <c r="RG350" s="24" t="s">
        <v>176</v>
      </c>
    </row>
    <row r="351" spans="475:475">
      <c r="RG351" s="24" t="s">
        <v>176</v>
      </c>
    </row>
    <row r="352" spans="475:475">
      <c r="RG352" s="24" t="s">
        <v>176</v>
      </c>
    </row>
    <row r="353" spans="475:475">
      <c r="RG353" s="24" t="s">
        <v>176</v>
      </c>
    </row>
    <row r="354" spans="475:475">
      <c r="RG354" s="24" t="s">
        <v>176</v>
      </c>
    </row>
    <row r="355" spans="475:475">
      <c r="RG355" s="24" t="s">
        <v>176</v>
      </c>
    </row>
    <row r="356" spans="475:475">
      <c r="RG356" s="24" t="s">
        <v>176</v>
      </c>
    </row>
    <row r="357" spans="475:475">
      <c r="RG357" s="24" t="s">
        <v>176</v>
      </c>
    </row>
    <row r="358" spans="475:475">
      <c r="RG358" s="24" t="s">
        <v>176</v>
      </c>
    </row>
    <row r="359" spans="475:475">
      <c r="RG359" s="24" t="s">
        <v>176</v>
      </c>
    </row>
    <row r="360" spans="475:475">
      <c r="RG360" s="24" t="s">
        <v>176</v>
      </c>
    </row>
    <row r="361" spans="475:475">
      <c r="RG361" s="24" t="s">
        <v>176</v>
      </c>
    </row>
    <row r="362" spans="475:475">
      <c r="RG362" s="24" t="s">
        <v>176</v>
      </c>
    </row>
    <row r="363" spans="475:475">
      <c r="RG363" s="24" t="s">
        <v>176</v>
      </c>
    </row>
    <row r="364" spans="475:475">
      <c r="RG364" s="24" t="s">
        <v>176</v>
      </c>
    </row>
    <row r="365" spans="475:475">
      <c r="RG365" s="24" t="s">
        <v>176</v>
      </c>
    </row>
    <row r="366" spans="475:475">
      <c r="RG366" s="24" t="s">
        <v>176</v>
      </c>
    </row>
    <row r="367" spans="475:475">
      <c r="RG367" s="24" t="s">
        <v>176</v>
      </c>
    </row>
    <row r="368" spans="475:475">
      <c r="RG368" s="24" t="s">
        <v>176</v>
      </c>
    </row>
    <row r="369" spans="475:475">
      <c r="RG369" s="24" t="s">
        <v>176</v>
      </c>
    </row>
    <row r="370" spans="475:475">
      <c r="RG370" s="24" t="s">
        <v>176</v>
      </c>
    </row>
    <row r="371" spans="475:475">
      <c r="RG371" s="24" t="s">
        <v>176</v>
      </c>
    </row>
    <row r="372" spans="475:475">
      <c r="RG372" s="24" t="s">
        <v>176</v>
      </c>
    </row>
    <row r="373" spans="475:475">
      <c r="RG373" s="24" t="s">
        <v>176</v>
      </c>
    </row>
    <row r="374" spans="475:475">
      <c r="RG374" s="24" t="s">
        <v>176</v>
      </c>
    </row>
    <row r="375" spans="475:475">
      <c r="RG375" s="24" t="s">
        <v>176</v>
      </c>
    </row>
    <row r="376" spans="475:475">
      <c r="RG376" s="24" t="s">
        <v>176</v>
      </c>
    </row>
    <row r="377" spans="475:475">
      <c r="RG377" s="24" t="s">
        <v>176</v>
      </c>
    </row>
    <row r="378" spans="475:475">
      <c r="RG378" s="24" t="s">
        <v>176</v>
      </c>
    </row>
    <row r="379" spans="475:475">
      <c r="RG379" s="24" t="s">
        <v>176</v>
      </c>
    </row>
    <row r="380" spans="475:475">
      <c r="RG380" s="24" t="s">
        <v>176</v>
      </c>
    </row>
    <row r="381" spans="475:475">
      <c r="RG381" s="24" t="s">
        <v>176</v>
      </c>
    </row>
    <row r="382" spans="475:475">
      <c r="RG382" s="24" t="s">
        <v>176</v>
      </c>
    </row>
    <row r="383" spans="475:475">
      <c r="RG383" s="24" t="s">
        <v>176</v>
      </c>
    </row>
    <row r="384" spans="475:475">
      <c r="RG384" s="24" t="s">
        <v>176</v>
      </c>
    </row>
    <row r="385" spans="475:475">
      <c r="RG385" s="24" t="s">
        <v>176</v>
      </c>
    </row>
    <row r="386" spans="475:475">
      <c r="RG386" s="24" t="s">
        <v>176</v>
      </c>
    </row>
    <row r="387" spans="475:475">
      <c r="RG387" s="24" t="s">
        <v>176</v>
      </c>
    </row>
    <row r="388" spans="475:475">
      <c r="RG388" s="24" t="s">
        <v>176</v>
      </c>
    </row>
    <row r="389" spans="475:475">
      <c r="RG389" s="24" t="s">
        <v>176</v>
      </c>
    </row>
    <row r="390" spans="475:475">
      <c r="RG390" s="24" t="s">
        <v>176</v>
      </c>
    </row>
    <row r="391" spans="475:475">
      <c r="RG391" s="24" t="s">
        <v>176</v>
      </c>
    </row>
    <row r="392" spans="475:475">
      <c r="RG392" s="24" t="s">
        <v>176</v>
      </c>
    </row>
    <row r="393" spans="475:475">
      <c r="RG393" s="24" t="s">
        <v>176</v>
      </c>
    </row>
    <row r="394" spans="475:475">
      <c r="RG394" s="24" t="s">
        <v>176</v>
      </c>
    </row>
    <row r="395" spans="475:475">
      <c r="RG395" s="24" t="s">
        <v>176</v>
      </c>
    </row>
    <row r="396" spans="475:475">
      <c r="RG396" s="24" t="s">
        <v>176</v>
      </c>
    </row>
    <row r="397" spans="475:475">
      <c r="RG397" s="24" t="s">
        <v>176</v>
      </c>
    </row>
    <row r="398" spans="475:475">
      <c r="RG398" s="24" t="s">
        <v>176</v>
      </c>
    </row>
    <row r="399" spans="475:475">
      <c r="RG399" s="24" t="s">
        <v>176</v>
      </c>
    </row>
    <row r="400" spans="475:475">
      <c r="RG400" s="24" t="s">
        <v>176</v>
      </c>
    </row>
    <row r="401" spans="475:475">
      <c r="RG401" s="24" t="s">
        <v>176</v>
      </c>
    </row>
    <row r="402" spans="475:475">
      <c r="RG402" s="24" t="s">
        <v>176</v>
      </c>
    </row>
    <row r="403" spans="475:475">
      <c r="RG403" s="24" t="s">
        <v>176</v>
      </c>
    </row>
    <row r="404" spans="475:475">
      <c r="RG404" s="24" t="s">
        <v>176</v>
      </c>
    </row>
    <row r="405" spans="475:475">
      <c r="RG405" s="24" t="s">
        <v>176</v>
      </c>
    </row>
    <row r="406" spans="475:475">
      <c r="RG406" s="24" t="s">
        <v>176</v>
      </c>
    </row>
    <row r="407" spans="475:475">
      <c r="RG407" s="24" t="s">
        <v>176</v>
      </c>
    </row>
    <row r="408" spans="475:475">
      <c r="RG408" s="24" t="s">
        <v>176</v>
      </c>
    </row>
    <row r="409" spans="475:475">
      <c r="RG409" s="24" t="s">
        <v>176</v>
      </c>
    </row>
    <row r="410" spans="475:475">
      <c r="RG410" s="24" t="s">
        <v>176</v>
      </c>
    </row>
    <row r="411" spans="475:475">
      <c r="RG411" s="24" t="s">
        <v>176</v>
      </c>
    </row>
    <row r="412" spans="475:475">
      <c r="RG412" s="24" t="s">
        <v>176</v>
      </c>
    </row>
    <row r="413" spans="475:475">
      <c r="RG413" s="24" t="s">
        <v>176</v>
      </c>
    </row>
    <row r="414" spans="475:475">
      <c r="RG414" s="24" t="s">
        <v>176</v>
      </c>
    </row>
    <row r="415" spans="475:475">
      <c r="RG415" s="24" t="s">
        <v>176</v>
      </c>
    </row>
    <row r="416" spans="475:475">
      <c r="RG416" s="24" t="s">
        <v>176</v>
      </c>
    </row>
    <row r="417" spans="475:475">
      <c r="RG417" s="24" t="s">
        <v>176</v>
      </c>
    </row>
    <row r="418" spans="475:475">
      <c r="RG418" s="24" t="s">
        <v>176</v>
      </c>
    </row>
    <row r="419" spans="475:475">
      <c r="RG419" s="24" t="s">
        <v>176</v>
      </c>
    </row>
    <row r="420" spans="475:475">
      <c r="RG420" s="24" t="s">
        <v>176</v>
      </c>
    </row>
    <row r="421" spans="475:475">
      <c r="RG421" s="24" t="s">
        <v>176</v>
      </c>
    </row>
    <row r="422" spans="475:475">
      <c r="RG422" s="24" t="s">
        <v>176</v>
      </c>
    </row>
    <row r="423" spans="475:475">
      <c r="RG423" s="24" t="s">
        <v>176</v>
      </c>
    </row>
    <row r="424" spans="475:475">
      <c r="RG424" s="24" t="s">
        <v>176</v>
      </c>
    </row>
    <row r="425" spans="475:475">
      <c r="RG425" s="24" t="s">
        <v>176</v>
      </c>
    </row>
    <row r="426" spans="475:475">
      <c r="RG426" s="24" t="s">
        <v>176</v>
      </c>
    </row>
    <row r="427" spans="475:475">
      <c r="RG427" s="24" t="s">
        <v>176</v>
      </c>
    </row>
    <row r="428" spans="475:475">
      <c r="RG428" s="24" t="s">
        <v>176</v>
      </c>
    </row>
    <row r="429" spans="475:475">
      <c r="RG429" s="24" t="s">
        <v>176</v>
      </c>
    </row>
    <row r="430" spans="475:475">
      <c r="RG430" s="24" t="s">
        <v>176</v>
      </c>
    </row>
    <row r="431" spans="475:475">
      <c r="RG431" s="24" t="s">
        <v>176</v>
      </c>
    </row>
    <row r="432" spans="475:475">
      <c r="RG432" s="24" t="s">
        <v>176</v>
      </c>
    </row>
    <row r="433" spans="475:475">
      <c r="RG433" s="24" t="s">
        <v>176</v>
      </c>
    </row>
    <row r="434" spans="475:475">
      <c r="RG434" s="24" t="s">
        <v>176</v>
      </c>
    </row>
    <row r="435" spans="475:475">
      <c r="RG435" s="24" t="s">
        <v>176</v>
      </c>
    </row>
    <row r="436" spans="475:475">
      <c r="RG436" s="24" t="s">
        <v>176</v>
      </c>
    </row>
    <row r="437" spans="475:475">
      <c r="RG437" s="24" t="s">
        <v>176</v>
      </c>
    </row>
    <row r="438" spans="475:475">
      <c r="RG438" s="24" t="s">
        <v>176</v>
      </c>
    </row>
    <row r="439" spans="475:475">
      <c r="RG439" s="24" t="s">
        <v>176</v>
      </c>
    </row>
    <row r="440" spans="475:475">
      <c r="RG440" s="24" t="s">
        <v>176</v>
      </c>
    </row>
    <row r="441" spans="475:475">
      <c r="RG441" s="24" t="s">
        <v>176</v>
      </c>
    </row>
    <row r="442" spans="475:475">
      <c r="RG442" s="24" t="s">
        <v>176</v>
      </c>
    </row>
    <row r="443" spans="475:475">
      <c r="RG443" s="24" t="s">
        <v>176</v>
      </c>
    </row>
    <row r="444" spans="475:475">
      <c r="RG444" s="24" t="s">
        <v>176</v>
      </c>
    </row>
    <row r="445" spans="475:475">
      <c r="RG445" s="24" t="s">
        <v>176</v>
      </c>
    </row>
    <row r="446" spans="475:475">
      <c r="RG446" s="24" t="s">
        <v>176</v>
      </c>
    </row>
    <row r="447" spans="475:475">
      <c r="RG447" s="24" t="s">
        <v>176</v>
      </c>
    </row>
    <row r="448" spans="475:475">
      <c r="RG448" s="24" t="s">
        <v>176</v>
      </c>
    </row>
    <row r="449" spans="475:475">
      <c r="RG449" s="24" t="s">
        <v>176</v>
      </c>
    </row>
    <row r="450" spans="475:475">
      <c r="RG450" s="24" t="s">
        <v>176</v>
      </c>
    </row>
    <row r="451" spans="475:475">
      <c r="RG451" s="24" t="s">
        <v>176</v>
      </c>
    </row>
    <row r="452" spans="475:475">
      <c r="RG452" s="24" t="s">
        <v>176</v>
      </c>
    </row>
    <row r="453" spans="475:475">
      <c r="RG453" s="24" t="s">
        <v>176</v>
      </c>
    </row>
    <row r="454" spans="475:475">
      <c r="RG454" s="24" t="s">
        <v>176</v>
      </c>
    </row>
    <row r="455" spans="475:475">
      <c r="RG455" s="24" t="s">
        <v>176</v>
      </c>
    </row>
    <row r="456" spans="475:475">
      <c r="RG456" s="24" t="s">
        <v>176</v>
      </c>
    </row>
    <row r="457" spans="475:475">
      <c r="RG457" s="24" t="s">
        <v>176</v>
      </c>
    </row>
    <row r="458" spans="475:475">
      <c r="RG458" s="24" t="s">
        <v>176</v>
      </c>
    </row>
    <row r="459" spans="475:475">
      <c r="RG459" s="24" t="s">
        <v>176</v>
      </c>
    </row>
    <row r="460" spans="475:475">
      <c r="RG460" s="24" t="s">
        <v>176</v>
      </c>
    </row>
    <row r="461" spans="475:475">
      <c r="RG461" s="24" t="s">
        <v>176</v>
      </c>
    </row>
    <row r="462" spans="475:475">
      <c r="RG462" s="24" t="s">
        <v>176</v>
      </c>
    </row>
    <row r="463" spans="475:475">
      <c r="RG463" s="24" t="s">
        <v>176</v>
      </c>
    </row>
    <row r="464" spans="475:475">
      <c r="RG464" s="24" t="s">
        <v>176</v>
      </c>
    </row>
    <row r="465" spans="475:475">
      <c r="RG465" s="24" t="s">
        <v>176</v>
      </c>
    </row>
    <row r="466" spans="475:475">
      <c r="RG466" s="24" t="s">
        <v>176</v>
      </c>
    </row>
    <row r="467" spans="475:475">
      <c r="RG467" s="24" t="s">
        <v>176</v>
      </c>
    </row>
    <row r="468" spans="475:475">
      <c r="RG468" s="24" t="s">
        <v>176</v>
      </c>
    </row>
    <row r="469" spans="475:475">
      <c r="RG469" s="24" t="s">
        <v>176</v>
      </c>
    </row>
    <row r="470" spans="475:475">
      <c r="RG470" s="24" t="s">
        <v>176</v>
      </c>
    </row>
    <row r="471" spans="475:475">
      <c r="RG471" s="24" t="s">
        <v>176</v>
      </c>
    </row>
    <row r="472" spans="475:475">
      <c r="RG472" s="24" t="s">
        <v>176</v>
      </c>
    </row>
    <row r="473" spans="475:475">
      <c r="RG473" s="24" t="s">
        <v>176</v>
      </c>
    </row>
    <row r="474" spans="475:475">
      <c r="RG474" s="24" t="s">
        <v>176</v>
      </c>
    </row>
    <row r="475" spans="475:475">
      <c r="RG475" s="24" t="s">
        <v>176</v>
      </c>
    </row>
    <row r="476" spans="475:475">
      <c r="RG476" s="24" t="s">
        <v>176</v>
      </c>
    </row>
    <row r="477" spans="475:475">
      <c r="RG477" s="24" t="s">
        <v>176</v>
      </c>
    </row>
    <row r="478" spans="475:475">
      <c r="RG478" s="24" t="s">
        <v>176</v>
      </c>
    </row>
  </sheetData>
  <sheetProtection selectLockedCells="1"/>
  <phoneticPr fontId="17" type="noConversion"/>
  <pageMargins left="0.7" right="0.7" top="0.75" bottom="0.75" header="0.3" footer="0.3"/>
  <pageSetup orientation="portrait" r:id="rId1"/>
  <headerFooter>
    <oddFooter>&amp;R&amp;1#&amp;"Arial"&amp;10&amp;K000000---Internal Use---&amp;C&amp;"Calibri"&amp;11&amp;K000000DOW RESTRICTED_x000D_&amp;1#&amp;"Arial"&amp;10&amp;K000000---Internal Use---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Review_Shift_Data">
                <anchor moveWithCells="1" sizeWithCells="1">
                  <from>
                    <xdr:col>0</xdr:col>
                    <xdr:colOff>69850</xdr:colOff>
                    <xdr:row>2</xdr:row>
                    <xdr:rowOff>158750</xdr:rowOff>
                  </from>
                  <to>
                    <xdr:col>1</xdr:col>
                    <xdr:colOff>812800</xdr:colOff>
                    <xdr:row>2</xdr:row>
                    <xdr:rowOff>882650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04BE2-0CB8-4EF4-8AAC-EAF983786759}">
  <dimension ref="A1"/>
  <sheetViews>
    <sheetView workbookViewId="0"/>
  </sheetViews>
  <sheetFormatPr baseColWidth="10" defaultColWidth="8.7265625" defaultRowHeight="14.5"/>
  <sheetData/>
  <pageMargins left="0.7" right="0.7" top="0.75" bottom="0.75" header="0.3" footer="0.3"/>
  <pageSetup orientation="portrait" r:id="rId1"/>
  <headerFooter>
    <oddFooter>&amp;C&amp;1#&amp;"Arial"&amp;10&amp;K000000---Internal Use---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MigrationWizIdSecurityGroups xmlns="3e67ae96-0bed-4632-a1e1-aacd97b437a6" xsi:nil="true"/>
    <MigrationWizIdDocumentLibraryPermissions xmlns="3e67ae96-0bed-4632-a1e1-aacd97b437a6" xsi:nil="true"/>
    <MigrationWizIdPermissionLevels xmlns="3e67ae96-0bed-4632-a1e1-aacd97b437a6" xsi:nil="true"/>
    <MigrationWizIdPermissions xmlns="3e67ae96-0bed-4632-a1e1-aacd97b437a6" xsi:nil="true"/>
    <MigrationWizId xmlns="3e67ae96-0bed-4632-a1e1-aacd97b437a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3B11010F7A0DE4EAA27109C13BC11FA" ma:contentTypeVersion="18" ma:contentTypeDescription="Create a new document." ma:contentTypeScope="" ma:versionID="2c2041e21988e37255f9c852f849f07a">
  <xsd:schema xmlns:xsd="http://www.w3.org/2001/XMLSchema" xmlns:xs="http://www.w3.org/2001/XMLSchema" xmlns:p="http://schemas.microsoft.com/office/2006/metadata/properties" xmlns:ns3="3e67ae96-0bed-4632-a1e1-aacd97b437a6" xmlns:ns4="f64f5fef-66fb-4809-8118-a642909b5e0e" targetNamespace="http://schemas.microsoft.com/office/2006/metadata/properties" ma:root="true" ma:fieldsID="86781921461b11ad2bbcee13675c2e55" ns3:_="" ns4:_="">
    <xsd:import namespace="3e67ae96-0bed-4632-a1e1-aacd97b437a6"/>
    <xsd:import namespace="f64f5fef-66fb-4809-8118-a642909b5e0e"/>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OCR"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67ae96-0bed-4632-a1e1-aacd97b437a6"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3" nillable="true" ma:displayName="Extracted Text" ma:internalName="MediaServiceOCR" ma:readOnly="true">
      <xsd:simpleType>
        <xsd:restriction base="dms:Note">
          <xsd:maxLength value="255"/>
        </xsd:restriction>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64f5fef-66fb-4809-8118-a642909b5e0e"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SharingHintHash" ma:index="2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FC558A-CBB8-4D01-92B1-43C1EF821D61}">
  <ds:schemaRefs>
    <ds:schemaRef ds:uri="http://schemas.microsoft.com/sharepoint/v3/contenttype/forms"/>
  </ds:schemaRefs>
</ds:datastoreItem>
</file>

<file path=customXml/itemProps2.xml><?xml version="1.0" encoding="utf-8"?>
<ds:datastoreItem xmlns:ds="http://schemas.openxmlformats.org/officeDocument/2006/customXml" ds:itemID="{22A421F6-43BC-4203-B2F5-2D1BF39DBB56}">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f64f5fef-66fb-4809-8118-a642909b5e0e"/>
    <ds:schemaRef ds:uri="http://schemas.microsoft.com/office/infopath/2007/PartnerControls"/>
    <ds:schemaRef ds:uri="http://purl.org/dc/elements/1.1/"/>
    <ds:schemaRef ds:uri="3e67ae96-0bed-4632-a1e1-aacd97b437a6"/>
    <ds:schemaRef ds:uri="http://www.w3.org/XML/1998/namespace"/>
    <ds:schemaRef ds:uri="http://purl.org/dc/dcmitype/"/>
  </ds:schemaRefs>
</ds:datastoreItem>
</file>

<file path=customXml/itemProps3.xml><?xml version="1.0" encoding="utf-8"?>
<ds:datastoreItem xmlns:ds="http://schemas.openxmlformats.org/officeDocument/2006/customXml" ds:itemID="{3D68F37C-E56A-4958-ADE9-F04D8CFC2D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e67ae96-0bed-4632-a1e1-aacd97b437a6"/>
    <ds:schemaRef ds:uri="f64f5fef-66fb-4809-8118-a642909b5e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12</vt:i4>
      </vt:variant>
    </vt:vector>
  </HeadingPairs>
  <TitlesOfParts>
    <vt:vector size="21" baseType="lpstr">
      <vt:lpstr>Form</vt:lpstr>
      <vt:lpstr>Monthly Summary</vt:lpstr>
      <vt:lpstr>Recall Form</vt:lpstr>
      <vt:lpstr>Master Log</vt:lpstr>
      <vt:lpstr>Monthly Chart Data</vt:lpstr>
      <vt:lpstr>Weekly Chart Data</vt:lpstr>
      <vt:lpstr>Setup Sheet</vt:lpstr>
      <vt:lpstr>Transfer Sheet</vt:lpstr>
      <vt:lpstr>Sheet1</vt:lpstr>
      <vt:lpstr>AVAIL</vt:lpstr>
      <vt:lpstr>'Monthly Summary'!detail</vt:lpstr>
      <vt:lpstr>detail</vt:lpstr>
      <vt:lpstr>GMID</vt:lpstr>
      <vt:lpstr>'Monthly Summary'!Language</vt:lpstr>
      <vt:lpstr>Language</vt:lpstr>
      <vt:lpstr>PRODUCTS</vt:lpstr>
      <vt:lpstr>'Monthly Summary'!Shifts</vt:lpstr>
      <vt:lpstr>Shifts</vt:lpstr>
      <vt:lpstr>'Monthly Summary'!SL3s</vt:lpstr>
      <vt:lpstr>SL3s</vt:lpstr>
      <vt:lpstr>Unplanned</vt:lpstr>
    </vt:vector>
  </TitlesOfParts>
  <Company>The Dow Chemical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U546235</dc:creator>
  <cp:lastModifiedBy>Minault, Pascal</cp:lastModifiedBy>
  <cp:lastPrinted>2021-06-21T03:38:43Z</cp:lastPrinted>
  <dcterms:created xsi:type="dcterms:W3CDTF">2011-07-28T19:46:37Z</dcterms:created>
  <dcterms:modified xsi:type="dcterms:W3CDTF">2021-10-08T13:22:37Z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_Steward">
    <vt:lpwstr>Cocca M u368566</vt:lpwstr>
  </property>
  <property fmtid="{D5CDD505-2E9C-101B-9397-08002B2CF9AE}" pid="3" name="Information_Classification">
    <vt:lpwstr>DOW RESTRICTED</vt:lpwstr>
  </property>
  <property fmtid="{D5CDD505-2E9C-101B-9397-08002B2CF9AE}" pid="4" name="Record_Title_ID">
    <vt:lpwstr>72</vt:lpwstr>
  </property>
  <property fmtid="{D5CDD505-2E9C-101B-9397-08002B2CF9AE}" pid="5" name="Initial_Creation_Date">
    <vt:filetime>2012-12-03T15:57:44Z</vt:filetime>
  </property>
  <property fmtid="{D5CDD505-2E9C-101B-9397-08002B2CF9AE}" pid="6" name="Retention_Period_Start_Date">
    <vt:filetime>2018-04-02T13:34:37Z</vt:filetime>
  </property>
  <property fmtid="{D5CDD505-2E9C-101B-9397-08002B2CF9AE}" pid="7" name="Last_Reviewed_Date">
    <vt:lpwstr/>
  </property>
  <property fmtid="{D5CDD505-2E9C-101B-9397-08002B2CF9AE}" pid="8" name="Retention_Review_Frequency">
    <vt:lpwstr/>
  </property>
  <property fmtid="{D5CDD505-2E9C-101B-9397-08002B2CF9AE}" pid="9" name="Update_Footer">
    <vt:lpwstr>No</vt:lpwstr>
  </property>
  <property fmtid="{D5CDD505-2E9C-101B-9397-08002B2CF9AE}" pid="10" name="Radio_Button">
    <vt:lpwstr>NONE</vt:lpwstr>
  </property>
  <property fmtid="{D5CDD505-2E9C-101B-9397-08002B2CF9AE}" pid="11" name="_NewReviewCycle">
    <vt:lpwstr/>
  </property>
  <property fmtid="{D5CDD505-2E9C-101B-9397-08002B2CF9AE}" pid="12" name="ContentTypeId">
    <vt:lpwstr>0x010100C3B11010F7A0DE4EAA27109C13BC11FA</vt:lpwstr>
  </property>
  <property fmtid="{D5CDD505-2E9C-101B-9397-08002B2CF9AE}" pid="13" name="MSIP_Label_0d28e344-bb15-459b-97fd-14fa06bc1052_Enabled">
    <vt:lpwstr>true</vt:lpwstr>
  </property>
  <property fmtid="{D5CDD505-2E9C-101B-9397-08002B2CF9AE}" pid="14" name="MSIP_Label_0d28e344-bb15-459b-97fd-14fa06bc1052_SetDate">
    <vt:lpwstr>2021-07-07T03:43:18Z</vt:lpwstr>
  </property>
  <property fmtid="{D5CDD505-2E9C-101B-9397-08002B2CF9AE}" pid="15" name="MSIP_Label_0d28e344-bb15-459b-97fd-14fa06bc1052_Method">
    <vt:lpwstr>Standard</vt:lpwstr>
  </property>
  <property fmtid="{D5CDD505-2E9C-101B-9397-08002B2CF9AE}" pid="16" name="MSIP_Label_0d28e344-bb15-459b-97fd-14fa06bc1052_Name">
    <vt:lpwstr>Not Protected (Internal Use)</vt:lpwstr>
  </property>
  <property fmtid="{D5CDD505-2E9C-101B-9397-08002B2CF9AE}" pid="17" name="MSIP_Label_0d28e344-bb15-459b-97fd-14fa06bc1052_SiteId">
    <vt:lpwstr>3e20ecb2-9cb0-4df1-ad7b-914e31dcdda4</vt:lpwstr>
  </property>
  <property fmtid="{D5CDD505-2E9C-101B-9397-08002B2CF9AE}" pid="18" name="MSIP_Label_0d28e344-bb15-459b-97fd-14fa06bc1052_ActionId">
    <vt:lpwstr>08ac283f-966a-4a3a-a583-5fddd7cb72bf</vt:lpwstr>
  </property>
  <property fmtid="{D5CDD505-2E9C-101B-9397-08002B2CF9AE}" pid="19" name="MSIP_Label_0d28e344-bb15-459b-97fd-14fa06bc1052_ContentBits">
    <vt:lpwstr>2</vt:lpwstr>
  </property>
</Properties>
</file>